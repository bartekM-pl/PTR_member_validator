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E:\Git\PTR\PTR_member_validator\example_data\"/>
    </mc:Choice>
  </mc:AlternateContent>
  <xr:revisionPtr revIDLastSave="0" documentId="13_ncr:1_{4008F681-C001-4FF0-A135-6277B4A46A62}" xr6:coauthVersionLast="47" xr6:coauthVersionMax="47" xr10:uidLastSave="{00000000-0000-0000-0000-000000000000}"/>
  <bookViews>
    <workbookView xWindow="-108" yWindow="-108" windowWidth="30936" windowHeight="16896" firstSheet="14" activeTab="15" xr2:uid="{00000000-000D-0000-FFFF-FFFF00000000}"/>
  </bookViews>
  <sheets>
    <sheet name="2010" sheetId="1" state="hidden" r:id="rId1"/>
    <sheet name="2011" sheetId="2" state="hidden" r:id="rId2"/>
    <sheet name="2012" sheetId="3" state="hidden" r:id="rId3"/>
    <sheet name="2013" sheetId="4" state="hidden" r:id="rId4"/>
    <sheet name="2014" sheetId="5" state="hidden" r:id="rId5"/>
    <sheet name="2015" sheetId="6" state="hidden" r:id="rId6"/>
    <sheet name="2016" sheetId="7" state="hidden" r:id="rId7"/>
    <sheet name="2017" sheetId="8" state="hidden" r:id="rId8"/>
    <sheet name="2018" sheetId="9" state="hidden" r:id="rId9"/>
    <sheet name="2019" sheetId="10" state="hidden" r:id="rId10"/>
    <sheet name="2020" sheetId="11" state="hidden" r:id="rId11"/>
    <sheet name="2021" sheetId="12" state="hidden" r:id="rId12"/>
    <sheet name="2022" sheetId="13" state="hidden" r:id="rId13"/>
    <sheet name="Arkusz2" sheetId="38" state="hidden" r:id="rId14"/>
    <sheet name="Podsumowanie" sheetId="14" r:id="rId15"/>
    <sheet name="Dane Członków" sheetId="15" r:id="rId16"/>
    <sheet name="Mail Przypominający" sheetId="16" r:id="rId17"/>
    <sheet name="Mail Powitalny Nowych Członków" sheetId="17" r:id="rId18"/>
    <sheet name="31012022" sheetId="21" state="hidden" r:id="rId19"/>
  </sheets>
  <definedNames>
    <definedName name="_xlnm._FilterDatabase" localSheetId="5" hidden="1">'2015'!$A$1:$U$74</definedName>
  </definedNames>
  <calcPr calcId="181029"/>
  <extLst>
    <ext uri="GoogleSheetsCustomDataVersion1">
      <go:sheetsCustomData xmlns:go="http://customooxmlschemas.google.com/" r:id="rId81" roundtripDataSignature="AMtx7mh0eZOQ/IkWIxhfsKHtcqXEnPOYdg=="/>
    </ext>
  </extLst>
</workbook>
</file>

<file path=xl/calcChain.xml><?xml version="1.0" encoding="utf-8"?>
<calcChain xmlns="http://schemas.openxmlformats.org/spreadsheetml/2006/main">
  <c r="C1" i="38" l="1"/>
  <c r="F2" i="15"/>
  <c r="E2" i="15"/>
  <c r="R95" i="12"/>
  <c r="Q95" i="12"/>
  <c r="Q94" i="11"/>
  <c r="P94" i="11"/>
  <c r="P93" i="10"/>
  <c r="O93" i="10"/>
  <c r="J72" i="7"/>
  <c r="I72" i="7"/>
  <c r="I88" i="6"/>
</calcChain>
</file>

<file path=xl/sharedStrings.xml><?xml version="1.0" encoding="utf-8"?>
<sst xmlns="http://schemas.openxmlformats.org/spreadsheetml/2006/main" count="8655" uniqueCount="1784">
  <si>
    <t>L.p.</t>
  </si>
  <si>
    <t>Imię</t>
  </si>
  <si>
    <t>Nazwisko</t>
  </si>
  <si>
    <t>Data wstąpienia</t>
  </si>
  <si>
    <t>Data zapłaty</t>
  </si>
  <si>
    <t>Stanowisko w PTR</t>
  </si>
  <si>
    <t>Adres</t>
  </si>
  <si>
    <t>Telefon</t>
  </si>
  <si>
    <t>Skype</t>
  </si>
  <si>
    <t>e-mail</t>
  </si>
  <si>
    <t>Telefon stacjonarny</t>
  </si>
  <si>
    <t>Nr. Legitymacji</t>
  </si>
  <si>
    <t>Klasa</t>
  </si>
  <si>
    <t>Piotr</t>
  </si>
  <si>
    <t>Sewastianik</t>
  </si>
  <si>
    <t>Prezes</t>
  </si>
  <si>
    <t>ul. Narewska 2A m 60</t>
  </si>
  <si>
    <t>15-840 Białystok</t>
  </si>
  <si>
    <t>design_by</t>
  </si>
  <si>
    <t>psp@op.pl</t>
  </si>
  <si>
    <t>085 6512473</t>
  </si>
  <si>
    <t>Krzysztof</t>
  </si>
  <si>
    <t>Ścigalski</t>
  </si>
  <si>
    <t>Z-ca prezesa</t>
  </si>
  <si>
    <t>os. Oświecenia 10/8</t>
  </si>
  <si>
    <t>31-635 Kraków</t>
  </si>
  <si>
    <t>ksard1955</t>
  </si>
  <si>
    <t>ksard@o2.pl</t>
  </si>
  <si>
    <t>012-648-72-61</t>
  </si>
  <si>
    <t>Sornowski</t>
  </si>
  <si>
    <t>ul. Kłodzka 14</t>
  </si>
  <si>
    <t>57-320 Polanica Zdrój</t>
  </si>
  <si>
    <t>-</t>
  </si>
  <si>
    <t>sornowski@o2.pl</t>
  </si>
  <si>
    <t>074-868-28-33</t>
  </si>
  <si>
    <t>Robert</t>
  </si>
  <si>
    <t>Magiera</t>
  </si>
  <si>
    <t>ul. Kadmowa 3</t>
  </si>
  <si>
    <t>81-154 Gdynia</t>
  </si>
  <si>
    <t>tmerobercik</t>
  </si>
  <si>
    <t>robert.magiera@telemobile.net.pl</t>
  </si>
  <si>
    <t>058-623-31-48</t>
  </si>
  <si>
    <t>Andrzej</t>
  </si>
  <si>
    <t>Członek założyciel</t>
  </si>
  <si>
    <t>ul. Zbychowska 33</t>
  </si>
  <si>
    <t>84-230 Rumia</t>
  </si>
  <si>
    <t>tme.lab01</t>
  </si>
  <si>
    <t>andrzej.magiera@telemobile.net.pl</t>
  </si>
  <si>
    <t>Marek</t>
  </si>
  <si>
    <t>Fedko</t>
  </si>
  <si>
    <t>Z-ca Przewodniczącego KR</t>
  </si>
  <si>
    <t>ul. 1 Maja 8 C/6</t>
  </si>
  <si>
    <t>57-200 Ząbkowice Śląskie</t>
  </si>
  <si>
    <t>marek.fedko@interia.pl</t>
  </si>
  <si>
    <t>074-641-23-43</t>
  </si>
  <si>
    <t>Adam</t>
  </si>
  <si>
    <t>Okniński</t>
  </si>
  <si>
    <t>Sekretarz KR</t>
  </si>
  <si>
    <t>ul. Neander 15/54</t>
  </si>
  <si>
    <t>02-791 Warszawa</t>
  </si>
  <si>
    <t>adam_ok</t>
  </si>
  <si>
    <t>a.m.okninski@gmail.com</t>
  </si>
  <si>
    <t>022-649-57-86</t>
  </si>
  <si>
    <t>Matusiewicz</t>
  </si>
  <si>
    <t>Z-ca Przewodniczącego SK</t>
  </si>
  <si>
    <t>Wola Batorska 628/5</t>
  </si>
  <si>
    <t>32-007 Wola Batorska</t>
  </si>
  <si>
    <t>amatusie</t>
  </si>
  <si>
    <t>amatusie@hotmail.com</t>
  </si>
  <si>
    <t>Chwastek</t>
  </si>
  <si>
    <t>Członek zarządu</t>
  </si>
  <si>
    <t>os. Jagiellońskie 23/73</t>
  </si>
  <si>
    <t>31-834 Kraków</t>
  </si>
  <si>
    <t>jonasz_65</t>
  </si>
  <si>
    <t>jaskiniowiec@poczta.onet.pl</t>
  </si>
  <si>
    <t>012-649-82-44</t>
  </si>
  <si>
    <t>Ireneusz</t>
  </si>
  <si>
    <t>Arbuziński</t>
  </si>
  <si>
    <t>ul. Spacerowa 1/11</t>
  </si>
  <si>
    <t>21-010 Milejów</t>
  </si>
  <si>
    <t>milimetr651</t>
  </si>
  <si>
    <t>milimetr65@o2.pl</t>
  </si>
  <si>
    <t>Albert</t>
  </si>
  <si>
    <t>Bieniecki</t>
  </si>
  <si>
    <t>ul. Słoneczna 10</t>
  </si>
  <si>
    <t>52-335 Wrocław</t>
  </si>
  <si>
    <t>pinot-ello</t>
  </si>
  <si>
    <t>pinot@tlen.pl</t>
  </si>
  <si>
    <t>Hubert</t>
  </si>
  <si>
    <t>Sośniak</t>
  </si>
  <si>
    <t xml:space="preserve">Gałczyńskiego 31/33 </t>
  </si>
  <si>
    <t xml:space="preserve">05-800, Pruszków </t>
  </si>
  <si>
    <t>cobra711</t>
  </si>
  <si>
    <t>cobra711@wp.pl</t>
  </si>
  <si>
    <t>Kacper</t>
  </si>
  <si>
    <t>Zieliński</t>
  </si>
  <si>
    <t>os. Na Skarpie 7/17</t>
  </si>
  <si>
    <t>31-909 Kraków</t>
  </si>
  <si>
    <t>rakiety-kz</t>
  </si>
  <si>
    <t>emrkacper@gmail.com</t>
  </si>
  <si>
    <t>012-358-53-32</t>
  </si>
  <si>
    <t>Tadeusz</t>
  </si>
  <si>
    <t>Bergier</t>
  </si>
  <si>
    <t>ul. Powstańców Wielkopolskich 121/6</t>
  </si>
  <si>
    <t>62-003 Biedrusko</t>
  </si>
  <si>
    <t>szalz5lab</t>
  </si>
  <si>
    <t>tvb@vp.pl</t>
  </si>
  <si>
    <t>061-812-31-68</t>
  </si>
  <si>
    <t>Zbigniew</t>
  </si>
  <si>
    <t>Kapelan</t>
  </si>
  <si>
    <t>Sekretarz</t>
  </si>
  <si>
    <t>ul. Gliwicka 4</t>
  </si>
  <si>
    <t>47-240 Bierawa</t>
  </si>
  <si>
    <t>zbigniew.kapelan</t>
  </si>
  <si>
    <t>zbigniewkapelan@wp.pl</t>
  </si>
  <si>
    <t>077-487-21-35</t>
  </si>
  <si>
    <t>Malinowski</t>
  </si>
  <si>
    <t xml:space="preserve">Sekretarz SK </t>
  </si>
  <si>
    <t>ul. Waryńskiego 10/207</t>
  </si>
  <si>
    <t>00-631 Warszawa</t>
  </si>
  <si>
    <t>505-685-954</t>
  </si>
  <si>
    <t>marekmlk@o2.pl</t>
  </si>
  <si>
    <t>Kamil</t>
  </si>
  <si>
    <t>Karpiesiuk</t>
  </si>
  <si>
    <t>ul. Warynskiego 10/206</t>
  </si>
  <si>
    <t>515-766-016</t>
  </si>
  <si>
    <t>kamilkarpiesiuk@gmail.com</t>
  </si>
  <si>
    <t>Marcin</t>
  </si>
  <si>
    <t>Dobrowolski</t>
  </si>
  <si>
    <t>ul. Śiewierska 3/1</t>
  </si>
  <si>
    <t>02-360 Warszawa</t>
  </si>
  <si>
    <t>691-360-221</t>
  </si>
  <si>
    <t>smigajacysmigacz</t>
  </si>
  <si>
    <t>mardobrowolski@gmail.com</t>
  </si>
  <si>
    <t>Grzegorz</t>
  </si>
  <si>
    <t>Goryczka</t>
  </si>
  <si>
    <t>Skarbnik</t>
  </si>
  <si>
    <t>Podleszany 406a</t>
  </si>
  <si>
    <t>39-300 Mielec</t>
  </si>
  <si>
    <t>507-190-295</t>
  </si>
  <si>
    <t>ggoryczka@gmail.com</t>
  </si>
  <si>
    <t>Rafał</t>
  </si>
  <si>
    <t>Kuliś</t>
  </si>
  <si>
    <t>Przewodniczący KR</t>
  </si>
  <si>
    <t>ul. Leszczynowa 26</t>
  </si>
  <si>
    <t>11-010 Wójtowo</t>
  </si>
  <si>
    <t>607-859-459</t>
  </si>
  <si>
    <t>szajba_rk</t>
  </si>
  <si>
    <t>rafal.kulis@plusnet.pl</t>
  </si>
  <si>
    <t>Nadera</t>
  </si>
  <si>
    <t>Przewodniczący SK</t>
  </si>
  <si>
    <t>ul. Nad Stawem 4</t>
  </si>
  <si>
    <t>80-297 Banino</t>
  </si>
  <si>
    <t>609-573-353</t>
  </si>
  <si>
    <t>xkrmtx</t>
  </si>
  <si>
    <t>scriptorium@wp.pl</t>
  </si>
  <si>
    <t>058-551-38-01</t>
  </si>
  <si>
    <t>Mazur</t>
  </si>
  <si>
    <t>Lipnica Górna 28</t>
  </si>
  <si>
    <t>38-200 Jasło</t>
  </si>
  <si>
    <t>607-473-192</t>
  </si>
  <si>
    <t>marcin_mazur1984</t>
  </si>
  <si>
    <t>mazur02@gmail.com</t>
  </si>
  <si>
    <t>+44-775-662-45-67</t>
  </si>
  <si>
    <t>Polar</t>
  </si>
  <si>
    <t>ul. Towarowa 23a</t>
  </si>
  <si>
    <t>500-806-161</t>
  </si>
  <si>
    <t>marphoto</t>
  </si>
  <si>
    <t>marpfoto@wp.pl</t>
  </si>
  <si>
    <t>Dziemianko</t>
  </si>
  <si>
    <t>Członek zwyczajny</t>
  </si>
  <si>
    <t>oś. Hallera 6/24</t>
  </si>
  <si>
    <t>73-110 Stargard Szczeciński</t>
  </si>
  <si>
    <t>rafciodz75</t>
  </si>
  <si>
    <t>rafdziem@op.pl</t>
  </si>
  <si>
    <t>Paul</t>
  </si>
  <si>
    <t>Stania</t>
  </si>
  <si>
    <t>Germanenstr. 80</t>
  </si>
  <si>
    <t>58509 Lüdenscheid</t>
  </si>
  <si>
    <t>rockepaul</t>
  </si>
  <si>
    <t>p.stania@online.de</t>
  </si>
  <si>
    <t>+492351459918</t>
  </si>
  <si>
    <t>Sebastian</t>
  </si>
  <si>
    <t>Czarkowski</t>
  </si>
  <si>
    <t>ul. Berberysowa 4/28</t>
  </si>
  <si>
    <t>81-084 Gdynia</t>
  </si>
  <si>
    <t>666-379-504</t>
  </si>
  <si>
    <t>sawagexss@wp.pl</t>
  </si>
  <si>
    <t>Maciej</t>
  </si>
  <si>
    <t>Jakimiec</t>
  </si>
  <si>
    <t>ul.Kozacka 9 C/37</t>
  </si>
  <si>
    <t>87-100 Toruń</t>
  </si>
  <si>
    <t>660-426-336</t>
  </si>
  <si>
    <t>maciej@copernicus-project.org</t>
  </si>
  <si>
    <t>Tomasz</t>
  </si>
  <si>
    <t>Momot</t>
  </si>
  <si>
    <t>ul. Rabiańska 17/14</t>
  </si>
  <si>
    <t>tomek.momot@googlemail.com</t>
  </si>
  <si>
    <t>+49 176 272 636 71</t>
  </si>
  <si>
    <t>Pierwsza składka</t>
  </si>
  <si>
    <t>Klasa I</t>
  </si>
  <si>
    <t>Kotarski</t>
  </si>
  <si>
    <t>ul. Eazma z Zakroczymia5/6</t>
  </si>
  <si>
    <t>03-185 Warszawa</t>
  </si>
  <si>
    <t>602-316-737</t>
  </si>
  <si>
    <t>andrzejkotarski</t>
  </si>
  <si>
    <t>andrzej.kotarski@gmail.com</t>
  </si>
  <si>
    <t>Nowakowski</t>
  </si>
  <si>
    <t>ul. Tęczy 2</t>
  </si>
  <si>
    <t>75-589 Koszalin</t>
  </si>
  <si>
    <t xml:space="preserve">sp1exb </t>
  </si>
  <si>
    <t>sp1exb@wp.pl</t>
  </si>
  <si>
    <t>Paweł</t>
  </si>
  <si>
    <t>Ślepski</t>
  </si>
  <si>
    <t>ul. Boczna 3/1</t>
  </si>
  <si>
    <t>Suwałki</t>
  </si>
  <si>
    <t>knod@wp.pl</t>
  </si>
  <si>
    <t>Bartosz</t>
  </si>
  <si>
    <t>Bujanowski</t>
  </si>
  <si>
    <t>ul. Jana Matejki 32</t>
  </si>
  <si>
    <t>15-196 Białystok</t>
  </si>
  <si>
    <t>bartosz.bujanowski</t>
  </si>
  <si>
    <t>bartoszbu@tlen.pl</t>
  </si>
  <si>
    <t>Olesiński</t>
  </si>
  <si>
    <t>Tumlin-Osowa ul. Sosnowa 7</t>
  </si>
  <si>
    <t>26-050 Zagnańsk</t>
  </si>
  <si>
    <t>placyden</t>
  </si>
  <si>
    <t>placydek@gmail.com</t>
  </si>
  <si>
    <t>Krystian</t>
  </si>
  <si>
    <t>Jasiński</t>
  </si>
  <si>
    <t>Emilii Plater 35/7</t>
  </si>
  <si>
    <t>16-400 Suwałki</t>
  </si>
  <si>
    <t>695 050 136</t>
  </si>
  <si>
    <t>krystian.all@gmail.com</t>
  </si>
  <si>
    <t>Jakubowski</t>
  </si>
  <si>
    <t>ul. Zachodnia 28a/32</t>
  </si>
  <si>
    <t>15-345 Białystok</t>
  </si>
  <si>
    <t>511 509 264 (9)</t>
  </si>
  <si>
    <t>tomasz.jakubowski1@gmail.com</t>
  </si>
  <si>
    <t xml:space="preserve">Łukasz </t>
  </si>
  <si>
    <t>Macias</t>
  </si>
  <si>
    <t>ul. Sobieskiego 26a/48</t>
  </si>
  <si>
    <t>15-014 Białystok</t>
  </si>
  <si>
    <t>506 700 268</t>
  </si>
  <si>
    <t>dbdrene</t>
  </si>
  <si>
    <t>dbd.rene@gmail.com</t>
  </si>
  <si>
    <t>Kwasek</t>
  </si>
  <si>
    <t>oś. Strusia 2/59</t>
  </si>
  <si>
    <t>31-807 Kraków</t>
  </si>
  <si>
    <t>696 643 479</t>
  </si>
  <si>
    <t>maciej@kwasek.pl</t>
  </si>
  <si>
    <t xml:space="preserve">Katarzyna </t>
  </si>
  <si>
    <t>Kostecka</t>
  </si>
  <si>
    <t>ul. Słoneczna 14c/46</t>
  </si>
  <si>
    <t>15-879 Białystok</t>
  </si>
  <si>
    <t>721 930 500</t>
  </si>
  <si>
    <t>k.kostecka01@gmail.com</t>
  </si>
  <si>
    <t>Sadowska</t>
  </si>
  <si>
    <t>ul. Sekwojowa 3</t>
  </si>
  <si>
    <t>15-523 Grabówka</t>
  </si>
  <si>
    <t>788 309 178</t>
  </si>
  <si>
    <t>kasiasadowska@wp.pl</t>
  </si>
  <si>
    <t xml:space="preserve">Paulina </t>
  </si>
  <si>
    <t>Pietrzyk</t>
  </si>
  <si>
    <t>ul. Upalna 7a/26</t>
  </si>
  <si>
    <t>15-668 Białystok</t>
  </si>
  <si>
    <t>695 031 123</t>
  </si>
  <si>
    <t>p.dessey@gmail.com</t>
  </si>
  <si>
    <t xml:space="preserve">Piotr </t>
  </si>
  <si>
    <t>Fiedorczuk</t>
  </si>
  <si>
    <t>ul. Antoniukowska 10a/66</t>
  </si>
  <si>
    <t>15-845 Białystok</t>
  </si>
  <si>
    <t>663 751 516</t>
  </si>
  <si>
    <t>piotr.fiedorczuk@gmail.com</t>
  </si>
  <si>
    <t>Fidziukiewicz</t>
  </si>
  <si>
    <t>ul.Cieliczańska 11</t>
  </si>
  <si>
    <t>16-030 Supraśl</t>
  </si>
  <si>
    <t>518 319 947</t>
  </si>
  <si>
    <t>fidziux@o2.pl</t>
  </si>
  <si>
    <t xml:space="preserve">Natalia </t>
  </si>
  <si>
    <t>Szczech</t>
  </si>
  <si>
    <t>ul. Dubois 17/4</t>
  </si>
  <si>
    <t>500 269 675</t>
  </si>
  <si>
    <t>natus1410@interia.pl</t>
  </si>
  <si>
    <t>Hołownia</t>
  </si>
  <si>
    <t>ul. Krasny Las 15</t>
  </si>
  <si>
    <t>510 631 144</t>
  </si>
  <si>
    <t>piecia600@gmail.com</t>
  </si>
  <si>
    <t>Cylwicki</t>
  </si>
  <si>
    <t>ul.Butkiewicza i Ulmana 5</t>
  </si>
  <si>
    <t>Joanna</t>
  </si>
  <si>
    <t>Czepiel</t>
  </si>
  <si>
    <t>ul. Dubois 19/31</t>
  </si>
  <si>
    <t>15-349 Białystok</t>
  </si>
  <si>
    <t>518 221 687</t>
  </si>
  <si>
    <t>czepieljoanna@gmail.com</t>
  </si>
  <si>
    <t xml:space="preserve">Jakub </t>
  </si>
  <si>
    <t>Doronowski</t>
  </si>
  <si>
    <t>ul. 3 Maja 3/2</t>
  </si>
  <si>
    <t>662 106 654</t>
  </si>
  <si>
    <t xml:space="preserve">Mateusz </t>
  </si>
  <si>
    <t>Czołomiej</t>
  </si>
  <si>
    <t>ul. Orla 21</t>
  </si>
  <si>
    <t>606 646 025</t>
  </si>
  <si>
    <t>rresst@gmail.com</t>
  </si>
  <si>
    <t>Kutyłowski</t>
  </si>
  <si>
    <t>ul. Wąska 2</t>
  </si>
  <si>
    <t>18-210 Szepietowo</t>
  </si>
  <si>
    <t>erich_faustbricht</t>
  </si>
  <si>
    <t>diamant707@wp.pl</t>
  </si>
  <si>
    <t>Czechowski</t>
  </si>
  <si>
    <t>ul. Branickiego 29/104</t>
  </si>
  <si>
    <t>15-085 Białystok</t>
  </si>
  <si>
    <t>729 119 739</t>
  </si>
  <si>
    <t>118czarny@interia.pl</t>
  </si>
  <si>
    <t>Leszek</t>
  </si>
  <si>
    <t>Polakowski</t>
  </si>
  <si>
    <t>ul. Mazurska 14/16</t>
  </si>
  <si>
    <t>wiepola@poczta.onet.pl</t>
  </si>
  <si>
    <t>Bekier</t>
  </si>
  <si>
    <t>ul. Sikorskiego 39</t>
  </si>
  <si>
    <t>82-200 Malbork</t>
  </si>
  <si>
    <t>600 889 910</t>
  </si>
  <si>
    <t>zorba723</t>
  </si>
  <si>
    <t>syndrom3@wp.pl</t>
  </si>
  <si>
    <t xml:space="preserve">Wojciech </t>
  </si>
  <si>
    <t>Głażewski</t>
  </si>
  <si>
    <t>ul. Chrobrego 1/34</t>
  </si>
  <si>
    <t>15-057 Białystok</t>
  </si>
  <si>
    <t>508 050 499</t>
  </si>
  <si>
    <t>wojciechglazewski@op.pl</t>
  </si>
  <si>
    <t>2011-11-31</t>
  </si>
  <si>
    <t>ul. Armii Krajowej 2</t>
  </si>
  <si>
    <t>05-071 Sulejówek</t>
  </si>
  <si>
    <t>bm@adwokat-malinowski.com</t>
  </si>
  <si>
    <t>Kuba</t>
  </si>
  <si>
    <t>Gawek</t>
  </si>
  <si>
    <t xml:space="preserve">ul. Jaworowa </t>
  </si>
  <si>
    <t xml:space="preserve">312-200 Pisz </t>
  </si>
  <si>
    <t xml:space="preserve">kuba.gawek@onet.pl </t>
  </si>
  <si>
    <t xml:space="preserve">Sebastian </t>
  </si>
  <si>
    <t>Rosenkiewicz</t>
  </si>
  <si>
    <t xml:space="preserve">ul. Nieborowska 44/68 </t>
  </si>
  <si>
    <t xml:space="preserve">80-034 Gdańsk </t>
  </si>
  <si>
    <t xml:space="preserve">hwhack@gmail.com </t>
  </si>
  <si>
    <t xml:space="preserve">Artur </t>
  </si>
  <si>
    <t>Biernat</t>
  </si>
  <si>
    <t>Sekretarz SK</t>
  </si>
  <si>
    <t>ul. Do Wilgi 22/66</t>
  </si>
  <si>
    <t>Kraków</t>
  </si>
  <si>
    <t>660 456 629</t>
  </si>
  <si>
    <t>arthmaster1@gmail.com</t>
  </si>
  <si>
    <t>Banasiak</t>
  </si>
  <si>
    <t xml:space="preserve">ul. Malwowa 3c </t>
  </si>
  <si>
    <t xml:space="preserve">05-825 Czarny Las </t>
  </si>
  <si>
    <t xml:space="preserve">abanasiakprivate@wp.eu </t>
  </si>
  <si>
    <t>Adrian</t>
  </si>
  <si>
    <t>Wieczorek</t>
  </si>
  <si>
    <t>ul. Zachodnia 3/2</t>
  </si>
  <si>
    <t>95-035 Ozorków</t>
  </si>
  <si>
    <t>wieczorek.adrian.86@gmail.com</t>
  </si>
  <si>
    <t>Julian</t>
  </si>
  <si>
    <t>Żyromski</t>
  </si>
  <si>
    <t>ul. 20 Stycznia 19/8</t>
  </si>
  <si>
    <t>85-081 Bydgoszcz</t>
  </si>
  <si>
    <t>zyromskij</t>
  </si>
  <si>
    <t>julian.zyromski@gmail.com</t>
  </si>
  <si>
    <t>Kochmański</t>
  </si>
  <si>
    <t xml:space="preserve">ul. Obozowa 19/75 </t>
  </si>
  <si>
    <t xml:space="preserve">01-425 Warszawa </t>
  </si>
  <si>
    <t xml:space="preserve">vs@data.pl </t>
  </si>
  <si>
    <t>Filip</t>
  </si>
  <si>
    <t>Twarowski</t>
  </si>
  <si>
    <t xml:space="preserve">ul. Kręta 8 m. 10 </t>
  </si>
  <si>
    <t xml:space="preserve">15-345 Białystok </t>
  </si>
  <si>
    <t xml:space="preserve">filiptwarowski@gmail.com </t>
  </si>
  <si>
    <t>Maurycy</t>
  </si>
  <si>
    <t>Leonik</t>
  </si>
  <si>
    <t>junior</t>
  </si>
  <si>
    <t>ul.Sw.Krzyża 11</t>
  </si>
  <si>
    <t>15-528 Sowlany</t>
  </si>
  <si>
    <t>thumper1999@wp.pl</t>
  </si>
  <si>
    <t>Maria</t>
  </si>
  <si>
    <t>Mojsak</t>
  </si>
  <si>
    <t>Ul.Kołłątaja 67/ 29</t>
  </si>
  <si>
    <t>15-774 Białystok</t>
  </si>
  <si>
    <t>marysia.mojsak</t>
  </si>
  <si>
    <t>mariamojsak@onet.pl</t>
  </si>
  <si>
    <t>Aleksander</t>
  </si>
  <si>
    <t>Kazański</t>
  </si>
  <si>
    <t xml:space="preserve">ul. Krucza 6 </t>
  </si>
  <si>
    <t xml:space="preserve">15-346 Białystok </t>
  </si>
  <si>
    <t xml:space="preserve">alex.varsovia@gmail.com </t>
  </si>
  <si>
    <t>Grzegorczyk</t>
  </si>
  <si>
    <t>ul. Cicha 38</t>
  </si>
  <si>
    <t xml:space="preserve">05-074 Halinów </t>
  </si>
  <si>
    <t xml:space="preserve">grzekuba38@onet.eu </t>
  </si>
  <si>
    <t>Kot</t>
  </si>
  <si>
    <t>ul. Deotymy 43a m39</t>
  </si>
  <si>
    <t>01-441 Warszawa</t>
  </si>
  <si>
    <t>adriankot83@gazeta.pl</t>
  </si>
  <si>
    <t>Damian</t>
  </si>
  <si>
    <t>Mayer</t>
  </si>
  <si>
    <t>ul. Rokicka 22c/7</t>
  </si>
  <si>
    <t>83-110 Tczew</t>
  </si>
  <si>
    <t>Vervex</t>
  </si>
  <si>
    <t>verex13@gmail.com</t>
  </si>
  <si>
    <t xml:space="preserve">Jarosław </t>
  </si>
  <si>
    <t>Kraszewski</t>
  </si>
  <si>
    <t xml:space="preserve">Kusocińskiego 31/3 </t>
  </si>
  <si>
    <t xml:space="preserve">70-237 Szczecin </t>
  </si>
  <si>
    <t xml:space="preserve">jkraszewski@wi.zut.edu.pl </t>
  </si>
  <si>
    <t>Klasa II</t>
  </si>
  <si>
    <t>Dariusz</t>
  </si>
  <si>
    <t>Kaliszuk</t>
  </si>
  <si>
    <t>ul. Sosnowa 25</t>
  </si>
  <si>
    <t>97-425 Kolonia Karczmy</t>
  </si>
  <si>
    <t>imago@pro.onet.pl</t>
  </si>
  <si>
    <t>Jaczewski</t>
  </si>
  <si>
    <t>Ludwinów 36</t>
  </si>
  <si>
    <t>07-100 Węgrów</t>
  </si>
  <si>
    <t>tomasz28175</t>
  </si>
  <si>
    <t>thomas.jaczewski@vp.pl</t>
  </si>
  <si>
    <t>Jarosław</t>
  </si>
  <si>
    <t>Czerwiński</t>
  </si>
  <si>
    <t>ul. Dobrowolskiego 8/11</t>
  </si>
  <si>
    <t>09-407 Płock</t>
  </si>
  <si>
    <t>yarco72</t>
  </si>
  <si>
    <t>yarco72@gmail.com</t>
  </si>
  <si>
    <t>Arkadiusz</t>
  </si>
  <si>
    <t>Beczek</t>
  </si>
  <si>
    <t>ul.Pogodna 23c</t>
  </si>
  <si>
    <t>05-261 Marki</t>
  </si>
  <si>
    <t>arkadiuszbeczek@o2.pl</t>
  </si>
  <si>
    <t>Wróbel</t>
  </si>
  <si>
    <t>ul. Skrzyneckiego 16</t>
  </si>
  <si>
    <t>05-080 Izabelin</t>
  </si>
  <si>
    <t>iras-wyry@wp.pl</t>
  </si>
  <si>
    <t>Błażej</t>
  </si>
  <si>
    <t>Na Skarpie 7/17</t>
  </si>
  <si>
    <t>zielok5@gmail.com</t>
  </si>
  <si>
    <t>Przemysław</t>
  </si>
  <si>
    <t>Majer</t>
  </si>
  <si>
    <t>ul. Krotoszyńska 5</t>
  </si>
  <si>
    <t>61-315 Poznań</t>
  </si>
  <si>
    <t>prm_ex@go2.pl</t>
  </si>
  <si>
    <t>Agnieszka</t>
  </si>
  <si>
    <t>Olek</t>
  </si>
  <si>
    <t>ul. Rodziny Poganów 2</t>
  </si>
  <si>
    <t>32-080 Zabierzów</t>
  </si>
  <si>
    <t>susan73@o2.pl</t>
  </si>
  <si>
    <t>Kruglej</t>
  </si>
  <si>
    <t>ul. Górna 3</t>
  </si>
  <si>
    <t>21-530 Piszczac</t>
  </si>
  <si>
    <t>rrzepkaa@gmail.com</t>
  </si>
  <si>
    <t>Wiśniewski</t>
  </si>
  <si>
    <t>ul.Świerkowa 13</t>
  </si>
  <si>
    <t>95-015 Głowno</t>
  </si>
  <si>
    <t>piotrwisniewski1@gmail.com</t>
  </si>
  <si>
    <t>Tibor</t>
  </si>
  <si>
    <t>Gira</t>
  </si>
  <si>
    <t>Domarski</t>
  </si>
  <si>
    <t>ul. Rynek 10</t>
  </si>
  <si>
    <t>39-200 Dębica</t>
  </si>
  <si>
    <t>gregores@op.pl</t>
  </si>
  <si>
    <t xml:space="preserve">Kamil </t>
  </si>
  <si>
    <t>Niklasiński</t>
  </si>
  <si>
    <t>ul. Pasłęcka 14C/72</t>
  </si>
  <si>
    <t>03-137 Warszawa</t>
  </si>
  <si>
    <t>kniklas</t>
  </si>
  <si>
    <t>kamil@niklasinski.com</t>
  </si>
  <si>
    <t>Bosak</t>
  </si>
  <si>
    <t>al. Powst. Wlkp. 2/9</t>
  </si>
  <si>
    <t>50-232 Wrocław</t>
  </si>
  <si>
    <t>kbosak</t>
  </si>
  <si>
    <t>kbosak@box43.pl</t>
  </si>
  <si>
    <t>Wiktor</t>
  </si>
  <si>
    <t>Zimoch</t>
  </si>
  <si>
    <t>ul. Świętokrzyska 61/1</t>
  </si>
  <si>
    <t>95-200 Pabianice</t>
  </si>
  <si>
    <t>42 791 80 39 46</t>
  </si>
  <si>
    <t xml:space="preserve">Tomasz </t>
  </si>
  <si>
    <t>Rewers</t>
  </si>
  <si>
    <t>ul. Owczarska 47</t>
  </si>
  <si>
    <t>43-100 Tychy</t>
  </si>
  <si>
    <t>nonamepl2</t>
  </si>
  <si>
    <t>tomasz.rewers@o.pl</t>
  </si>
  <si>
    <t>Miłosz</t>
  </si>
  <si>
    <t>ul. Kościuszki 15</t>
  </si>
  <si>
    <t>11-430 Korsze</t>
  </si>
  <si>
    <t>pjmilosz</t>
  </si>
  <si>
    <t>przemek@milodesign.pl</t>
  </si>
  <si>
    <t>Włodzimierz</t>
  </si>
  <si>
    <t>Daszewski</t>
  </si>
  <si>
    <t>ul. Serocka 8 m.5</t>
  </si>
  <si>
    <t>04-333 Warszawa</t>
  </si>
  <si>
    <t>wlodasz@wp.pl</t>
  </si>
  <si>
    <t>Borawski</t>
  </si>
  <si>
    <t>ul. Hlonda 2/111</t>
  </si>
  <si>
    <t>02-972 Warszawa</t>
  </si>
  <si>
    <t>aleksanderborawski@gmail.com</t>
  </si>
  <si>
    <t>Filip,Michał</t>
  </si>
  <si>
    <t>Huryń</t>
  </si>
  <si>
    <t>ul. Akacjowa 8</t>
  </si>
  <si>
    <t>15-801 Białystok</t>
  </si>
  <si>
    <t>zppt-bialystok@o2.pl</t>
  </si>
  <si>
    <t xml:space="preserve">Daniel </t>
  </si>
  <si>
    <t>Kalota</t>
  </si>
  <si>
    <t>ul. Targowa 10</t>
  </si>
  <si>
    <t>42-244 Mstów</t>
  </si>
  <si>
    <t>angorek55@gmail.com</t>
  </si>
  <si>
    <t>Konrad</t>
  </si>
  <si>
    <t>Kurpiński</t>
  </si>
  <si>
    <t>ul. Andersena 16b/6</t>
  </si>
  <si>
    <t>kurpin@gmail.com</t>
  </si>
  <si>
    <t xml:space="preserve">Szymon </t>
  </si>
  <si>
    <t>Tomczyk</t>
  </si>
  <si>
    <t>Kłecko 44</t>
  </si>
  <si>
    <t>62-270 Kłecko</t>
  </si>
  <si>
    <t>szymontuna@gmail.com</t>
  </si>
  <si>
    <t>Mizera</t>
  </si>
  <si>
    <t>os.Piastowskie 11a/4</t>
  </si>
  <si>
    <t>62-200 Gniezno</t>
  </si>
  <si>
    <t>adammizera@o2.pl</t>
  </si>
  <si>
    <t>Radosław Adam</t>
  </si>
  <si>
    <t>Kostępski</t>
  </si>
  <si>
    <t>ul. 1 Maja 64e/13</t>
  </si>
  <si>
    <t>27-500 Opatow</t>
  </si>
  <si>
    <t>rakostepski</t>
  </si>
  <si>
    <t>rakostepski@wp.pl</t>
  </si>
  <si>
    <t>de Noirmont</t>
  </si>
  <si>
    <t>BMSXE P.O. Box 106, Wojska Polskiego 36, UP Pił</t>
  </si>
  <si>
    <t>64-920 Piła</t>
  </si>
  <si>
    <t>capitano@cosmico-ventures.com</t>
  </si>
  <si>
    <t>ul. Jagiellońska 10H/5</t>
  </si>
  <si>
    <t>80-371 Gdańsk</t>
  </si>
  <si>
    <t>forsker@wp.pl</t>
  </si>
  <si>
    <t>Roman</t>
  </si>
  <si>
    <t>Streltov</t>
  </si>
  <si>
    <t>ul. Anielewicz 45/131</t>
  </si>
  <si>
    <t>01-160 Warszawa</t>
  </si>
  <si>
    <t>roma1198</t>
  </si>
  <si>
    <t>roma1198@yahoo.com</t>
  </si>
  <si>
    <t>Wojciech</t>
  </si>
  <si>
    <t>Staniszewski</t>
  </si>
  <si>
    <t>ul. Zielona 2a m16</t>
  </si>
  <si>
    <t>05-420 Józefów</t>
  </si>
  <si>
    <t>w.staniszewski@gmail.com</t>
  </si>
  <si>
    <t>Wojtasiewicz</t>
  </si>
  <si>
    <t>ul. Garwolińska 17/19 m2</t>
  </si>
  <si>
    <t>53-117 Wrocław</t>
  </si>
  <si>
    <t>tomasz.wojtasiewicz@gmail.com</t>
  </si>
  <si>
    <t>Stobierski-Bela</t>
  </si>
  <si>
    <t>ul.Wrocławska 75</t>
  </si>
  <si>
    <t>30-011 Kraków</t>
  </si>
  <si>
    <t>aleksander30x@gmail.com</t>
  </si>
  <si>
    <t xml:space="preserve">Dariusz </t>
  </si>
  <si>
    <t>Surmacz</t>
  </si>
  <si>
    <t>dariusz.surmacz@onet.eu</t>
  </si>
  <si>
    <t>Jakub</t>
  </si>
  <si>
    <t>Jackiewicz</t>
  </si>
  <si>
    <t>ul. Jana Pawła II 44</t>
  </si>
  <si>
    <t>05-074 Halinów</t>
  </si>
  <si>
    <t>kuba.jackiewicz@gmail.com</t>
  </si>
  <si>
    <t>Wojtowicz</t>
  </si>
  <si>
    <t>ul. Niedziałkowskiego 19/21 m.7</t>
  </si>
  <si>
    <t>26-610 Radom</t>
  </si>
  <si>
    <t>arkadiuszw@wp.pl</t>
  </si>
  <si>
    <t>Michał</t>
  </si>
  <si>
    <t>Radkowski</t>
  </si>
  <si>
    <t>ul. Siedlecka 87/13, Żelków-Kolonia</t>
  </si>
  <si>
    <t>08-110 Siedlce</t>
  </si>
  <si>
    <t>piegowatyr@interia.pl</t>
  </si>
  <si>
    <t>Ostatnia składka</t>
  </si>
  <si>
    <t>Miejscowość</t>
  </si>
  <si>
    <t>Instruktor</t>
  </si>
  <si>
    <t>Piotr Aureliusz</t>
  </si>
  <si>
    <t>robert.magiera@spaceforest.pl</t>
  </si>
  <si>
    <t>Wiceprezes</t>
  </si>
  <si>
    <t>rafaldziemianko@gmail.com</t>
  </si>
  <si>
    <t>marek.fedko@interia.eu</t>
  </si>
  <si>
    <t>ul. Meander 15/54</t>
  </si>
  <si>
    <t>ul. Unruga 56a/4</t>
  </si>
  <si>
    <t>81-181 Gdynia</t>
  </si>
  <si>
    <t>532-185-443</t>
  </si>
  <si>
    <t>hsosniak73@gmail.com</t>
  </si>
  <si>
    <t>brak wpłaty</t>
  </si>
  <si>
    <t>zbigniew.kapelan@op.pl</t>
  </si>
  <si>
    <t>Chwałki 81</t>
  </si>
  <si>
    <t>27-600 Sandomierz</t>
  </si>
  <si>
    <t>Przewodniczacy KR</t>
  </si>
  <si>
    <t>Blokowa 4 m. 147</t>
  </si>
  <si>
    <t>15-788 Białystok</t>
  </si>
  <si>
    <t>ul. Wesoła 8</t>
  </si>
  <si>
    <t xml:space="preserve">05-822 Milanówek </t>
  </si>
  <si>
    <t>Leokadia 28</t>
  </si>
  <si>
    <t>08-450 Łaskarzew</t>
  </si>
  <si>
    <t xml:space="preserve">ul. Siedmiogrodzka 1 / 202 </t>
  </si>
  <si>
    <t xml:space="preserve">01-204 Warszawa </t>
  </si>
  <si>
    <t>tomasz.rewers@o2.pl</t>
  </si>
  <si>
    <t>maciejsew@o2.pl</t>
  </si>
  <si>
    <t>ul.Poleska 39a / 27</t>
  </si>
  <si>
    <t>25-325 Kielce</t>
  </si>
  <si>
    <t>BMSXE P.O. Box 106, Wojska Polskiego 36, UP Piła</t>
  </si>
  <si>
    <t>Czarkowski.sebastian@gmail.com</t>
  </si>
  <si>
    <t>ul. Arkuszowa 60</t>
  </si>
  <si>
    <t>01-934 Warszawa</t>
  </si>
  <si>
    <t>wstaniszewski</t>
  </si>
  <si>
    <t>brak danych</t>
  </si>
  <si>
    <t>Grzybek</t>
  </si>
  <si>
    <t>Adamów 23</t>
  </si>
  <si>
    <t xml:space="preserve">27-500 Opatów </t>
  </si>
  <si>
    <t>andrzej2733@o2.pl</t>
  </si>
  <si>
    <t>Mrugalski</t>
  </si>
  <si>
    <t>ul. Taneczna 9/21</t>
  </si>
  <si>
    <t>80-177 Gdańsk</t>
  </si>
  <si>
    <t>gnuthomson</t>
  </si>
  <si>
    <t>spam.ptr@klub.com.pl</t>
  </si>
  <si>
    <t xml:space="preserve">Jacek </t>
  </si>
  <si>
    <t>Kropiwnicki</t>
  </si>
  <si>
    <t>ul. Atłasowa 20/8</t>
  </si>
  <si>
    <t>15-680 Białystok</t>
  </si>
  <si>
    <t>jacek0427@o2.pl</t>
  </si>
  <si>
    <t>Rubin</t>
  </si>
  <si>
    <t>ul. Powstania Styczniowego 18/28</t>
  </si>
  <si>
    <t>16-070 Choroszcz</t>
  </si>
  <si>
    <t>grzegorz.rubin@gmail.com</t>
  </si>
  <si>
    <t>Kwiatkowski</t>
  </si>
  <si>
    <t>Os.złotego wieku 9/1</t>
  </si>
  <si>
    <t xml:space="preserve">31-615 Kraków </t>
  </si>
  <si>
    <t>johny11.90@o2.pl</t>
  </si>
  <si>
    <t>Łukasz</t>
  </si>
  <si>
    <t>Szloser</t>
  </si>
  <si>
    <t>ul. Wróblewskiego 53G/2</t>
  </si>
  <si>
    <t>41-106 Siemianowice</t>
  </si>
  <si>
    <t>toster_14</t>
  </si>
  <si>
    <t>szloser.lukasz@gmail.com</t>
  </si>
  <si>
    <t>Agata, Maria</t>
  </si>
  <si>
    <t>Kołodziejczyk</t>
  </si>
  <si>
    <t>ul. Królowej Jadwigi</t>
  </si>
  <si>
    <t>30-218 Kraków</t>
  </si>
  <si>
    <t>Agata Maria Kołodziejczyk</t>
  </si>
  <si>
    <t>fichbio@gmail.com</t>
  </si>
  <si>
    <t>ul. Kasprzaka 2</t>
  </si>
  <si>
    <t>Białystok</t>
  </si>
  <si>
    <t xml:space="preserve">Rafał </t>
  </si>
  <si>
    <t>Żukowski</t>
  </si>
  <si>
    <t>ul. Przytulna 30</t>
  </si>
  <si>
    <t>15- 157 Białystok</t>
  </si>
  <si>
    <t>rafael734@op.pl</t>
  </si>
  <si>
    <t>Rarata</t>
  </si>
  <si>
    <t>ul. Makolągwy 23/1</t>
  </si>
  <si>
    <t>02-811 Warszawa</t>
  </si>
  <si>
    <t>grzegorz.rarata@ilot.edu.pl</t>
  </si>
  <si>
    <t>Szczepiński</t>
  </si>
  <si>
    <t>ul. Prymasa Wyszyńskiego 19/1</t>
  </si>
  <si>
    <t>87-800 Włocławek</t>
  </si>
  <si>
    <t>694-702-643</t>
  </si>
  <si>
    <t>p.szczepinski@gmail.com</t>
  </si>
  <si>
    <t>Porowski</t>
  </si>
  <si>
    <t>ul. Gandhiego 6/79</t>
  </si>
  <si>
    <t>02-645 Warszawa</t>
  </si>
  <si>
    <t>rporowski@gmail.com</t>
  </si>
  <si>
    <t>Karol</t>
  </si>
  <si>
    <t>Trzeszczkowski</t>
  </si>
  <si>
    <t>ul. Modrzewiowa 12</t>
  </si>
  <si>
    <t>karol.trzeszczkowski@gmail.com</t>
  </si>
  <si>
    <t>Głownia</t>
  </si>
  <si>
    <t>ul. Kaliska 37</t>
  </si>
  <si>
    <t>63-510 Mikstat</t>
  </si>
  <si>
    <t>pietrekglownia@wp.pl</t>
  </si>
  <si>
    <t>Postulka</t>
  </si>
  <si>
    <t>Barrtos@gmail.com</t>
  </si>
  <si>
    <t>Marek Daniel</t>
  </si>
  <si>
    <t>Antoniuk</t>
  </si>
  <si>
    <t>ul. Akacjowa 7</t>
  </si>
  <si>
    <t>84-240 Gdynia</t>
  </si>
  <si>
    <t>marekdanielantoniuk@gmail.com</t>
  </si>
  <si>
    <t>Hanna</t>
  </si>
  <si>
    <t>Chojnowska</t>
  </si>
  <si>
    <t>ul. Przepiórki 25</t>
  </si>
  <si>
    <t>15-580 Białystok</t>
  </si>
  <si>
    <t>basik.chojnowska@gmail.com</t>
  </si>
  <si>
    <t>uzupełnienie KSard</t>
  </si>
  <si>
    <t>zwrot - nieprawidłowy adres</t>
  </si>
  <si>
    <t>nowa wpłata</t>
  </si>
  <si>
    <t>Klasa III</t>
  </si>
  <si>
    <t>Przewodniczacy SK</t>
  </si>
  <si>
    <t>Michał Mikołaj</t>
  </si>
  <si>
    <t>Członek junior</t>
  </si>
  <si>
    <t>Filip Wojciech</t>
  </si>
  <si>
    <t>Rybka</t>
  </si>
  <si>
    <t>ul. Krańcowa 7</t>
  </si>
  <si>
    <t>62-040 Puszczykowo</t>
  </si>
  <si>
    <t>philrybka</t>
  </si>
  <si>
    <t>filrybka@gmail.com</t>
  </si>
  <si>
    <t xml:space="preserve">Grzegorz </t>
  </si>
  <si>
    <t>Jędrzejek</t>
  </si>
  <si>
    <t>ul. Wydryńska 6</t>
  </si>
  <si>
    <t>25-331 Kielce</t>
  </si>
  <si>
    <t>makusnr9@wp.pl</t>
  </si>
  <si>
    <t xml:space="preserve">Bartosz </t>
  </si>
  <si>
    <t>Moczała</t>
  </si>
  <si>
    <t>ul. Rynek 24/6</t>
  </si>
  <si>
    <t>44-300 Wodzisław Śląski</t>
  </si>
  <si>
    <t>bartoszmoczala@gmail.com</t>
  </si>
  <si>
    <t>Dróżdż</t>
  </si>
  <si>
    <t>ul. Sadowa 8</t>
  </si>
  <si>
    <t>55-010 Radomierzyce</t>
  </si>
  <si>
    <t>biuro@wspolnyswiat.com.pl</t>
  </si>
  <si>
    <t>Kruczek</t>
  </si>
  <si>
    <t>ul.Żeromskiego 25/39</t>
  </si>
  <si>
    <t>01-882 Warszawa</t>
  </si>
  <si>
    <t>rakiety@sunmodels.pl</t>
  </si>
  <si>
    <t>Tendera</t>
  </si>
  <si>
    <t>ul.Wodzisławska 177b</t>
  </si>
  <si>
    <t>44-200 Rybnik</t>
  </si>
  <si>
    <t>kobra_rybnik@poczta.onet.pl</t>
  </si>
  <si>
    <t>Anna</t>
  </si>
  <si>
    <t>Sikorska</t>
  </si>
  <si>
    <t>Tyszki-Łabno 19</t>
  </si>
  <si>
    <t>18-500 Kolno</t>
  </si>
  <si>
    <t>Zładych</t>
  </si>
  <si>
    <t>ul. Mazowiecka 84/26</t>
  </si>
  <si>
    <t>30-023 Kraków</t>
  </si>
  <si>
    <t>temporal.pl@gmail.com</t>
  </si>
  <si>
    <t>Toczyski</t>
  </si>
  <si>
    <t>ul. Świętojerska 16/30</t>
  </si>
  <si>
    <t>00-202 Warszawa</t>
  </si>
  <si>
    <t>toczyski@gmail.com</t>
  </si>
  <si>
    <t>Baran</t>
  </si>
  <si>
    <t>ul. Krucza 11</t>
  </si>
  <si>
    <t>42-530 Dąbrowa Górnicza</t>
  </si>
  <si>
    <t>przemyslawbaran@me.com</t>
  </si>
  <si>
    <t>Buczek</t>
  </si>
  <si>
    <t>ul. mokra 22</t>
  </si>
  <si>
    <t>32-005 Niepołomice </t>
  </si>
  <si>
    <t>devilektb@gmail.com </t>
  </si>
  <si>
    <t>Sławomir</t>
  </si>
  <si>
    <t>Huczała</t>
  </si>
  <si>
    <t>Forum</t>
  </si>
  <si>
    <t>Adres do korespondencji</t>
  </si>
  <si>
    <t>andrzej.magiera@spaceforest.pl</t>
  </si>
  <si>
    <t>wojteks</t>
  </si>
  <si>
    <t>Legionów 107k/2</t>
  </si>
  <si>
    <t>81-472 Gdynia</t>
  </si>
  <si>
    <t>ul. Mokra 22</t>
  </si>
  <si>
    <t>ul. Międzyblokowa 12a/4</t>
  </si>
  <si>
    <t>41-706 Ruda Śląska</t>
  </si>
  <si>
    <t>s.huczala@spartaqs.com</t>
  </si>
  <si>
    <t>kutylowski.lukasz.1@gmail.com</t>
  </si>
  <si>
    <t>ul. Budryka 7/304 a</t>
  </si>
  <si>
    <t>30-072 Kraków</t>
  </si>
  <si>
    <t>bartosz.postulka@gmail.com</t>
  </si>
  <si>
    <t>Witold</t>
  </si>
  <si>
    <t>Bużantowicz</t>
  </si>
  <si>
    <t>Lucerny 1A/15</t>
  </si>
  <si>
    <t>05-850 Kręczki</t>
  </si>
  <si>
    <t>witold.buzantowicz@wat.edu.pl</t>
  </si>
  <si>
    <t>Mateusz</t>
  </si>
  <si>
    <t>Harasymczuk</t>
  </si>
  <si>
    <t>Reymonta 21/9</t>
  </si>
  <si>
    <t>60-791 Poznan</t>
  </si>
  <si>
    <t>haras.pl</t>
  </si>
  <si>
    <t>rakiety.org.pl@haras.pl</t>
  </si>
  <si>
    <t>Matt</t>
  </si>
  <si>
    <t>Langiewicz</t>
  </si>
  <si>
    <t>Budziszyńska 19/7</t>
  </si>
  <si>
    <t>70-023 Szczecin</t>
  </si>
  <si>
    <t>plangiewicz@hotmail.com</t>
  </si>
  <si>
    <t>plangiewicz</t>
  </si>
  <si>
    <t>Matysiak</t>
  </si>
  <si>
    <t>K.I.Gałczyńskiego 5</t>
  </si>
  <si>
    <t>63-000 Środa Wielkopolska</t>
  </si>
  <si>
    <t>mat581@wp.pl</t>
  </si>
  <si>
    <t>Dawid</t>
  </si>
  <si>
    <t>Pieper</t>
  </si>
  <si>
    <t>Krasickiego 5</t>
  </si>
  <si>
    <t>84-239 Bolszewo</t>
  </si>
  <si>
    <t>dawid.pieper</t>
  </si>
  <si>
    <t>dawidpieper@o2.pl</t>
  </si>
  <si>
    <t>Korniluk</t>
  </si>
  <si>
    <t>Żnińska 33</t>
  </si>
  <si>
    <t>88-410 Gąsawa</t>
  </si>
  <si>
    <t>kornilukjj@gmail.com</t>
  </si>
  <si>
    <t>Zapałka89</t>
  </si>
  <si>
    <t>Ostaszewski</t>
  </si>
  <si>
    <t>Nowowola 104</t>
  </si>
  <si>
    <t>16-130 Janów</t>
  </si>
  <si>
    <t>m.ostaszewski22@gmail.com</t>
  </si>
  <si>
    <t>KapitanPoFakcie</t>
  </si>
  <si>
    <t>Patryk</t>
  </si>
  <si>
    <t>Wycech</t>
  </si>
  <si>
    <t>Raniuszika 2</t>
  </si>
  <si>
    <t>02-838 Warszawa</t>
  </si>
  <si>
    <t>p.wycech@gmail.com</t>
  </si>
  <si>
    <t>Trawa</t>
  </si>
  <si>
    <t>Nowa 15</t>
  </si>
  <si>
    <t>26-670 Pionki</t>
  </si>
  <si>
    <t>michaltrawa@wp.pl</t>
  </si>
  <si>
    <t>Justyna</t>
  </si>
  <si>
    <t>Jakoniuk</t>
  </si>
  <si>
    <t>Grabanów 105a</t>
  </si>
  <si>
    <t>21-500 Biała Podlaska</t>
  </si>
  <si>
    <t>justyna.jakoniuk</t>
  </si>
  <si>
    <t>justyna.jakoniuk@gmail.com</t>
  </si>
  <si>
    <t>Mika</t>
  </si>
  <si>
    <t>Karolewski</t>
  </si>
  <si>
    <t>Malinowa 46</t>
  </si>
  <si>
    <t>87-100  Toruń</t>
  </si>
  <si>
    <t>lukkarol30@gmail.com</t>
  </si>
  <si>
    <t>MissileMan</t>
  </si>
  <si>
    <t xml:space="preserve">Adrian </t>
  </si>
  <si>
    <t>Szwaba</t>
  </si>
  <si>
    <t>Słowackiego 27/48</t>
  </si>
  <si>
    <t>80-257 Gdańsk</t>
  </si>
  <si>
    <t>sz-adi</t>
  </si>
  <si>
    <t>adrian.szwaba@spaceforest.pl</t>
  </si>
  <si>
    <t>Jerzy</t>
  </si>
  <si>
    <t>Michalski</t>
  </si>
  <si>
    <t>Spokojna 7</t>
  </si>
  <si>
    <t>80-209 Chwaszczyno</t>
  </si>
  <si>
    <t>jerzy.michalski@spaceforest.pl</t>
  </si>
  <si>
    <t>Pogodna 23C, 05-261 Marki</t>
  </si>
  <si>
    <t>Paulina</t>
  </si>
  <si>
    <t>Szajbel</t>
  </si>
  <si>
    <t>Olszynowa 2/6</t>
  </si>
  <si>
    <t>paulina.szajbel</t>
  </si>
  <si>
    <t>paulina.szajbel@op.pl</t>
  </si>
  <si>
    <t>Dziczek</t>
  </si>
  <si>
    <t>Hurynowicz 5A/10</t>
  </si>
  <si>
    <t>kubaczdz1</t>
  </si>
  <si>
    <t>jakub@ddz2.net</t>
  </si>
  <si>
    <t>Kubacz</t>
  </si>
  <si>
    <t>Goczkowski</t>
  </si>
  <si>
    <t>Świerkowa 11</t>
  </si>
  <si>
    <t>83-120 Mała Słońca</t>
  </si>
  <si>
    <t>perk166@gmail.com</t>
  </si>
  <si>
    <t>perkx166@gmail.com</t>
  </si>
  <si>
    <t xml:space="preserve">Adam </t>
  </si>
  <si>
    <t>Wachowski</t>
  </si>
  <si>
    <t>Al. Grunwaldzka 170/4</t>
  </si>
  <si>
    <t>80-236 - Gdańsk</t>
  </si>
  <si>
    <t>wachowski.adam.janusz@gmail.com</t>
  </si>
  <si>
    <t>Wachowsky</t>
  </si>
  <si>
    <t>Mikołajczuk</t>
  </si>
  <si>
    <t>Legionów 36/10</t>
  </si>
  <si>
    <t>82-300 Elbląg</t>
  </si>
  <si>
    <t>matimik12@wp.pl</t>
  </si>
  <si>
    <t>mateusz_m</t>
  </si>
  <si>
    <t>Karolina</t>
  </si>
  <si>
    <t>Andruszkiewicz</t>
  </si>
  <si>
    <t>Powstania Styczniowego 18/16</t>
  </si>
  <si>
    <t>81-519 Gdynia</t>
  </si>
  <si>
    <t>karolaandruszkiewicz@gmail.com</t>
  </si>
  <si>
    <t>Strehlau</t>
  </si>
  <si>
    <t>Michałowskiego 12F/8</t>
  </si>
  <si>
    <t>wojciech.strehlau@gmail.com</t>
  </si>
  <si>
    <t xml:space="preserve"> Hucik</t>
  </si>
  <si>
    <t>ul. 1-go Maja 9</t>
  </si>
  <si>
    <t>19-504 Żytkiejmy</t>
  </si>
  <si>
    <t>krzysztof.hucik</t>
  </si>
  <si>
    <t>krzysztofhucik@gmail.com</t>
  </si>
  <si>
    <t>grubyniedzwiedz</t>
  </si>
  <si>
    <t>Libich</t>
  </si>
  <si>
    <t>Nowogrodzka 48/2</t>
  </si>
  <si>
    <t>81-312 Gdynia</t>
  </si>
  <si>
    <t>lukasz.libich@o2.pl</t>
  </si>
  <si>
    <t>Perkq</t>
  </si>
  <si>
    <t>Garwolińska 17/19 m2</t>
  </si>
  <si>
    <t>Dłużewski</t>
  </si>
  <si>
    <t>ul. Borówkowa 63</t>
  </si>
  <si>
    <t>61-160 Czapury</t>
  </si>
  <si>
    <t>r.dluzewski@gmail.com</t>
  </si>
  <si>
    <t>debros</t>
  </si>
  <si>
    <t>Olesz</t>
  </si>
  <si>
    <t>Raduńska 3</t>
  </si>
  <si>
    <t>83-050 Kolbudy</t>
  </si>
  <si>
    <t>dj.oleszcz</t>
  </si>
  <si>
    <t>jakub.olesz@gmail.com</t>
  </si>
  <si>
    <t>kuba</t>
  </si>
  <si>
    <t>Radosław</t>
  </si>
  <si>
    <t>Karpow</t>
  </si>
  <si>
    <t>Brązowa 67/2</t>
  </si>
  <si>
    <t>70-781 Szczecin</t>
  </si>
  <si>
    <t>radoslaw.karpow@km.kongsberg.com</t>
  </si>
  <si>
    <t>radoslaw.karpow@gmail.com</t>
  </si>
  <si>
    <t>Chruściński</t>
  </si>
  <si>
    <t>ul. Władysława Raymonta 19d/4</t>
  </si>
  <si>
    <t>80-290 Gdańsk</t>
  </si>
  <si>
    <t>m.chruscinski1994@gmail.com</t>
  </si>
  <si>
    <t>Lachowski</t>
  </si>
  <si>
    <t>Kościelna 18a</t>
  </si>
  <si>
    <t>76-248 Dębnica Kaszubska</t>
  </si>
  <si>
    <t>w.redwind4@gmail.com</t>
  </si>
  <si>
    <t xml:space="preserve">Michał </t>
  </si>
  <si>
    <t>Kowalczyk</t>
  </si>
  <si>
    <t>Fenikowskiego 1/29</t>
  </si>
  <si>
    <t>84-240 Reda</t>
  </si>
  <si>
    <t>michal.95.kowal@gmail.com</t>
  </si>
  <si>
    <t>multizwierze</t>
  </si>
  <si>
    <t>Chełstowski</t>
  </si>
  <si>
    <t>Bohaterów Starówki Warszawskiej 23/16</t>
  </si>
  <si>
    <t>81-466 Gdynia</t>
  </si>
  <si>
    <t>t.chelst@gmail.com</t>
  </si>
  <si>
    <t xml:space="preserve">Paweł </t>
  </si>
  <si>
    <t>Żabiłowicz</t>
  </si>
  <si>
    <t>Jana III Sobieskiego 6</t>
  </si>
  <si>
    <t>zaba711@gmail.com</t>
  </si>
  <si>
    <t>Stanisława Wyspiańskiego 9, 80-432 - Gdańsk</t>
  </si>
  <si>
    <t>Kamila</t>
  </si>
  <si>
    <t>kamila.sadel1@gmail.com</t>
  </si>
  <si>
    <t>KamilaM</t>
  </si>
  <si>
    <t xml:space="preserve">Jędrzej </t>
  </si>
  <si>
    <t>Kondek</t>
  </si>
  <si>
    <t>Miłosza 10</t>
  </si>
  <si>
    <t>80-126 Gdańsk</t>
  </si>
  <si>
    <t>jedrek.kondek@gmail.com</t>
  </si>
  <si>
    <t>JedrekK</t>
  </si>
  <si>
    <t>Natalia</t>
  </si>
  <si>
    <t>Balogh</t>
  </si>
  <si>
    <t>W. Szefki 4H/13</t>
  </si>
  <si>
    <t>81-572 Gdynia</t>
  </si>
  <si>
    <t>natbalogh1@gmail.com</t>
  </si>
  <si>
    <t xml:space="preserve">Filip </t>
  </si>
  <si>
    <t>Szymański</t>
  </si>
  <si>
    <t>Piłsudskiego 26/8</t>
  </si>
  <si>
    <t>72-010 Police</t>
  </si>
  <si>
    <t>arren13@gmail.com</t>
  </si>
  <si>
    <t>Traugutta 115b / 609b1, 80-226 - Gdańsk</t>
  </si>
  <si>
    <t>Sandra</t>
  </si>
  <si>
    <t>Szczupaczyńska-Zalewska</t>
  </si>
  <si>
    <t>ul. Jeleniogórska 7c/5</t>
  </si>
  <si>
    <t>80-180 Gdańsk</t>
  </si>
  <si>
    <t>sandra.sz.zalewska@gmail.com</t>
  </si>
  <si>
    <t>Kaczorek</t>
  </si>
  <si>
    <t>Wilkowiecka 23 k 2</t>
  </si>
  <si>
    <t>03-035 Warszawa</t>
  </si>
  <si>
    <t>tomkaczorek</t>
  </si>
  <si>
    <t>tomasz.kaczorek@gmail.com</t>
  </si>
  <si>
    <t>Angelika</t>
  </si>
  <si>
    <t xml:space="preserve"> Konefał</t>
  </si>
  <si>
    <t>ul. Poznańska 2b/2</t>
  </si>
  <si>
    <t>78-400 Szczecinek</t>
  </si>
  <si>
    <t>angelikakonefal@wp.pl</t>
  </si>
  <si>
    <t>Szczebak</t>
  </si>
  <si>
    <t>Słoneczna 14</t>
  </si>
  <si>
    <t>55-002 Kamieniec Wrocławski</t>
  </si>
  <si>
    <t>filip.szczebak</t>
  </si>
  <si>
    <t>f.szczebak@gmail.com</t>
  </si>
  <si>
    <t>Kowalczyka 18</t>
  </si>
  <si>
    <t>42-209 Częstochowa</t>
  </si>
  <si>
    <t>silverfin19</t>
  </si>
  <si>
    <t>jdobrowolski06@gmail.com</t>
  </si>
  <si>
    <t>Kuba_SpaceUp</t>
  </si>
  <si>
    <t>os. Kazimierza Wielkiego 5/3</t>
  </si>
  <si>
    <t>37-530 Sieniawa</t>
  </si>
  <si>
    <t>m93malinowski@gmail.com</t>
  </si>
  <si>
    <t>Sawicki</t>
  </si>
  <si>
    <t>Jasna 1</t>
  </si>
  <si>
    <t>66-450 Bogdaniec</t>
  </si>
  <si>
    <t>mareksawicky@gmail.com</t>
  </si>
  <si>
    <t>Łysakowski</t>
  </si>
  <si>
    <t>Paprotki 35</t>
  </si>
  <si>
    <t>02-747 Warszawa</t>
  </si>
  <si>
    <t>astrowelon@gmail.com</t>
  </si>
  <si>
    <t>LITR</t>
  </si>
  <si>
    <t>ROKICKA 22C7</t>
  </si>
  <si>
    <t>83-110 TCZEW</t>
  </si>
  <si>
    <t>MAYERKAD@WP.PL</t>
  </si>
  <si>
    <t>Strzelczyk</t>
  </si>
  <si>
    <t>Akacjowa 56B</t>
  </si>
  <si>
    <t>35-113 Rzeszów</t>
  </si>
  <si>
    <t>piotr.ma.strzelczyk@gmail.com</t>
  </si>
  <si>
    <t>Czapski</t>
  </si>
  <si>
    <t>Szyprów 6E/5</t>
  </si>
  <si>
    <t>80-335 Gdańsk</t>
  </si>
  <si>
    <t>mati.czapski@gmail.com</t>
  </si>
  <si>
    <t>Belmondoe</t>
  </si>
  <si>
    <t>Jagiellońska 10B/85, 80-371 - Gdańsk</t>
  </si>
  <si>
    <t xml:space="preserve">Kacper </t>
  </si>
  <si>
    <t>Kłosiński</t>
  </si>
  <si>
    <t>ul. Kielnik 55</t>
  </si>
  <si>
    <t>32-010 Goszcza</t>
  </si>
  <si>
    <t>kkosiski@gmail.com</t>
  </si>
  <si>
    <t>Battery</t>
  </si>
  <si>
    <t>Lubański</t>
  </si>
  <si>
    <t>Ochla- Prosta 13</t>
  </si>
  <si>
    <t>66-006 Zielona Góra</t>
  </si>
  <si>
    <t>lubanskikuba@gmail.com</t>
  </si>
  <si>
    <t>2019--04-10</t>
  </si>
  <si>
    <t>Kazimierza Górskiego 5</t>
  </si>
  <si>
    <t>83-330, Skrzeszewo</t>
  </si>
  <si>
    <t>eldiabl0</t>
  </si>
  <si>
    <t>15-162 Białystok</t>
  </si>
  <si>
    <t>ul. Królowej Jadwigi 322 m. 4</t>
  </si>
  <si>
    <t>WITOLD@WBINT.PL</t>
  </si>
  <si>
    <t>ul. Słowackiego 173, 80-298 Gdańsk</t>
  </si>
  <si>
    <t>Pilotów 17B/28</t>
  </si>
  <si>
    <t>80-460 Gdańsk</t>
  </si>
  <si>
    <t>zaba711</t>
  </si>
  <si>
    <t>Pilotów 17B/28, 80-460 Gdańsk</t>
  </si>
  <si>
    <t xml:space="preserve">Witold </t>
  </si>
  <si>
    <t>Lucerny 1A m. 15</t>
  </si>
  <si>
    <t>witold@wbint.pl</t>
  </si>
  <si>
    <t>Wszelaki</t>
  </si>
  <si>
    <t>Ogniowa 4/2</t>
  </si>
  <si>
    <t>konwszelaki@gmail.com</t>
  </si>
  <si>
    <t>Twaróg</t>
  </si>
  <si>
    <t>Biała Droga 81</t>
  </si>
  <si>
    <t>34-123 Chocznia</t>
  </si>
  <si>
    <t>pieroogenator@gmail.com</t>
  </si>
  <si>
    <t>pierOOg</t>
  </si>
  <si>
    <t xml:space="preserve">Marek </t>
  </si>
  <si>
    <t>Płochów</t>
  </si>
  <si>
    <t>Młochowska, 175</t>
  </si>
  <si>
    <t>05-831 Rozalin</t>
  </si>
  <si>
    <t>marek.plochow@gmail.com</t>
  </si>
  <si>
    <t xml:space="preserve">Ewelina </t>
  </si>
  <si>
    <t>Nowak</t>
  </si>
  <si>
    <t>Sikorek 17</t>
  </si>
  <si>
    <t>41-705 Ruda Śląska</t>
  </si>
  <si>
    <t>ewenow@interia.eu</t>
  </si>
  <si>
    <t>Młochowska 175, 05-831 - Rozzalin</t>
  </si>
  <si>
    <t>Jagiellońska 10H/5</t>
  </si>
  <si>
    <t>Forsker</t>
  </si>
  <si>
    <t>Kulej</t>
  </si>
  <si>
    <t>Bogucin Mały 24</t>
  </si>
  <si>
    <t>32-300 Olkusz</t>
  </si>
  <si>
    <t>kuba.kulej1</t>
  </si>
  <si>
    <t>kubex1111@gmail.com</t>
  </si>
  <si>
    <t>KubaK</t>
  </si>
  <si>
    <t xml:space="preserve"> Kant</t>
  </si>
  <si>
    <t>Strzelców 24/30</t>
  </si>
  <si>
    <t>81-586 - Gdynia</t>
  </si>
  <si>
    <t>przemo.kant</t>
  </si>
  <si>
    <t>przemyslaw.kant@spaceforest.pl</t>
  </si>
  <si>
    <t>Prażak</t>
  </si>
  <si>
    <t>Druckiego Lubeckiego 6</t>
  </si>
  <si>
    <t>25-818 Kielce</t>
  </si>
  <si>
    <t>pawelprazak@gmail.com</t>
  </si>
  <si>
    <t>Żeromskiego 25/39</t>
  </si>
  <si>
    <t>tomasz.911@wp.pl</t>
  </si>
  <si>
    <t>Sarnowski</t>
  </si>
  <si>
    <t>UL. ORZESZKOWEJ 2/2</t>
  </si>
  <si>
    <t>80-209 CHWASZCZYNO</t>
  </si>
  <si>
    <t>msarnowski</t>
  </si>
  <si>
    <t>marcin.sarnowski@msar.pl</t>
  </si>
  <si>
    <t xml:space="preserve">Mariusz </t>
  </si>
  <si>
    <t>Trzciński</t>
  </si>
  <si>
    <t>Szarych Szeregów 1</t>
  </si>
  <si>
    <t>23-100 Bychawa</t>
  </si>
  <si>
    <t>mariuszt86@gmail.com</t>
  </si>
  <si>
    <t>Zając</t>
  </si>
  <si>
    <t>Przy Agorze 18a/14</t>
  </si>
  <si>
    <t>01-930 Warszawa</t>
  </si>
  <si>
    <t>zzajaczbigniew@gmail.com</t>
  </si>
  <si>
    <t>Krzaczyński</t>
  </si>
  <si>
    <t>Pustułek 28</t>
  </si>
  <si>
    <t>40-668 Katowice</t>
  </si>
  <si>
    <t>rafal.krzaczynski@gmail.com</t>
  </si>
  <si>
    <t>Shagr</t>
  </si>
  <si>
    <t xml:space="preserve">Dominik </t>
  </si>
  <si>
    <t>Hamala</t>
  </si>
  <si>
    <t>Bagrowa 74/12</t>
  </si>
  <si>
    <t>30-733 Kraków</t>
  </si>
  <si>
    <t>grabase@gmail.com</t>
  </si>
  <si>
    <t>Vigoniusz</t>
  </si>
  <si>
    <t xml:space="preserve">Jerzy </t>
  </si>
  <si>
    <t>Rębecki</t>
  </si>
  <si>
    <t>Nyska 72/21</t>
  </si>
  <si>
    <t>50-505 Wrocław</t>
  </si>
  <si>
    <t>rebecki108@gmail.com</t>
  </si>
  <si>
    <t>Aleksandra</t>
  </si>
  <si>
    <t>Włodarska</t>
  </si>
  <si>
    <t>Kwaczała, ul. Spokojna 11</t>
  </si>
  <si>
    <t>32-566 Alwernia</t>
  </si>
  <si>
    <t>wlodarskaa3@gmail.com</t>
  </si>
  <si>
    <t>Źrebiec</t>
  </si>
  <si>
    <t>Złotych Kłosów, 88/8</t>
  </si>
  <si>
    <t>43-300 Bielsko-Biała</t>
  </si>
  <si>
    <t>Bartosz Źrebiec</t>
  </si>
  <si>
    <t>bartosz.zrebiec@op.pl</t>
  </si>
  <si>
    <t>FoxInSpace</t>
  </si>
  <si>
    <t>Hogendorf</t>
  </si>
  <si>
    <t>Lindego 13B/21</t>
  </si>
  <si>
    <t>30-148 Kraków</t>
  </si>
  <si>
    <t>ahogendorf@gmail.com</t>
  </si>
  <si>
    <t xml:space="preserve">Agata </t>
  </si>
  <si>
    <t>Pykacz</t>
  </si>
  <si>
    <t>Klonownica Mała 59</t>
  </si>
  <si>
    <t>21-505 Janów Podlaski</t>
  </si>
  <si>
    <t>agata.pykacz@gmail.com</t>
  </si>
  <si>
    <t>Krakowski</t>
  </si>
  <si>
    <t>Witosa 33</t>
  </si>
  <si>
    <t>63-700 Krotoszyn</t>
  </si>
  <si>
    <t>zsamot8</t>
  </si>
  <si>
    <t>tomasz.j.krakowski@gmail.com</t>
  </si>
  <si>
    <t>zsamot1996</t>
  </si>
  <si>
    <t>Flaczyk</t>
  </si>
  <si>
    <t>Krzywoustego, 20</t>
  </si>
  <si>
    <t>56-400 Oleśnica</t>
  </si>
  <si>
    <t>Kuba F</t>
  </si>
  <si>
    <t>abuk7404@gmail.com</t>
  </si>
  <si>
    <t>Abuk</t>
  </si>
  <si>
    <t>Mikołaj</t>
  </si>
  <si>
    <t>Karawacki</t>
  </si>
  <si>
    <t>Szosa Chełmińska 162/13</t>
  </si>
  <si>
    <t>mapkarawacki</t>
  </si>
  <si>
    <t>mapkarawacki@gmail.com</t>
  </si>
  <si>
    <t>nick</t>
  </si>
  <si>
    <t>Blanka</t>
  </si>
  <si>
    <t>Świderska 104/15</t>
  </si>
  <si>
    <t>03-128 Warszawa</t>
  </si>
  <si>
    <t>zajacblanka98@gmail.com</t>
  </si>
  <si>
    <t>Przybyła</t>
  </si>
  <si>
    <t>1019-09-15</t>
  </si>
  <si>
    <t>Zelczyna 76</t>
  </si>
  <si>
    <t>32-051 Wielkie Drogi</t>
  </si>
  <si>
    <t>piotr@aluprojekt.pl</t>
  </si>
  <si>
    <t xml:space="preserve">Andrzej </t>
  </si>
  <si>
    <t>Ołtarzewski</t>
  </si>
  <si>
    <t>Staszica 3a</t>
  </si>
  <si>
    <t>15-071 Białystok</t>
  </si>
  <si>
    <t>aoltarzewski@btlhouse.pl</t>
  </si>
  <si>
    <t>Markowski</t>
  </si>
  <si>
    <t>Kutrowa 18</t>
  </si>
  <si>
    <t>75-208 Koszalin</t>
  </si>
  <si>
    <t>rafal.markowski2@gmail.com</t>
  </si>
  <si>
    <t>Grunwaldzka 170 m3, 80-266 - Gdańsk</t>
  </si>
  <si>
    <t xml:space="preserve">Marcin </t>
  </si>
  <si>
    <t>Jasiukowicz</t>
  </si>
  <si>
    <t>Królowej Jadwigi 7/18</t>
  </si>
  <si>
    <t>14-200 Iława</t>
  </si>
  <si>
    <t>contact@yasiu.pl</t>
  </si>
  <si>
    <t>Martyna</t>
  </si>
  <si>
    <t>Leman</t>
  </si>
  <si>
    <t>Przodkowska 23</t>
  </si>
  <si>
    <t>83-304 Tokarskie Pnie</t>
  </si>
  <si>
    <t>martyna.leman55@gmail.com</t>
  </si>
  <si>
    <t xml:space="preserve">Krystian </t>
  </si>
  <si>
    <t>Lis</t>
  </si>
  <si>
    <t>Do Studzienki 32/410a1</t>
  </si>
  <si>
    <t>80-227 Gdańsk</t>
  </si>
  <si>
    <t>lis.krystian.10@gmail.com</t>
  </si>
  <si>
    <t>Elwertowska</t>
  </si>
  <si>
    <t>Podgórska 8B/9</t>
  </si>
  <si>
    <t>81-166 Gdynia</t>
  </si>
  <si>
    <t>agnelwer@gmail.com</t>
  </si>
  <si>
    <t xml:space="preserve">Roman </t>
  </si>
  <si>
    <t>Kaniecki</t>
  </si>
  <si>
    <t>Kalinowa 31</t>
  </si>
  <si>
    <t>83-130 Rajkowy</t>
  </si>
  <si>
    <t>romekkaniecki1999@gmail.com</t>
  </si>
  <si>
    <t>Budzyński</t>
  </si>
  <si>
    <t>Zaruby 11/84</t>
  </si>
  <si>
    <t>02-796 Warszawa</t>
  </si>
  <si>
    <t>wakeup44@gmail.com</t>
  </si>
  <si>
    <t>Ignacy</t>
  </si>
  <si>
    <t>Leopold</t>
  </si>
  <si>
    <t xml:space="preserve">Andrea </t>
  </si>
  <si>
    <t>Pompili</t>
  </si>
  <si>
    <t>Via minerbio 58/A</t>
  </si>
  <si>
    <t>00127 Rome – Italy</t>
  </si>
  <si>
    <t>info@apxaerospace.it</t>
  </si>
  <si>
    <t>Leksandrowa 231</t>
  </si>
  <si>
    <t>32-720 Leksandrowa</t>
  </si>
  <si>
    <t>Hucik</t>
  </si>
  <si>
    <t xml:space="preserve">Radosław </t>
  </si>
  <si>
    <t>Kossakowski</t>
  </si>
  <si>
    <t>Pszczółki Mai 21</t>
  </si>
  <si>
    <t>10-696 Olsztyn</t>
  </si>
  <si>
    <t>radoskoss@wp.pl</t>
  </si>
  <si>
    <t>Kossa</t>
  </si>
  <si>
    <t>Araminowicz</t>
  </si>
  <si>
    <t>Stolema 56/9</t>
  </si>
  <si>
    <t>g.araminowicz@gmail.com</t>
  </si>
  <si>
    <t>Kasperski</t>
  </si>
  <si>
    <t>Lawinowa 1 m 34</t>
  </si>
  <si>
    <t>20-864 Lublin</t>
  </si>
  <si>
    <t>518-895-075</t>
  </si>
  <si>
    <t>gamer.robert2000@wp.pl</t>
  </si>
  <si>
    <t>Korzonek</t>
  </si>
  <si>
    <t>Al. Jana Pawła II 3b/140</t>
  </si>
  <si>
    <t>80-462 Gdańsk</t>
  </si>
  <si>
    <t>michal.korzonek@hotmail.com</t>
  </si>
  <si>
    <t>Wróblewski</t>
  </si>
  <si>
    <t>Armii Krajowej 32</t>
  </si>
  <si>
    <t>02-220 Zielonka</t>
  </si>
  <si>
    <t>darek600910972@gmail.com</t>
  </si>
  <si>
    <t>Prymasa Tysiąclecia 9, 05-205 Pasek</t>
  </si>
  <si>
    <t xml:space="preserve">Maciej </t>
  </si>
  <si>
    <t>Husko</t>
  </si>
  <si>
    <t>Sanie 1d</t>
  </si>
  <si>
    <t>95-070 Aleksandrów Łódzki</t>
  </si>
  <si>
    <t>maciek@husko.pl</t>
  </si>
  <si>
    <t>Krugłowski</t>
  </si>
  <si>
    <t>Sarbinowo 47</t>
  </si>
  <si>
    <t>74-405 Sarbinowo</t>
  </si>
  <si>
    <t>maciuuu1985@gmail.com</t>
  </si>
  <si>
    <t>Jastrzębski</t>
  </si>
  <si>
    <t>Jedności 23/3</t>
  </si>
  <si>
    <t>44-119 Gliwice</t>
  </si>
  <si>
    <t>kamil.jastrzebski</t>
  </si>
  <si>
    <t>irb1400@gmail.com</t>
  </si>
  <si>
    <t>Deszczyński</t>
  </si>
  <si>
    <t>Juliana Tuwima 9</t>
  </si>
  <si>
    <t>11-400 Kętrzyn</t>
  </si>
  <si>
    <t>live:.cid.881f5fabe4f4b02d</t>
  </si>
  <si>
    <t>w.deszczynski@wp.pl</t>
  </si>
  <si>
    <t>wojtas_q</t>
  </si>
  <si>
    <t>Grześ</t>
  </si>
  <si>
    <t>Rodzinna 7</t>
  </si>
  <si>
    <t>15-182 Białystok</t>
  </si>
  <si>
    <t>czarnyczarownik</t>
  </si>
  <si>
    <t>malpa12321@gmail.com</t>
  </si>
  <si>
    <t>HTech</t>
  </si>
  <si>
    <t>Powstańców Śląskich 87/334, 01-355 - Warszawa</t>
  </si>
  <si>
    <t>Wspólna 18</t>
  </si>
  <si>
    <t>05-311 Ruda</t>
  </si>
  <si>
    <t>czeskimorgensztern</t>
  </si>
  <si>
    <t>arturklos1998@gmail.com</t>
  </si>
  <si>
    <t>arturklos12</t>
  </si>
  <si>
    <t>gen. Sylwestra Kaliskiego 21, 01-476 - Warszawa</t>
  </si>
  <si>
    <t xml:space="preserve">Hubert </t>
  </si>
  <si>
    <t>Gross</t>
  </si>
  <si>
    <t>Architektów 5/67</t>
  </si>
  <si>
    <t>35-082 Rzeszów</t>
  </si>
  <si>
    <t>hubertgross97@gmail.com</t>
  </si>
  <si>
    <t>Grodzicki</t>
  </si>
  <si>
    <t>Jadwigi 21</t>
  </si>
  <si>
    <t>92-107 Łódź</t>
  </si>
  <si>
    <t>wojciech.grodzicki@gmail.com</t>
  </si>
  <si>
    <t>VojTech</t>
  </si>
  <si>
    <t>Kiersnowski</t>
  </si>
  <si>
    <t>Paderewskiego 41</t>
  </si>
  <si>
    <t>05-220 Zielonka</t>
  </si>
  <si>
    <t>mateusz.kiersnowski@gmail.com</t>
  </si>
  <si>
    <t xml:space="preserve">Wiktoria </t>
  </si>
  <si>
    <t>Rafalak</t>
  </si>
  <si>
    <t>Pełczyńkiego, 30A/32</t>
  </si>
  <si>
    <t>01-471 Warszawa</t>
  </si>
  <si>
    <t>wikira@op.pl</t>
  </si>
  <si>
    <t>Kościuszki 29, 26-660 - Jedlińsk</t>
  </si>
  <si>
    <t>Marta</t>
  </si>
  <si>
    <t>Stańska</t>
  </si>
  <si>
    <t>Świerkowa 14</t>
  </si>
  <si>
    <t>09-505 Nowy Duninów</t>
  </si>
  <si>
    <t>live:.cid.3888ff9d8bbe65da</t>
  </si>
  <si>
    <t>marta.sta19@gmail.com</t>
  </si>
  <si>
    <t>martasta</t>
  </si>
  <si>
    <t xml:space="preserve">Krzysztof </t>
  </si>
  <si>
    <t>Gniewaszewski</t>
  </si>
  <si>
    <t>Mieszka I 14/2</t>
  </si>
  <si>
    <t>58-130 Żarów</t>
  </si>
  <si>
    <t>live:k.gniewaszewski</t>
  </si>
  <si>
    <t>k.gniewaszewski@gmail.com</t>
  </si>
  <si>
    <t>krzychu3</t>
  </si>
  <si>
    <t>Wielgos</t>
  </si>
  <si>
    <t>Straszęcin 204</t>
  </si>
  <si>
    <t>39-218 Straszęcin</t>
  </si>
  <si>
    <t>michal.wielgos@gmail.com</t>
  </si>
  <si>
    <t>Kuligowski</t>
  </si>
  <si>
    <t>Rybnicka 32b/43</t>
  </si>
  <si>
    <t>44-100 Gliwice</t>
  </si>
  <si>
    <t>kontakt@piotrkuligowski.pl</t>
  </si>
  <si>
    <t>pkuligowski</t>
  </si>
  <si>
    <t>Musiałek</t>
  </si>
  <si>
    <t>Powstania Wielkopolskiego 107A/13</t>
  </si>
  <si>
    <t>81-470 Gdynia</t>
  </si>
  <si>
    <t>filipmusialek1996@gmail.com</t>
  </si>
  <si>
    <t>bipo12</t>
  </si>
  <si>
    <t>Philip</t>
  </si>
  <si>
    <t>Policki</t>
  </si>
  <si>
    <t>Marmurowa 3</t>
  </si>
  <si>
    <t>52-235 Wrocław</t>
  </si>
  <si>
    <t>philip.policki@protonmail.com</t>
  </si>
  <si>
    <t>Maksymilian</t>
  </si>
  <si>
    <t>Nastały</t>
  </si>
  <si>
    <t>Kotłowskiego 1/12</t>
  </si>
  <si>
    <t>84-200 Wejherowo</t>
  </si>
  <si>
    <t>maksnastaly@gmail.com</t>
  </si>
  <si>
    <t>MaxNastały</t>
  </si>
  <si>
    <t>Alicja</t>
  </si>
  <si>
    <t>Kubera</t>
  </si>
  <si>
    <t>Starowiślna 68/11</t>
  </si>
  <si>
    <t>31-035 Kraków</t>
  </si>
  <si>
    <t>alicja@musial.pro</t>
  </si>
  <si>
    <t>alicja</t>
  </si>
  <si>
    <t>KP Labs, Bojkowska 37, 44-100 - Gliwice</t>
  </si>
  <si>
    <t>Fijak</t>
  </si>
  <si>
    <t>Chmielna 14A</t>
  </si>
  <si>
    <t>43-300 BIelsko-Biała</t>
  </si>
  <si>
    <t>kfijak</t>
  </si>
  <si>
    <t>fijaklogic@gmail.com</t>
  </si>
  <si>
    <t>Mariusz Tomasz</t>
  </si>
  <si>
    <t>Kłoda</t>
  </si>
  <si>
    <t>Ogrodowa 2B/23</t>
  </si>
  <si>
    <t>mariusz.kloda@gmail.com</t>
  </si>
  <si>
    <t>Marszałek</t>
  </si>
  <si>
    <t>Kwiatkowskiego 50E/48</t>
  </si>
  <si>
    <t>35-311 Rzeszów</t>
  </si>
  <si>
    <t>marszalek.n86@gmail.com</t>
  </si>
  <si>
    <t>Krawczyk</t>
  </si>
  <si>
    <t>Graniczna 25</t>
  </si>
  <si>
    <t>42-122 Ostrowy nad Okszą</t>
  </si>
  <si>
    <t>tomek.krawczyk1212@gmail.com</t>
  </si>
  <si>
    <t>Cassini43</t>
  </si>
  <si>
    <t>Pal</t>
  </si>
  <si>
    <t>Przerwana 11/35</t>
  </si>
  <si>
    <t>02-484 Warszawa</t>
  </si>
  <si>
    <t>marek.pal@gmail.com</t>
  </si>
  <si>
    <t xml:space="preserve">Kajetan </t>
  </si>
  <si>
    <t>Stępniewski</t>
  </si>
  <si>
    <t>Wawelska 28 m/4</t>
  </si>
  <si>
    <t>02-061 Warszawa</t>
  </si>
  <si>
    <t>Kajetan Stępniewski</t>
  </si>
  <si>
    <t>notokaj@gmail.com</t>
  </si>
  <si>
    <t>Basiukiewicz</t>
  </si>
  <si>
    <t>Świętokrzyska 74c</t>
  </si>
  <si>
    <t>basiukiewicz@gmail.com</t>
  </si>
  <si>
    <t>Makowiak</t>
  </si>
  <si>
    <t>Członek wspierający</t>
  </si>
  <si>
    <t>Ptasia 3/3</t>
  </si>
  <si>
    <t>41-800 Zabrze</t>
  </si>
  <si>
    <t>Roman Makowiak</t>
  </si>
  <si>
    <t>r.makowiak@gmail.com</t>
  </si>
  <si>
    <t>Stalmach</t>
  </si>
  <si>
    <t>Stefana Okrzei 7A/21</t>
  </si>
  <si>
    <t>41-400 Mysłowice</t>
  </si>
  <si>
    <t>fifcio13-13@o2.pl</t>
  </si>
  <si>
    <t>Szarych Szeregów, 1</t>
  </si>
  <si>
    <t>mariuszt-ski</t>
  </si>
  <si>
    <t>Marianna</t>
  </si>
  <si>
    <t xml:space="preserve"> Jędrych</t>
  </si>
  <si>
    <t>Słowackiego 67/57</t>
  </si>
  <si>
    <t>marianna.jedrych@gmail.com</t>
  </si>
  <si>
    <t>Mróz</t>
  </si>
  <si>
    <t>Barska 34</t>
  </si>
  <si>
    <t>33-300 Nowy Sącz</t>
  </si>
  <si>
    <t>live:mroztomasz21</t>
  </si>
  <si>
    <t>mroztomasz21@gmail.com</t>
  </si>
  <si>
    <t>tomaszmroz</t>
  </si>
  <si>
    <t>Stanisław</t>
  </si>
  <si>
    <t>Czarnek</t>
  </si>
  <si>
    <t>uwaga 2007 rok urodz</t>
  </si>
  <si>
    <t>Puławska, 1A</t>
  </si>
  <si>
    <t>02-515 Warszawa</t>
  </si>
  <si>
    <t>live:j.czarnek_1</t>
  </si>
  <si>
    <t>j.czarnek@wp.pl</t>
  </si>
  <si>
    <t>Stachuwxx</t>
  </si>
  <si>
    <t>Cieśliński</t>
  </si>
  <si>
    <t>Balicka 53</t>
  </si>
  <si>
    <t>30-149 Kraków</t>
  </si>
  <si>
    <t>tomasz.cieslinski@gmail.com</t>
  </si>
  <si>
    <t>Świętojańska 145A/59</t>
  </si>
  <si>
    <t>81-404 Gdynia</t>
  </si>
  <si>
    <t>Magazynowa 3/90</t>
  </si>
  <si>
    <t>15-399 Białystok</t>
  </si>
  <si>
    <t>Tofifi</t>
  </si>
  <si>
    <t>WARSZAWSKA 10/284</t>
  </si>
  <si>
    <t>15-001 Białystok</t>
  </si>
  <si>
    <t>zas603@interia.pl</t>
  </si>
  <si>
    <t>Krauzego 10A/19</t>
  </si>
  <si>
    <t>81-577 Gdynia</t>
  </si>
  <si>
    <t>SP76 Wrocław, ul. Wandy 13, 53-320 Wrocław</t>
  </si>
  <si>
    <t>Gruchot-Rutkowski</t>
  </si>
  <si>
    <t>Strąkowa 30</t>
  </si>
  <si>
    <t>10-847 Olsztyn</t>
  </si>
  <si>
    <t>slec21@wp.pl</t>
  </si>
  <si>
    <t>slec21</t>
  </si>
  <si>
    <t>Mitulski</t>
  </si>
  <si>
    <t>Łącznica 6/13</t>
  </si>
  <si>
    <t>mateuszmitulski@gmail.com</t>
  </si>
  <si>
    <t>Mituch</t>
  </si>
  <si>
    <t>Łysiak</t>
  </si>
  <si>
    <t>Steenoven 12 B-98</t>
  </si>
  <si>
    <t>5768 PK Meijel, NL</t>
  </si>
  <si>
    <t>+31 6 57224302</t>
  </si>
  <si>
    <t>krystian.lysiak@outlook.com</t>
  </si>
  <si>
    <t>calvo</t>
  </si>
  <si>
    <t>Cedrowa 19</t>
  </si>
  <si>
    <t>62-081 Chyby</t>
  </si>
  <si>
    <t>Szymon Polska</t>
  </si>
  <si>
    <t>szymob@strefalatania.pl</t>
  </si>
  <si>
    <t>szym31</t>
  </si>
  <si>
    <t>Arkuszowa, 77</t>
  </si>
  <si>
    <t>Synowiecki</t>
  </si>
  <si>
    <t>Rdestowa 33A/5</t>
  </si>
  <si>
    <t>synowiecki.mateusz@gmail.com</t>
  </si>
  <si>
    <t>pyromaniac</t>
  </si>
  <si>
    <t>Małecki</t>
  </si>
  <si>
    <t>Bobrowiecka 4/61</t>
  </si>
  <si>
    <t>00-728 Warszawa</t>
  </si>
  <si>
    <t>gibon1617@gmail.com</t>
  </si>
  <si>
    <t>szymon1978</t>
  </si>
  <si>
    <t>Jan</t>
  </si>
  <si>
    <t>jan.m.kolodziejczyk@gmail.com</t>
  </si>
  <si>
    <t>Szczepanik</t>
  </si>
  <si>
    <t>Osiedle Piastów 65/126</t>
  </si>
  <si>
    <t>31-625 Kraków</t>
  </si>
  <si>
    <t>gszczepa@wp.pl</t>
  </si>
  <si>
    <t>gszczepa</t>
  </si>
  <si>
    <t>Deptuła</t>
  </si>
  <si>
    <t>Al. Sikorskiego 13/61</t>
  </si>
  <si>
    <t>02-758 Warszawa</t>
  </si>
  <si>
    <t>ewideptula@gmail.com</t>
  </si>
  <si>
    <t>Piwna 16</t>
  </si>
  <si>
    <t>96-200 Rawa Mazowiecka</t>
  </si>
  <si>
    <t>jakub.krawczyk86@gmail.com</t>
  </si>
  <si>
    <t>Czajkowski</t>
  </si>
  <si>
    <t>Branickiego 21/29</t>
  </si>
  <si>
    <t>tczajkowski.us@gmail.com</t>
  </si>
  <si>
    <t>tczajkowski</t>
  </si>
  <si>
    <t>Boguszewski</t>
  </si>
  <si>
    <t>Rodzinna 11</t>
  </si>
  <si>
    <t>05-080 Klaudyn</t>
  </si>
  <si>
    <t>tomaszboguszewski@gmail.com</t>
  </si>
  <si>
    <t>Jerzak</t>
  </si>
  <si>
    <t>Wrzosowa 15</t>
  </si>
  <si>
    <t>95-082 Chechło Drugie</t>
  </si>
  <si>
    <t>a.jerzak@wp.pl</t>
  </si>
  <si>
    <t xml:space="preserve">Konrad </t>
  </si>
  <si>
    <t>Mędoń</t>
  </si>
  <si>
    <t>Brzezna 456</t>
  </si>
  <si>
    <t>33-386 Podegrodzie Brzezna</t>
  </si>
  <si>
    <t>ufossi21@gmail.com</t>
  </si>
  <si>
    <t xml:space="preserve">Aleksander </t>
  </si>
  <si>
    <t>Pająk</t>
  </si>
  <si>
    <t>Hańczowa 108</t>
  </si>
  <si>
    <t>38-316 Wysowa-Zdrój</t>
  </si>
  <si>
    <t>solopajak02@gmail.com</t>
  </si>
  <si>
    <t xml:space="preserve">Aleksandra </t>
  </si>
  <si>
    <t>Pasich</t>
  </si>
  <si>
    <t>Hutnicza 10/4</t>
  </si>
  <si>
    <t>43-502 Czechowice-Dziedzice</t>
  </si>
  <si>
    <t>aleksandra.pasich.1996@gmail.com</t>
  </si>
  <si>
    <t>Kwiatkowskiego 46/53, 35-311 - Rzeszów</t>
  </si>
  <si>
    <t>Pigłowski</t>
  </si>
  <si>
    <t xml:space="preserve">ul. Husarska 7B/4 </t>
  </si>
  <si>
    <t>62-020 Kruszewnia</t>
  </si>
  <si>
    <t>pawel.piglowski@o2.pl</t>
  </si>
  <si>
    <t>Pigła</t>
  </si>
  <si>
    <t>Ląd ul. Cysterska 10</t>
  </si>
  <si>
    <t>62-406 Lądek</t>
  </si>
  <si>
    <t>piotrwroblewskiae@wp.pl</t>
  </si>
  <si>
    <t>Clopeq</t>
  </si>
  <si>
    <t>Król</t>
  </si>
  <si>
    <t>37-306 Podlesie</t>
  </si>
  <si>
    <t>live:.cid.5ea4b78e4918ccc3</t>
  </si>
  <si>
    <t>sebastiankrol@zsleji.pl</t>
  </si>
  <si>
    <t xml:space="preserve">Maria </t>
  </si>
  <si>
    <t>Kanczewska</t>
  </si>
  <si>
    <t>Jana Sebastiana Bacha 12/6</t>
  </si>
  <si>
    <t>50-305 Wrocław</t>
  </si>
  <si>
    <t>https://join.skype.com/invite/O91BAfL010VI</t>
  </si>
  <si>
    <t>m.kanczewska@gmail.com</t>
  </si>
  <si>
    <t>MeryMosu</t>
  </si>
  <si>
    <t>Bora-Komorowskiego 4, 59-900 - Zgorzelec</t>
  </si>
  <si>
    <t xml:space="preserve">Marian </t>
  </si>
  <si>
    <t>Frączek</t>
  </si>
  <si>
    <t>Piotra Wysockiego 38</t>
  </si>
  <si>
    <t>31-310 Kraków</t>
  </si>
  <si>
    <t>marcusf12@o2.pl</t>
  </si>
  <si>
    <t>Dekert</t>
  </si>
  <si>
    <t>Kormoranów 7/1</t>
  </si>
  <si>
    <t>71-696 Szczecin</t>
  </si>
  <si>
    <t>dekertm@gmail.com</t>
  </si>
  <si>
    <t>kretu</t>
  </si>
  <si>
    <t>Nowicki</t>
  </si>
  <si>
    <t>Bohaterów Katynia 44/23</t>
  </si>
  <si>
    <t>42-200 Częstochowa</t>
  </si>
  <si>
    <t>paweln_97@wp.pl</t>
  </si>
  <si>
    <t xml:space="preserve">Milena </t>
  </si>
  <si>
    <t>Michalska</t>
  </si>
  <si>
    <t>ul Krakowska 67/25</t>
  </si>
  <si>
    <t>71-017 Szczecin</t>
  </si>
  <si>
    <t>palce.w.atramencie@gmail.com</t>
  </si>
  <si>
    <t>Milena</t>
  </si>
  <si>
    <t>Kaczmarek</t>
  </si>
  <si>
    <t>Spokojna, 13</t>
  </si>
  <si>
    <t>kacper_kaczmarek@outlook.com</t>
  </si>
  <si>
    <t>kijada</t>
  </si>
  <si>
    <t>Choiński</t>
  </si>
  <si>
    <t>Błękitna 11</t>
  </si>
  <si>
    <t>04-649 Warszawa</t>
  </si>
  <si>
    <t>pawel.choinski@gmail.com</t>
  </si>
  <si>
    <t>Fura</t>
  </si>
  <si>
    <t>Marszowicka 105/2</t>
  </si>
  <si>
    <t>54-078 Wrocław</t>
  </si>
  <si>
    <t>olddrakon.2006@gmail.com</t>
  </si>
  <si>
    <t>Radziejewski</t>
  </si>
  <si>
    <t>Księcia Bolka I 3</t>
  </si>
  <si>
    <t>58-410 Marciszów</t>
  </si>
  <si>
    <t>jradziejewski01@gmail.com</t>
  </si>
  <si>
    <t>Dawidowicz</t>
  </si>
  <si>
    <t>Będziemyśl 176</t>
  </si>
  <si>
    <t>29-127 Będziemyśl</t>
  </si>
  <si>
    <t>doswiadczalski@gmail.com</t>
  </si>
  <si>
    <t>doswiadczalski</t>
  </si>
  <si>
    <t>Karpowicz</t>
  </si>
  <si>
    <t>Jeździecka 17</t>
  </si>
  <si>
    <t>05-462 Kopki</t>
  </si>
  <si>
    <t>live:m.karpowicz_2</t>
  </si>
  <si>
    <t>m.karpowicz@outlook.com</t>
  </si>
  <si>
    <t>staryKwadrat</t>
  </si>
  <si>
    <t xml:space="preserve">Mikuláš </t>
  </si>
  <si>
    <t>Szabó</t>
  </si>
  <si>
    <t>Maurerova 15</t>
  </si>
  <si>
    <t>040 22 Košice, Slovakia</t>
  </si>
  <si>
    <t>miki.szb@gmail.com</t>
  </si>
  <si>
    <t xml:space="preserve">Anita Maria </t>
  </si>
  <si>
    <t>Rzucidło</t>
  </si>
  <si>
    <t>Gronowa, 10</t>
  </si>
  <si>
    <t xml:space="preserve">35-213 Rzeszów </t>
  </si>
  <si>
    <t>Anita.rzucidlo12@gmail.com</t>
  </si>
  <si>
    <t>The_shapley_supercluster</t>
  </si>
  <si>
    <t>Grzelak</t>
  </si>
  <si>
    <t>Zabłocie 35/43</t>
  </si>
  <si>
    <t>30-701 Kraków</t>
  </si>
  <si>
    <t>wojtek.grzelak@gmail.com</t>
  </si>
  <si>
    <t>Nowowiejska 1a/3, 45-460 - Opole</t>
  </si>
  <si>
    <t xml:space="preserve">Malwina </t>
  </si>
  <si>
    <t>Bielecka</t>
  </si>
  <si>
    <t>3 Maja 1</t>
  </si>
  <si>
    <t>23-300 Janów Lubelski</t>
  </si>
  <si>
    <t>malwina.m.bielecka@gmail.com</t>
  </si>
  <si>
    <t>Pilarski</t>
  </si>
  <si>
    <t>Spokojna 26B</t>
  </si>
  <si>
    <t>42-311 Żarki Letnisko</t>
  </si>
  <si>
    <t>olek-2002@o2.pl</t>
  </si>
  <si>
    <t xml:space="preserve">Agnieszka </t>
  </si>
  <si>
    <t>Hołuń</t>
  </si>
  <si>
    <t>Katowicka 87/4</t>
  </si>
  <si>
    <t>61-131 Poznań</t>
  </si>
  <si>
    <t>agnieszka.holun@gmail.com</t>
  </si>
  <si>
    <t>Tomporowski</t>
  </si>
  <si>
    <t>Mikołajczyka 23/43</t>
  </si>
  <si>
    <t>03-984 Warszawa</t>
  </si>
  <si>
    <t>michalang400@gmail.com</t>
  </si>
  <si>
    <t xml:space="preserve">Stanisław </t>
  </si>
  <si>
    <t>Mazela</t>
  </si>
  <si>
    <t>Wieżowa 40</t>
  </si>
  <si>
    <t>62-006 Gruszczyn</t>
  </si>
  <si>
    <t>kryo2468@gmail.com</t>
  </si>
  <si>
    <t>Lagozaur</t>
  </si>
  <si>
    <t xml:space="preserve">Arkadiusz M.J. </t>
  </si>
  <si>
    <t>Wernicki</t>
  </si>
  <si>
    <t>Kazimierzowska, 57/61/55</t>
  </si>
  <si>
    <t>02-538 Warszawa</t>
  </si>
  <si>
    <t>arek.wernicki@gmail.com</t>
  </si>
  <si>
    <t>AWAstorm :p</t>
  </si>
  <si>
    <t>Majerowicz</t>
  </si>
  <si>
    <t>Wittekówny 2A/13</t>
  </si>
  <si>
    <t>81-173 Gdynia</t>
  </si>
  <si>
    <t>tomasz majerowicz</t>
  </si>
  <si>
    <t>majer2004@gmail.com</t>
  </si>
  <si>
    <t>t0m</t>
  </si>
  <si>
    <t>Boch</t>
  </si>
  <si>
    <t>Karabli 3/28</t>
  </si>
  <si>
    <t>01-313 Warszawa</t>
  </si>
  <si>
    <t>live:.cid.f5b05d839965d51</t>
  </si>
  <si>
    <t>marcin.boch@onet.pl</t>
  </si>
  <si>
    <t>BOMAG</t>
  </si>
  <si>
    <t>Czerniawski</t>
  </si>
  <si>
    <t>Misia Uszatka 4</t>
  </si>
  <si>
    <t>87-162 Krobia Krobia</t>
  </si>
  <si>
    <t>m.czerniawski05@gamil.com</t>
  </si>
  <si>
    <t>Mati05</t>
  </si>
  <si>
    <t>Michałek</t>
  </si>
  <si>
    <t>Skarżyńskiego 2 107/2</t>
  </si>
  <si>
    <t>31-866 Kraków</t>
  </si>
  <si>
    <t>michalekma85@gmail.com</t>
  </si>
  <si>
    <t xml:space="preserve">Jozef </t>
  </si>
  <si>
    <t>Homola</t>
  </si>
  <si>
    <t>Ovrucska 9</t>
  </si>
  <si>
    <t>04022 Košice, Slovakia</t>
  </si>
  <si>
    <t>jhomola71@gmail.com</t>
  </si>
  <si>
    <t>Świątek</t>
  </si>
  <si>
    <t>Cicha 8</t>
  </si>
  <si>
    <t>42-360 Poraj</t>
  </si>
  <si>
    <t>piranninja@gmail.com</t>
  </si>
  <si>
    <t>RDX</t>
  </si>
  <si>
    <t xml:space="preserve">Peter </t>
  </si>
  <si>
    <t>Wagner</t>
  </si>
  <si>
    <t>Hviezdoslavova 32, 32</t>
  </si>
  <si>
    <t>90201 Pezinok</t>
  </si>
  <si>
    <t>wawapw1963@gmail.com</t>
  </si>
  <si>
    <t xml:space="preserve">Damian </t>
  </si>
  <si>
    <t>Legutko</t>
  </si>
  <si>
    <t>Kopernika 1</t>
  </si>
  <si>
    <t>34-400 Nowy Targ</t>
  </si>
  <si>
    <t>legutkodamiannt@gmail.com</t>
  </si>
  <si>
    <t xml:space="preserve">JAN </t>
  </si>
  <si>
    <t>WICHARY</t>
  </si>
  <si>
    <t>UL. KONARSKIEGO 48/11</t>
  </si>
  <si>
    <t>30-046 KRAKÓW</t>
  </si>
  <si>
    <t>janwic@sp34kr.onmicrosoft.com</t>
  </si>
  <si>
    <t>flyingkids93@gmail.com</t>
  </si>
  <si>
    <t>comrad_501</t>
  </si>
  <si>
    <t xml:space="preserve">SZYMON </t>
  </si>
  <si>
    <t>swichary@gmail.com</t>
  </si>
  <si>
    <t>Górski</t>
  </si>
  <si>
    <t>Kasztanowa 11</t>
  </si>
  <si>
    <t>66-416 Różanki</t>
  </si>
  <si>
    <t>jedrzej.gorski</t>
  </si>
  <si>
    <t>jedrzej.gorski@gmail.com</t>
  </si>
  <si>
    <t>AndyG</t>
  </si>
  <si>
    <t>Latacz</t>
  </si>
  <si>
    <t>Oliwkowa 4</t>
  </si>
  <si>
    <t>54-054 Wrocław</t>
  </si>
  <si>
    <t>Leszek Latacz</t>
  </si>
  <si>
    <t>leszek@latacz.space</t>
  </si>
  <si>
    <t>Pilecki</t>
  </si>
  <si>
    <t>Plac Rodła 1/2 m.69</t>
  </si>
  <si>
    <t>70-419 Szczecin</t>
  </si>
  <si>
    <t>pilecki.w@tutanota.com</t>
  </si>
  <si>
    <t>Żmiejko</t>
  </si>
  <si>
    <t>Białobrzeska 15/14</t>
  </si>
  <si>
    <t>02-370 Warszawa</t>
  </si>
  <si>
    <t>zmiejaki</t>
  </si>
  <si>
    <t>pzmiejko@gmail.com</t>
  </si>
  <si>
    <t xml:space="preserve">Paul </t>
  </si>
  <si>
    <t>Freeman</t>
  </si>
  <si>
    <t>Lawendowe Wzgórze 8/21</t>
  </si>
  <si>
    <t>80-175 Gdańsk</t>
  </si>
  <si>
    <t>live:stqu.command</t>
  </si>
  <si>
    <t>freeman.pf.paul@gmail.com</t>
  </si>
  <si>
    <t>Fredflintst0ne</t>
  </si>
  <si>
    <t>Jaszczerski</t>
  </si>
  <si>
    <t>23 Marca 84/84</t>
  </si>
  <si>
    <t>81-820 Sopot</t>
  </si>
  <si>
    <t>p.jaszczerski55@gmail.com</t>
  </si>
  <si>
    <t>Kozanecki</t>
  </si>
  <si>
    <t>Porębskiego 32/6</t>
  </si>
  <si>
    <t>m.koz12@wp.pl</t>
  </si>
  <si>
    <t xml:space="preserve">Julia </t>
  </si>
  <si>
    <t>Godlewska</t>
  </si>
  <si>
    <t>Hallera 134/5</t>
  </si>
  <si>
    <t>80-416 Gdańsk</t>
  </si>
  <si>
    <t>julia36067@yahoo.com</t>
  </si>
  <si>
    <t xml:space="preserve">Norbert </t>
  </si>
  <si>
    <t>Szulc</t>
  </si>
  <si>
    <t>ul. Ks. Jana Twardowskiego 8</t>
  </si>
  <si>
    <t>83-023 Wocławy</t>
  </si>
  <si>
    <t>norbert@not7cd.net</t>
  </si>
  <si>
    <t>Sobiech</t>
  </si>
  <si>
    <t>Glinki 25</t>
  </si>
  <si>
    <t>63-300 Pleszew</t>
  </si>
  <si>
    <t>mateusz.sobiech@gmail.com</t>
  </si>
  <si>
    <t>Pieniazek</t>
  </si>
  <si>
    <t>Jana Kaziemierza 7</t>
  </si>
  <si>
    <t>05-502 Piaseczno</t>
  </si>
  <si>
    <t>tomek.pieniazek@omnimap.pl</t>
  </si>
  <si>
    <t>Zajder</t>
  </si>
  <si>
    <t>Subisława 31/9</t>
  </si>
  <si>
    <t>80-354 Gdańsk</t>
  </si>
  <si>
    <t>mdzajder@gmail.com</t>
  </si>
  <si>
    <t>Subisława 31k/9, 80-354 - Gdańsk</t>
  </si>
  <si>
    <t>Różyc</t>
  </si>
  <si>
    <t>Pastelowa 14/35</t>
  </si>
  <si>
    <t>jakub.rozyc@gmail.com</t>
  </si>
  <si>
    <t>Kamikadzek14</t>
  </si>
  <si>
    <t>Schneider</t>
  </si>
  <si>
    <t>Objazdowa 23</t>
  </si>
  <si>
    <t>andrzejschneider98@gmail.com</t>
  </si>
  <si>
    <t xml:space="preserve">Pawel </t>
  </si>
  <si>
    <t>Fortuna</t>
  </si>
  <si>
    <t>Ks.Klimasa 106</t>
  </si>
  <si>
    <t>46-050 Tarnow Opolski</t>
  </si>
  <si>
    <t>live:pawel.krzysztof.fortuna</t>
  </si>
  <si>
    <t>pawel.krzysztof.fortuna@outlook.com</t>
  </si>
  <si>
    <t>PaulekOfficial</t>
  </si>
  <si>
    <t xml:space="preserve"> Jabłoński</t>
  </si>
  <si>
    <t>Starowiejska 26/9</t>
  </si>
  <si>
    <t>81-363 Gdynia</t>
  </si>
  <si>
    <t>kuba76531@gmail.com</t>
  </si>
  <si>
    <t>Qba01</t>
  </si>
  <si>
    <t xml:space="preserve">Francszek </t>
  </si>
  <si>
    <t>Rudzki</t>
  </si>
  <si>
    <t>Podlesie 3D</t>
  </si>
  <si>
    <t>43-253 Pielgrzymowice</t>
  </si>
  <si>
    <t>rakietyslaska@gmail.com</t>
  </si>
  <si>
    <t>Suchareq</t>
  </si>
  <si>
    <t>Dodawanie nowych członków</t>
  </si>
  <si>
    <t>Tytuł maila:</t>
  </si>
  <si>
    <t>Formularz zgłoszenia nowego członka PTR</t>
  </si>
  <si>
    <t>Instrukcja:</t>
  </si>
  <si>
    <t>1. Skopiuj całą zawartość maila (CTRL+A, CTRL+C)</t>
  </si>
  <si>
    <t>2. Naciśnij przycisk WKLEJ</t>
  </si>
  <si>
    <t>3. Jeśli dane się zgadzają naciśnij DODAJ CZŁONKA</t>
  </si>
  <si>
    <t>Intro:</t>
  </si>
  <si>
    <t>Imię i Nazwisko:</t>
  </si>
  <si>
    <t>Data ur:</t>
  </si>
  <si>
    <t>Miejsce ur:</t>
  </si>
  <si>
    <t>Nr PESEL:</t>
  </si>
  <si>
    <t>Adres zam:</t>
  </si>
  <si>
    <t>Adres do korsp.:</t>
  </si>
  <si>
    <t>Nr. telefonu:</t>
  </si>
  <si>
    <t>Nr. telefonu służb.</t>
  </si>
  <si>
    <t>Adres e-mail:</t>
  </si>
  <si>
    <t>SKYPE:</t>
  </si>
  <si>
    <t>Nick na forum:</t>
  </si>
  <si>
    <t>Lp</t>
  </si>
  <si>
    <t>Pozostało dni czł.</t>
  </si>
  <si>
    <t>Mail Przypominający</t>
  </si>
  <si>
    <t>Data Zlecenia Druku</t>
  </si>
  <si>
    <t>Uwagi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</si>
  <si>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</si>
  <si>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</si>
  <si>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</si>
  <si>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</si>
  <si>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</si>
  <si>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</si>
  <si>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</si>
  <si>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</si>
  <si>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</si>
  <si>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</si>
  <si>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</si>
  <si>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</si>
  <si>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</si>
  <si>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Musiał</t>
  </si>
  <si>
    <t>Bojkowska 37A/F4</t>
  </si>
  <si>
    <t>niespokojny0duch@gmail.com</t>
  </si>
  <si>
    <t>Bojkowska 37A/F4, 44-100 - Gliwice</t>
  </si>
  <si>
    <t>os. Powstańców Warszawy 3/103</t>
  </si>
  <si>
    <t>61-656 Poznań</t>
  </si>
  <si>
    <t>me@mmalecki.com</t>
  </si>
  <si>
    <t>email:</t>
  </si>
  <si>
    <t>Tytuł Maila:</t>
  </si>
  <si>
    <t>Przypomnienie o składce członkowskiej PTR</t>
  </si>
  <si>
    <t>Witaj,</t>
  </si>
  <si>
    <t>Dziękujemy, że jesteś z nami i wspierasz modelarstwo rakietowe w Polsce.</t>
  </si>
  <si>
    <t>Jeżeli nadal chcesz być z nami i otrzymać legitymację PTR na kolejny rok to prosimy o opłacenie składki.</t>
  </si>
  <si>
    <t>Kwota:</t>
  </si>
  <si>
    <t xml:space="preserve">Dane do wpłaty: </t>
  </si>
  <si>
    <t>Polskie Towarzystwo Rakietowe</t>
  </si>
  <si>
    <t>Nr rachunku:</t>
  </si>
  <si>
    <t>Tytuł przelewu:</t>
  </si>
  <si>
    <t xml:space="preserve">Co daje członkostwo w PTR? Przeczytaj tutaj: </t>
  </si>
  <si>
    <t>https://www.rakiety.org.pl/zostan-czlonkiem-ptr/</t>
  </si>
  <si>
    <t>Pozdrawiamy</t>
  </si>
  <si>
    <t>NIP: 542 316 86 20</t>
  </si>
  <si>
    <t>KRS 0000355014</t>
  </si>
  <si>
    <t>Witaj w Polskim Towarzystwie Rakietowym</t>
  </si>
  <si>
    <t>Witaj na pokładzie!</t>
  </si>
  <si>
    <t xml:space="preserve">Otrzymaliśmy Twoje zgłoszenie do Polskiego Towarzystwa Rakietowego. </t>
  </si>
  <si>
    <t>W ciągu kilku dni zweryfikujemy Twoją płatność członkowską, a następnie rozpoczniemy procedurę druku legitymacji PTR.</t>
  </si>
  <si>
    <t>Proszę weź pod uwagę, że wydruk i wysyłkę legitymacji zlecamy firmie zewnętrznej więc uzbrój się w cierpliwość.</t>
  </si>
  <si>
    <t>Najważniejsze jest to, że z chwilą płatności jesteś pełnoprawnym członkiem PTRu.</t>
  </si>
  <si>
    <t xml:space="preserve">Nasza strona www: </t>
  </si>
  <si>
    <t>https://www.rakiety.org.pl/</t>
  </si>
  <si>
    <t xml:space="preserve">Baza naszej rakietowej wiedzy: </t>
  </si>
  <si>
    <t>https://www.forum.rakiety.org.pl/</t>
  </si>
  <si>
    <t>Profil na facebook'u:</t>
  </si>
  <si>
    <t>www.facebook.com/polskietowarzystwo.rakietowe</t>
  </si>
  <si>
    <t>Grupa na facebook'u:</t>
  </si>
  <si>
    <t>www.facebook.com/groups/PolskieTowarzystwoRakietowe</t>
  </si>
  <si>
    <t>Kanał Discord:</t>
  </si>
  <si>
    <t>Ucz się, konstruuj, wymieniaj się doświadczeniami i baw się z nami na zlotach!</t>
  </si>
  <si>
    <t>Wysokich lotów i bezwietrznej pogody!</t>
  </si>
  <si>
    <t xml:space="preserve"> </t>
  </si>
  <si>
    <t>Dni od ost. Skłd</t>
  </si>
  <si>
    <t>Alior (SWIFT: ALBPPLPW, IBAN: PL) 77 2490 0005 0000 4500 1403 7996</t>
  </si>
  <si>
    <t>Linki które warto znać:</t>
  </si>
  <si>
    <t>2023</t>
  </si>
  <si>
    <t>Jeżeli płatność została już dokonana to prosimy o zignorowanie tej wiadomości.</t>
  </si>
  <si>
    <t>Aktywni Członkowie:</t>
  </si>
  <si>
    <t>https://discord.gg/Ugy2dQd</t>
  </si>
  <si>
    <t>grant</t>
  </si>
  <si>
    <t>LRE</t>
  </si>
  <si>
    <t>zwroty CanSat</t>
  </si>
  <si>
    <t>FM</t>
  </si>
  <si>
    <t>100 modeli grand</t>
  </si>
  <si>
    <t>festiwale</t>
  </si>
  <si>
    <t>2024</t>
  </si>
  <si>
    <t>2025</t>
  </si>
  <si>
    <t>Krakowski id208</t>
  </si>
  <si>
    <t>Informujemy, że 8 dni temu wygasło Twoje członkostwo w Polskim Towarzystwie Rakietowym.</t>
  </si>
  <si>
    <t>03.07.2025</t>
  </si>
  <si>
    <t>2026</t>
  </si>
  <si>
    <t>81-000 Gdynia</t>
  </si>
  <si>
    <t>Piękna 2</t>
  </si>
  <si>
    <t>jannowak_test_test@test.com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</si>
</sst>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#,##0\ &quot;zł&quot;;[Red]\-#,##0\ &quot;zł&quot;"/>
    <numFmt numFmtId="164" formatCode="yyyy\-mm\-dd"/>
    <numFmt numFmtId="165" formatCode="d/mm/yyyy"/>
    <numFmt numFmtId="166" formatCode="#,##0.00\ [$zł-415]"/>
    <numFmt numFmtId="167" formatCode="yy\-m\-d"/>
  </numFmts>
  <fonts count="38">
    <font>
      <sz val="11"/>
      <color rgb="FF000000"/>
      <name val="Calibri"/>
      <scheme val="minor"/>
    </font>
    <font>
      <sz val="10"/>
      <color rgb="FF000000"/>
      <name val="Arial"/>
      <family val="2"/>
      <charset val="238"/>
    </font>
    <font>
      <sz val="11"/>
      <color rgb="FF000000"/>
      <name val="Calibri"/>
      <family val="2"/>
      <charset val="238"/>
    </font>
    <font>
      <u/>
      <sz val="10"/>
      <color rgb="FF000000"/>
      <name val="Arial"/>
      <family val="2"/>
      <charset val="238"/>
    </font>
    <font>
      <u/>
      <sz val="10"/>
      <color rgb="FF000000"/>
      <name val="Arial"/>
      <family val="2"/>
      <charset val="238"/>
    </font>
    <font>
      <sz val="10"/>
      <color theme="1"/>
      <name val="Trebuchet MS"/>
      <family val="2"/>
      <charset val="238"/>
    </font>
    <font>
      <u/>
      <sz val="10"/>
      <color rgb="FF00000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u/>
      <sz val="11"/>
      <color rgb="FF0000FF"/>
      <name val="Calibri"/>
      <family val="2"/>
      <charset val="238"/>
    </font>
    <font>
      <u/>
      <sz val="11"/>
      <color rgb="FF0000FF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rgb="FFFF0000"/>
      <name val="Calibri"/>
      <family val="2"/>
      <charset val="238"/>
    </font>
    <font>
      <sz val="10"/>
      <color rgb="FF000000"/>
      <name val="Arimo"/>
    </font>
    <font>
      <b/>
      <sz val="11"/>
      <color rgb="FF000000"/>
      <name val="Calibri"/>
      <family val="2"/>
      <charset val="238"/>
    </font>
    <font>
      <b/>
      <sz val="14"/>
      <color theme="0"/>
      <name val="Calibri"/>
      <family val="2"/>
      <charset val="238"/>
    </font>
    <font>
      <sz val="11"/>
      <name val="Calibri"/>
      <family val="2"/>
      <charset val="238"/>
    </font>
    <font>
      <b/>
      <sz val="14"/>
      <color rgb="FF000000"/>
      <name val="Calibri"/>
      <family val="2"/>
      <charset val="238"/>
    </font>
    <font>
      <sz val="9"/>
      <color rgb="FF000000"/>
      <name val="Calibri"/>
      <family val="2"/>
      <charset val="238"/>
    </font>
    <font>
      <i/>
      <sz val="11"/>
      <color rgb="FF000000"/>
      <name val="Calibri"/>
      <family val="2"/>
      <charset val="238"/>
    </font>
    <font>
      <sz val="11"/>
      <color rgb="FFA5A5A5"/>
      <name val="Calibri"/>
      <family val="2"/>
      <charset val="238"/>
    </font>
    <font>
      <u/>
      <sz val="11"/>
      <color rgb="FF0000FF"/>
      <name val="Calibri"/>
      <family val="2"/>
      <charset val="238"/>
    </font>
    <font>
      <sz val="12"/>
      <color rgb="FF000000"/>
      <name val="Calibri"/>
      <family val="2"/>
      <charset val="238"/>
    </font>
    <font>
      <b/>
      <sz val="12"/>
      <color rgb="FF000000"/>
      <name val="Calibri"/>
      <family val="2"/>
      <charset val="238"/>
    </font>
    <font>
      <u/>
      <sz val="11"/>
      <color rgb="FF0000FF"/>
      <name val="Calibri"/>
      <family val="2"/>
      <charset val="238"/>
    </font>
    <font>
      <b/>
      <sz val="10"/>
      <color theme="0"/>
      <name val="Arial"/>
      <family val="2"/>
      <charset val="238"/>
    </font>
    <font>
      <b/>
      <sz val="11"/>
      <color theme="0"/>
      <name val="Calibri"/>
      <family val="2"/>
      <charset val="238"/>
    </font>
    <font>
      <sz val="9"/>
      <color theme="1"/>
      <name val="Calibri"/>
      <family val="2"/>
      <charset val="238"/>
    </font>
    <font>
      <sz val="11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6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0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CCCFF"/>
        <bgColor rgb="FFCCCCFF"/>
      </patternFill>
    </fill>
    <fill>
      <patternFill patternType="solid">
        <fgColor rgb="FFFFFF00"/>
        <bgColor rgb="FFFFFF00"/>
      </patternFill>
    </fill>
    <fill>
      <patternFill patternType="solid">
        <fgColor rgb="FF969696"/>
        <bgColor rgb="FF969696"/>
      </patternFill>
    </fill>
    <fill>
      <patternFill patternType="solid">
        <fgColor rgb="FFFFFFFF"/>
        <bgColor rgb="FFFFFFFF"/>
      </patternFill>
    </fill>
    <fill>
      <patternFill patternType="solid">
        <fgColor rgb="FF808080"/>
        <bgColor rgb="FF808080"/>
      </patternFill>
    </fill>
    <fill>
      <patternFill patternType="solid">
        <fgColor rgb="FF00FFFF"/>
        <bgColor rgb="FF00FFFF"/>
      </patternFill>
    </fill>
    <fill>
      <patternFill patternType="solid">
        <fgColor rgb="FFEEECE1"/>
        <bgColor rgb="FFEEECE1"/>
      </patternFill>
    </fill>
    <fill>
      <patternFill patternType="solid">
        <fgColor rgb="FFF2F2F2"/>
        <bgColor rgb="FFF2F2F2"/>
      </patternFill>
    </fill>
    <fill>
      <patternFill patternType="solid">
        <fgColor rgb="FF1F497D"/>
        <bgColor rgb="FF1F497D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rgb="FFF2F2F2"/>
      </patternFill>
    </fill>
    <fill>
      <patternFill patternType="solid">
        <fgColor rgb="FFFFFFFF"/>
        <bgColor indexed="64"/>
      </patternFill>
    </fill>
  </fills>
  <borders count="6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7F7F7F"/>
      </left>
      <right/>
      <top style="medium">
        <color rgb="FF7F7F7F"/>
      </top>
      <bottom/>
      <diagonal/>
    </border>
    <border>
      <left/>
      <right/>
      <top style="medium">
        <color rgb="FF7F7F7F"/>
      </top>
      <bottom/>
      <diagonal/>
    </border>
    <border>
      <left/>
      <right/>
      <top style="medium">
        <color rgb="FF7F7F7F"/>
      </top>
      <bottom/>
      <diagonal/>
    </border>
    <border>
      <left/>
      <right/>
      <top style="medium">
        <color rgb="FF7F7F7F"/>
      </top>
      <bottom/>
      <diagonal/>
    </border>
    <border>
      <left/>
      <right style="medium">
        <color rgb="FF7F7F7F"/>
      </right>
      <top style="medium">
        <color rgb="FF7F7F7F"/>
      </top>
      <bottom/>
      <diagonal/>
    </border>
    <border>
      <left style="medium">
        <color rgb="FF7F7F7F"/>
      </left>
      <right/>
      <top/>
      <bottom/>
      <diagonal/>
    </border>
    <border>
      <left/>
      <right style="medium">
        <color rgb="FF7F7F7F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7F7F7F"/>
      </left>
      <right/>
      <top/>
      <bottom style="medium">
        <color rgb="FF7F7F7F"/>
      </bottom>
      <diagonal/>
    </border>
    <border>
      <left/>
      <right/>
      <top/>
      <bottom style="medium">
        <color rgb="FF7F7F7F"/>
      </bottom>
      <diagonal/>
    </border>
    <border>
      <left/>
      <right style="medium">
        <color rgb="FF7F7F7F"/>
      </right>
      <top/>
      <bottom style="medium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/>
      <top style="thin">
        <color rgb="FF000000"/>
      </top>
      <bottom style="thin">
        <color theme="1"/>
      </bottom>
      <diagonal/>
    </border>
    <border>
      <left/>
      <right style="thin">
        <color rgb="FF000000"/>
      </right>
      <top style="thin">
        <color rgb="FF000000"/>
      </top>
      <bottom style="thin">
        <color theme="1"/>
      </bottom>
      <diagonal/>
    </border>
    <border>
      <left style="thin">
        <color rgb="FF000000"/>
      </left>
      <right/>
      <top style="thin">
        <color rgb="FF000000"/>
      </top>
      <bottom style="thin">
        <color theme="1"/>
      </bottom>
      <diagonal/>
    </border>
    <border>
      <left/>
      <right style="thin">
        <color rgb="FF000000"/>
      </right>
      <top style="thin">
        <color rgb="FF000000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/>
  </cellStyleXfs>
  <cellXfs count="38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166" fontId="1" fillId="0" borderId="1" xfId="0" applyNumberFormat="1" applyFon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3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166" fontId="1" fillId="0" borderId="5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165" fontId="1" fillId="0" borderId="0" xfId="0" applyNumberFormat="1" applyFont="1" applyAlignment="1">
      <alignment horizontal="center" vertical="center" wrapText="1"/>
    </xf>
    <xf numFmtId="0" fontId="1" fillId="0" borderId="6" xfId="0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 wrapText="1"/>
    </xf>
    <xf numFmtId="164" fontId="1" fillId="0" borderId="6" xfId="0" applyNumberFormat="1" applyFont="1" applyBorder="1" applyAlignment="1">
      <alignment horizontal="center" vertical="center" wrapText="1"/>
    </xf>
    <xf numFmtId="166" fontId="1" fillId="0" borderId="6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 wrapText="1"/>
    </xf>
    <xf numFmtId="166" fontId="1" fillId="0" borderId="7" xfId="0" applyNumberFormat="1" applyFont="1" applyBorder="1" applyAlignment="1">
      <alignment horizontal="center" vertical="center"/>
    </xf>
    <xf numFmtId="3" fontId="1" fillId="0" borderId="1" xfId="0" quotePrefix="1" applyNumberFormat="1" applyFont="1" applyBorder="1" applyAlignment="1">
      <alignment horizontal="center" vertical="center" wrapText="1"/>
    </xf>
    <xf numFmtId="167" fontId="1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4" fontId="1" fillId="0" borderId="6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/>
    </xf>
    <xf numFmtId="14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" fillId="4" borderId="1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1" fillId="0" borderId="0" xfId="0" applyFont="1"/>
    <xf numFmtId="0" fontId="1" fillId="0" borderId="1" xfId="0" applyFont="1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4" borderId="9" xfId="0" applyFont="1" applyFill="1" applyBorder="1" applyAlignment="1">
      <alignment horizontal="left" vertical="center"/>
    </xf>
    <xf numFmtId="164" fontId="1" fillId="0" borderId="2" xfId="0" applyNumberFormat="1" applyFont="1" applyBorder="1" applyAlignment="1">
      <alignment horizontal="center" vertical="center" wrapText="1"/>
    </xf>
    <xf numFmtId="0" fontId="1" fillId="0" borderId="10" xfId="0" applyFont="1" applyBorder="1" applyAlignment="1">
      <alignment horizontal="left" vertical="center"/>
    </xf>
    <xf numFmtId="3" fontId="1" fillId="0" borderId="2" xfId="0" applyNumberFormat="1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165" fontId="1" fillId="0" borderId="2" xfId="0" applyNumberFormat="1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3" fontId="1" fillId="0" borderId="7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0" fontId="1" fillId="0" borderId="2" xfId="0" applyFont="1" applyBorder="1" applyAlignment="1">
      <alignment vertical="center"/>
    </xf>
    <xf numFmtId="164" fontId="1" fillId="0" borderId="2" xfId="0" applyNumberFormat="1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164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2" fillId="0" borderId="0" xfId="0" applyFont="1"/>
    <xf numFmtId="0" fontId="4" fillId="0" borderId="1" xfId="0" applyFont="1" applyBorder="1" applyAlignment="1">
      <alignment horizontal="left" vertical="center" wrapText="1"/>
    </xf>
    <xf numFmtId="0" fontId="1" fillId="0" borderId="10" xfId="0" applyFont="1" applyBorder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4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65" fontId="2" fillId="0" borderId="0" xfId="0" applyNumberFormat="1" applyFont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vertical="center"/>
    </xf>
    <xf numFmtId="165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10" xfId="0" applyFont="1" applyBorder="1" applyAlignment="1">
      <alignment vertical="center"/>
    </xf>
    <xf numFmtId="165" fontId="2" fillId="0" borderId="2" xfId="0" applyNumberFormat="1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66" fontId="1" fillId="0" borderId="11" xfId="0" applyNumberFormat="1" applyFont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165" fontId="1" fillId="0" borderId="2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3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1" fillId="0" borderId="1" xfId="0" applyFont="1" applyBorder="1" applyAlignment="1">
      <alignment horizontal="right" vertical="center" wrapText="1"/>
    </xf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 vertical="center" wrapText="1"/>
    </xf>
    <xf numFmtId="164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9" fillId="0" borderId="0" xfId="0" applyFont="1"/>
    <xf numFmtId="0" fontId="10" fillId="0" borderId="1" xfId="0" applyFont="1" applyBorder="1" applyAlignment="1">
      <alignment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6" xfId="0" applyFont="1" applyBorder="1" applyAlignment="1">
      <alignment vertical="center" wrapText="1"/>
    </xf>
    <xf numFmtId="165" fontId="1" fillId="0" borderId="6" xfId="0" applyNumberFormat="1" applyFont="1" applyBorder="1" applyAlignment="1">
      <alignment horizontal="center" vertical="center" wrapText="1"/>
    </xf>
    <xf numFmtId="0" fontId="2" fillId="0" borderId="13" xfId="0" applyFont="1" applyBorder="1" applyAlignment="1">
      <alignment vertical="center"/>
    </xf>
    <xf numFmtId="0" fontId="1" fillId="6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64" fontId="2" fillId="0" borderId="0" xfId="0" applyNumberFormat="1" applyFont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2" fillId="6" borderId="9" xfId="0" applyFont="1" applyFill="1" applyBorder="1" applyAlignment="1">
      <alignment vertical="center"/>
    </xf>
    <xf numFmtId="166" fontId="1" fillId="0" borderId="14" xfId="0" applyNumberFormat="1" applyFont="1" applyBorder="1" applyAlignment="1">
      <alignment horizontal="center" vertical="center"/>
    </xf>
    <xf numFmtId="166" fontId="1" fillId="0" borderId="15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7" borderId="1" xfId="0" applyFont="1" applyFill="1" applyBorder="1" applyAlignment="1">
      <alignment vertical="center"/>
    </xf>
    <xf numFmtId="14" fontId="2" fillId="0" borderId="1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0" fontId="2" fillId="7" borderId="16" xfId="0" applyFont="1" applyFill="1" applyBorder="1"/>
    <xf numFmtId="0" fontId="13" fillId="0" borderId="0" xfId="0" applyFont="1" applyAlignment="1">
      <alignment vertical="center"/>
    </xf>
    <xf numFmtId="0" fontId="2" fillId="3" borderId="16" xfId="0" applyFont="1" applyFill="1" applyBorder="1"/>
    <xf numFmtId="164" fontId="2" fillId="0" borderId="4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/>
    </xf>
    <xf numFmtId="0" fontId="2" fillId="0" borderId="7" xfId="0" applyFont="1" applyBorder="1"/>
    <xf numFmtId="0" fontId="14" fillId="0" borderId="1" xfId="0" applyFont="1" applyBorder="1" applyAlignment="1">
      <alignment vertical="center"/>
    </xf>
    <xf numFmtId="0" fontId="14" fillId="0" borderId="1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/>
    </xf>
    <xf numFmtId="0" fontId="2" fillId="0" borderId="2" xfId="0" applyFont="1" applyBorder="1"/>
    <xf numFmtId="0" fontId="14" fillId="0" borderId="2" xfId="0" applyFont="1" applyBorder="1" applyAlignment="1">
      <alignment horizontal="center" vertical="center"/>
    </xf>
    <xf numFmtId="3" fontId="14" fillId="0" borderId="2" xfId="0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1" fillId="2" borderId="17" xfId="0" applyFont="1" applyFill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 wrapText="1"/>
    </xf>
    <xf numFmtId="3" fontId="2" fillId="0" borderId="0" xfId="0" applyNumberFormat="1" applyFont="1" applyAlignment="1">
      <alignment horizontal="center"/>
    </xf>
    <xf numFmtId="14" fontId="1" fillId="0" borderId="4" xfId="0" applyNumberFormat="1" applyFont="1" applyBorder="1" applyAlignment="1">
      <alignment horizontal="center" vertical="center" wrapText="1"/>
    </xf>
    <xf numFmtId="164" fontId="1" fillId="0" borderId="10" xfId="0" applyNumberFormat="1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1" fillId="0" borderId="2" xfId="0" applyFont="1" applyBorder="1" applyAlignment="1">
      <alignment horizontal="right" vertical="center" wrapText="1"/>
    </xf>
    <xf numFmtId="3" fontId="1" fillId="0" borderId="1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3" fontId="2" fillId="0" borderId="2" xfId="0" applyNumberFormat="1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14" fillId="0" borderId="2" xfId="0" applyFont="1" applyBorder="1" applyAlignment="1">
      <alignment vertical="center"/>
    </xf>
    <xf numFmtId="0" fontId="1" fillId="3" borderId="18" xfId="0" applyFont="1" applyFill="1" applyBorder="1" applyAlignment="1">
      <alignment horizontal="center" vertical="center" wrapText="1"/>
    </xf>
    <xf numFmtId="165" fontId="1" fillId="0" borderId="3" xfId="0" applyNumberFormat="1" applyFont="1" applyBorder="1" applyAlignment="1">
      <alignment horizontal="center" vertical="center" wrapText="1"/>
    </xf>
    <xf numFmtId="165" fontId="2" fillId="0" borderId="3" xfId="0" applyNumberFormat="1" applyFont="1" applyBorder="1" applyAlignment="1">
      <alignment vertical="center"/>
    </xf>
    <xf numFmtId="0" fontId="2" fillId="0" borderId="3" xfId="0" applyFont="1" applyBorder="1"/>
    <xf numFmtId="0" fontId="2" fillId="0" borderId="10" xfId="0" applyFont="1" applyBorder="1"/>
    <xf numFmtId="0" fontId="1" fillId="3" borderId="19" xfId="0" applyFont="1" applyFill="1" applyBorder="1" applyAlignment="1">
      <alignment horizontal="center" vertical="center" wrapText="1"/>
    </xf>
    <xf numFmtId="0" fontId="2" fillId="3" borderId="1" xfId="0" applyFont="1" applyFill="1" applyBorder="1"/>
    <xf numFmtId="0" fontId="2" fillId="8" borderId="1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3" fontId="2" fillId="0" borderId="1" xfId="0" applyNumberFormat="1" applyFont="1" applyBorder="1"/>
    <xf numFmtId="0" fontId="1" fillId="2" borderId="18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164" fontId="1" fillId="2" borderId="20" xfId="0" applyNumberFormat="1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 wrapText="1"/>
    </xf>
    <xf numFmtId="164" fontId="1" fillId="0" borderId="21" xfId="0" applyNumberFormat="1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/>
    </xf>
    <xf numFmtId="0" fontId="2" fillId="6" borderId="18" xfId="0" applyFont="1" applyFill="1" applyBorder="1" applyAlignment="1">
      <alignment vertical="center"/>
    </xf>
    <xf numFmtId="0" fontId="2" fillId="0" borderId="7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2" fillId="0" borderId="8" xfId="0" applyFont="1" applyBorder="1"/>
    <xf numFmtId="0" fontId="2" fillId="3" borderId="20" xfId="0" applyFont="1" applyFill="1" applyBorder="1" applyAlignment="1">
      <alignment horizontal="center"/>
    </xf>
    <xf numFmtId="0" fontId="1" fillId="0" borderId="1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/>
    </xf>
    <xf numFmtId="0" fontId="1" fillId="3" borderId="20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 wrapText="1"/>
    </xf>
    <xf numFmtId="0" fontId="2" fillId="8" borderId="1" xfId="0" applyFont="1" applyFill="1" applyBorder="1"/>
    <xf numFmtId="14" fontId="2" fillId="8" borderId="1" xfId="0" applyNumberFormat="1" applyFont="1" applyFill="1" applyBorder="1" applyAlignment="1">
      <alignment horizontal="center"/>
    </xf>
    <xf numFmtId="0" fontId="2" fillId="8" borderId="9" xfId="0" applyFont="1" applyFill="1" applyBorder="1" applyAlignment="1">
      <alignment vertical="center"/>
    </xf>
    <xf numFmtId="0" fontId="2" fillId="8" borderId="1" xfId="0" applyFont="1" applyFill="1" applyBorder="1" applyAlignment="1">
      <alignment vertical="center"/>
    </xf>
    <xf numFmtId="0" fontId="2" fillId="8" borderId="23" xfId="0" applyFont="1" applyFill="1" applyBorder="1"/>
    <xf numFmtId="0" fontId="2" fillId="8" borderId="16" xfId="0" applyFont="1" applyFill="1" applyBorder="1"/>
    <xf numFmtId="0" fontId="1" fillId="8" borderId="1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 wrapText="1"/>
    </xf>
    <xf numFmtId="0" fontId="15" fillId="9" borderId="16" xfId="0" applyFont="1" applyFill="1" applyBorder="1"/>
    <xf numFmtId="0" fontId="2" fillId="9" borderId="16" xfId="0" applyFont="1" applyFill="1" applyBorder="1"/>
    <xf numFmtId="0" fontId="18" fillId="11" borderId="28" xfId="0" applyFont="1" applyFill="1" applyBorder="1"/>
    <xf numFmtId="0" fontId="2" fillId="11" borderId="28" xfId="0" applyFont="1" applyFill="1" applyBorder="1"/>
    <xf numFmtId="0" fontId="2" fillId="11" borderId="29" xfId="0" applyFont="1" applyFill="1" applyBorder="1"/>
    <xf numFmtId="0" fontId="2" fillId="11" borderId="30" xfId="0" applyFont="1" applyFill="1" applyBorder="1"/>
    <xf numFmtId="0" fontId="2" fillId="11" borderId="16" xfId="0" applyFont="1" applyFill="1" applyBorder="1"/>
    <xf numFmtId="0" fontId="2" fillId="11" borderId="31" xfId="0" applyFont="1" applyFill="1" applyBorder="1"/>
    <xf numFmtId="0" fontId="19" fillId="11" borderId="16" xfId="0" applyFont="1" applyFill="1" applyBorder="1"/>
    <xf numFmtId="0" fontId="20" fillId="11" borderId="16" xfId="0" applyFont="1" applyFill="1" applyBorder="1"/>
    <xf numFmtId="0" fontId="15" fillId="11" borderId="16" xfId="0" applyFont="1" applyFill="1" applyBorder="1"/>
    <xf numFmtId="0" fontId="21" fillId="12" borderId="35" xfId="0" applyFont="1" applyFill="1" applyBorder="1"/>
    <xf numFmtId="0" fontId="15" fillId="12" borderId="36" xfId="0" applyFont="1" applyFill="1" applyBorder="1"/>
    <xf numFmtId="0" fontId="15" fillId="12" borderId="37" xfId="0" applyFont="1" applyFill="1" applyBorder="1"/>
    <xf numFmtId="0" fontId="21" fillId="12" borderId="38" xfId="0" applyFont="1" applyFill="1" applyBorder="1"/>
    <xf numFmtId="0" fontId="15" fillId="12" borderId="16" xfId="0" applyFont="1" applyFill="1" applyBorder="1"/>
    <xf numFmtId="0" fontId="2" fillId="12" borderId="16" xfId="0" applyFont="1" applyFill="1" applyBorder="1"/>
    <xf numFmtId="0" fontId="2" fillId="12" borderId="39" xfId="0" applyFont="1" applyFill="1" applyBorder="1"/>
    <xf numFmtId="0" fontId="15" fillId="12" borderId="16" xfId="0" applyFont="1" applyFill="1" applyBorder="1" applyAlignment="1">
      <alignment horizontal="left"/>
    </xf>
    <xf numFmtId="14" fontId="15" fillId="12" borderId="16" xfId="0" applyNumberFormat="1" applyFont="1" applyFill="1" applyBorder="1" applyAlignment="1">
      <alignment horizontal="left"/>
    </xf>
    <xf numFmtId="49" fontId="15" fillId="12" borderId="16" xfId="0" applyNumberFormat="1" applyFont="1" applyFill="1" applyBorder="1" applyAlignment="1">
      <alignment horizontal="left"/>
    </xf>
    <xf numFmtId="0" fontId="21" fillId="12" borderId="40" xfId="0" applyFont="1" applyFill="1" applyBorder="1"/>
    <xf numFmtId="0" fontId="15" fillId="12" borderId="41" xfId="0" applyFont="1" applyFill="1" applyBorder="1"/>
    <xf numFmtId="0" fontId="2" fillId="12" borderId="41" xfId="0" applyFont="1" applyFill="1" applyBorder="1"/>
    <xf numFmtId="0" fontId="2" fillId="12" borderId="42" xfId="0" applyFont="1" applyFill="1" applyBorder="1"/>
    <xf numFmtId="0" fontId="2" fillId="11" borderId="43" xfId="0" applyFont="1" applyFill="1" applyBorder="1"/>
    <xf numFmtId="0" fontId="2" fillId="11" borderId="44" xfId="0" applyFont="1" applyFill="1" applyBorder="1"/>
    <xf numFmtId="0" fontId="2" fillId="11" borderId="45" xfId="0" applyFont="1" applyFill="1" applyBorder="1"/>
    <xf numFmtId="0" fontId="2" fillId="0" borderId="0" xfId="0" applyFont="1" applyAlignment="1">
      <alignment horizontal="left" vertical="center"/>
    </xf>
    <xf numFmtId="0" fontId="15" fillId="0" borderId="0" xfId="0" applyFont="1"/>
    <xf numFmtId="0" fontId="22" fillId="0" borderId="0" xfId="0" applyFont="1"/>
    <xf numFmtId="0" fontId="2" fillId="12" borderId="16" xfId="0" applyFont="1" applyFill="1" applyBorder="1" applyAlignment="1">
      <alignment horizontal="left" vertical="center"/>
    </xf>
    <xf numFmtId="0" fontId="23" fillId="11" borderId="16" xfId="0" applyFont="1" applyFill="1" applyBorder="1"/>
    <xf numFmtId="0" fontId="23" fillId="0" borderId="0" xfId="0" applyFont="1"/>
    <xf numFmtId="6" fontId="24" fillId="11" borderId="16" xfId="0" applyNumberFormat="1" applyFont="1" applyFill="1" applyBorder="1" applyAlignment="1">
      <alignment horizontal="left"/>
    </xf>
    <xf numFmtId="0" fontId="24" fillId="11" borderId="16" xfId="0" applyFont="1" applyFill="1" applyBorder="1"/>
    <xf numFmtId="49" fontId="24" fillId="11" borderId="16" xfId="0" applyNumberFormat="1" applyFont="1" applyFill="1" applyBorder="1" applyAlignment="1">
      <alignment horizontal="left"/>
    </xf>
    <xf numFmtId="0" fontId="25" fillId="11" borderId="16" xfId="0" applyFont="1" applyFill="1" applyBorder="1"/>
    <xf numFmtId="0" fontId="26" fillId="13" borderId="1" xfId="0" applyFont="1" applyFill="1" applyBorder="1" applyAlignment="1">
      <alignment horizontal="left" vertical="center"/>
    </xf>
    <xf numFmtId="164" fontId="26" fillId="13" borderId="1" xfId="0" applyNumberFormat="1" applyFont="1" applyFill="1" applyBorder="1" applyAlignment="1">
      <alignment horizontal="center" vertical="center"/>
    </xf>
    <xf numFmtId="0" fontId="26" fillId="13" borderId="1" xfId="0" applyFont="1" applyFill="1" applyBorder="1" applyAlignment="1">
      <alignment vertical="center"/>
    </xf>
    <xf numFmtId="0" fontId="26" fillId="13" borderId="1" xfId="0" applyFont="1" applyFill="1" applyBorder="1" applyAlignment="1">
      <alignment horizontal="center" vertical="center"/>
    </xf>
    <xf numFmtId="0" fontId="26" fillId="13" borderId="46" xfId="0" applyFont="1" applyFill="1" applyBorder="1" applyAlignment="1">
      <alignment horizontal="center" vertical="center"/>
    </xf>
    <xf numFmtId="0" fontId="26" fillId="13" borderId="18" xfId="0" applyFont="1" applyFill="1" applyBorder="1" applyAlignment="1">
      <alignment vertical="center"/>
    </xf>
    <xf numFmtId="165" fontId="26" fillId="13" borderId="1" xfId="0" applyNumberFormat="1" applyFont="1" applyFill="1" applyBorder="1" applyAlignment="1">
      <alignment horizontal="center" vertical="center"/>
    </xf>
    <xf numFmtId="0" fontId="26" fillId="13" borderId="47" xfId="0" applyFont="1" applyFill="1" applyBorder="1" applyAlignment="1">
      <alignment horizontal="center" vertical="center"/>
    </xf>
    <xf numFmtId="0" fontId="26" fillId="13" borderId="48" xfId="0" applyFont="1" applyFill="1" applyBorder="1" applyAlignment="1">
      <alignment horizontal="center" vertical="center"/>
    </xf>
    <xf numFmtId="0" fontId="27" fillId="13" borderId="49" xfId="0" applyFont="1" applyFill="1" applyBorder="1"/>
    <xf numFmtId="0" fontId="27" fillId="13" borderId="50" xfId="0" applyFont="1" applyFill="1" applyBorder="1"/>
    <xf numFmtId="0" fontId="12" fillId="0" borderId="46" xfId="0" applyFont="1" applyBorder="1"/>
    <xf numFmtId="14" fontId="12" fillId="0" borderId="46" xfId="0" applyNumberFormat="1" applyFont="1" applyBorder="1" applyAlignment="1">
      <alignment horizontal="center"/>
    </xf>
    <xf numFmtId="0" fontId="7" fillId="0" borderId="46" xfId="0" applyFont="1" applyBorder="1" applyAlignment="1">
      <alignment horizontal="left" vertical="center"/>
    </xf>
    <xf numFmtId="0" fontId="12" fillId="0" borderId="46" xfId="0" applyFont="1" applyBorder="1" applyAlignment="1">
      <alignment horizontal="left"/>
    </xf>
    <xf numFmtId="0" fontId="12" fillId="0" borderId="51" xfId="0" applyFont="1" applyBorder="1" applyAlignment="1">
      <alignment horizontal="center"/>
    </xf>
    <xf numFmtId="0" fontId="12" fillId="0" borderId="46" xfId="0" applyFont="1" applyBorder="1" applyAlignment="1">
      <alignment horizontal="center"/>
    </xf>
    <xf numFmtId="0" fontId="12" fillId="0" borderId="52" xfId="0" applyFont="1" applyBorder="1" applyAlignment="1">
      <alignment horizontal="center"/>
    </xf>
    <xf numFmtId="0" fontId="12" fillId="0" borderId="46" xfId="0" applyFont="1" applyBorder="1" applyAlignment="1">
      <alignment horizontal="left" vertical="center"/>
    </xf>
    <xf numFmtId="14" fontId="12" fillId="0" borderId="1" xfId="0" applyNumberFormat="1" applyFont="1" applyBorder="1" applyAlignment="1">
      <alignment horizontal="center"/>
    </xf>
    <xf numFmtId="0" fontId="12" fillId="6" borderId="1" xfId="0" applyFont="1" applyFill="1" applyBorder="1" applyAlignment="1">
      <alignment vertical="center"/>
    </xf>
    <xf numFmtId="0" fontId="12" fillId="0" borderId="1" xfId="0" applyFont="1" applyBorder="1" applyAlignment="1">
      <alignment horizontal="center"/>
    </xf>
    <xf numFmtId="0" fontId="12" fillId="6" borderId="46" xfId="0" applyFont="1" applyFill="1" applyBorder="1" applyAlignment="1">
      <alignment vertical="center"/>
    </xf>
    <xf numFmtId="0" fontId="12" fillId="3" borderId="1" xfId="0" applyFont="1" applyFill="1" applyBorder="1" applyAlignment="1">
      <alignment horizontal="center"/>
    </xf>
    <xf numFmtId="0" fontId="12" fillId="12" borderId="46" xfId="0" applyFont="1" applyFill="1" applyBorder="1"/>
    <xf numFmtId="14" fontId="12" fillId="12" borderId="46" xfId="0" applyNumberFormat="1" applyFont="1" applyFill="1" applyBorder="1" applyAlignment="1">
      <alignment horizontal="center"/>
    </xf>
    <xf numFmtId="0" fontId="7" fillId="12" borderId="46" xfId="0" applyFont="1" applyFill="1" applyBorder="1" applyAlignment="1">
      <alignment horizontal="left" vertical="center"/>
    </xf>
    <xf numFmtId="0" fontId="12" fillId="12" borderId="46" xfId="0" applyFont="1" applyFill="1" applyBorder="1" applyAlignment="1">
      <alignment horizontal="left"/>
    </xf>
    <xf numFmtId="0" fontId="12" fillId="12" borderId="53" xfId="0" applyFont="1" applyFill="1" applyBorder="1" applyAlignment="1">
      <alignment horizontal="center"/>
    </xf>
    <xf numFmtId="0" fontId="12" fillId="12" borderId="46" xfId="0" applyFont="1" applyFill="1" applyBorder="1" applyAlignment="1">
      <alignment horizontal="center"/>
    </xf>
    <xf numFmtId="0" fontId="12" fillId="12" borderId="54" xfId="0" applyFont="1" applyFill="1" applyBorder="1" applyAlignment="1">
      <alignment horizontal="center"/>
    </xf>
    <xf numFmtId="0" fontId="12" fillId="12" borderId="46" xfId="0" applyFont="1" applyFill="1" applyBorder="1" applyAlignment="1">
      <alignment horizontal="left" vertical="center"/>
    </xf>
    <xf numFmtId="0" fontId="12" fillId="12" borderId="46" xfId="0" applyFont="1" applyFill="1" applyBorder="1" applyAlignment="1">
      <alignment vertical="center"/>
    </xf>
    <xf numFmtId="14" fontId="12" fillId="12" borderId="53" xfId="0" applyNumberFormat="1" applyFont="1" applyFill="1" applyBorder="1" applyAlignment="1">
      <alignment horizontal="center"/>
    </xf>
    <xf numFmtId="3" fontId="12" fillId="12" borderId="53" xfId="0" applyNumberFormat="1" applyFont="1" applyFill="1" applyBorder="1" applyAlignment="1">
      <alignment horizontal="center"/>
    </xf>
    <xf numFmtId="3" fontId="12" fillId="12" borderId="1" xfId="0" applyNumberFormat="1" applyFont="1" applyFill="1" applyBorder="1" applyAlignment="1">
      <alignment horizontal="center"/>
    </xf>
    <xf numFmtId="0" fontId="12" fillId="12" borderId="54" xfId="0" applyFont="1" applyFill="1" applyBorder="1" applyAlignment="1">
      <alignment horizontal="left" vertical="center"/>
    </xf>
    <xf numFmtId="0" fontId="12" fillId="12" borderId="49" xfId="0" applyFont="1" applyFill="1" applyBorder="1"/>
    <xf numFmtId="0" fontId="12" fillId="12" borderId="53" xfId="0" applyFont="1" applyFill="1" applyBorder="1"/>
    <xf numFmtId="0" fontId="12" fillId="12" borderId="1" xfId="0" applyFont="1" applyFill="1" applyBorder="1"/>
    <xf numFmtId="0" fontId="12" fillId="12" borderId="20" xfId="0" applyFont="1" applyFill="1" applyBorder="1"/>
    <xf numFmtId="14" fontId="12" fillId="12" borderId="1" xfId="0" applyNumberFormat="1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vertical="center"/>
    </xf>
    <xf numFmtId="14" fontId="12" fillId="12" borderId="18" xfId="0" applyNumberFormat="1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left" vertical="center"/>
    </xf>
    <xf numFmtId="0" fontId="12" fillId="12" borderId="1" xfId="0" applyFont="1" applyFill="1" applyBorder="1" applyAlignment="1">
      <alignment horizontal="left"/>
    </xf>
    <xf numFmtId="0" fontId="12" fillId="12" borderId="1" xfId="0" applyFont="1" applyFill="1" applyBorder="1" applyAlignment="1">
      <alignment horizontal="center" vertical="center"/>
    </xf>
    <xf numFmtId="0" fontId="12" fillId="12" borderId="18" xfId="0" applyFont="1" applyFill="1" applyBorder="1"/>
    <xf numFmtId="0" fontId="28" fillId="12" borderId="1" xfId="0" applyFont="1" applyFill="1" applyBorder="1" applyAlignment="1">
      <alignment horizontal="center"/>
    </xf>
    <xf numFmtId="0" fontId="12" fillId="12" borderId="20" xfId="0" applyFont="1" applyFill="1" applyBorder="1" applyAlignment="1">
      <alignment horizontal="left" vertical="center"/>
    </xf>
    <xf numFmtId="14" fontId="12" fillId="12" borderId="1" xfId="0" applyNumberFormat="1" applyFont="1" applyFill="1" applyBorder="1"/>
    <xf numFmtId="0" fontId="7" fillId="12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30" fillId="13" borderId="57" xfId="0" applyFont="1" applyFill="1" applyBorder="1" applyAlignment="1">
      <alignment horizontal="left" vertical="center"/>
    </xf>
    <xf numFmtId="164" fontId="30" fillId="13" borderId="57" xfId="0" applyNumberFormat="1" applyFont="1" applyFill="1" applyBorder="1" applyAlignment="1">
      <alignment horizontal="center" vertical="center"/>
    </xf>
    <xf numFmtId="0" fontId="30" fillId="13" borderId="57" xfId="0" applyFont="1" applyFill="1" applyBorder="1" applyAlignment="1">
      <alignment vertical="center"/>
    </xf>
    <xf numFmtId="0" fontId="30" fillId="13" borderId="57" xfId="0" applyFont="1" applyFill="1" applyBorder="1" applyAlignment="1">
      <alignment horizontal="center" vertical="center"/>
    </xf>
    <xf numFmtId="165" fontId="30" fillId="13" borderId="57" xfId="0" applyNumberFormat="1" applyFont="1" applyFill="1" applyBorder="1" applyAlignment="1">
      <alignment horizontal="center" vertical="center"/>
    </xf>
    <xf numFmtId="0" fontId="29" fillId="0" borderId="57" xfId="0" applyFont="1" applyBorder="1"/>
    <xf numFmtId="0" fontId="29" fillId="0" borderId="58" xfId="0" applyFont="1" applyBorder="1"/>
    <xf numFmtId="0" fontId="9" fillId="0" borderId="59" xfId="0" applyFont="1" applyBorder="1"/>
    <xf numFmtId="0" fontId="1" fillId="0" borderId="55" xfId="0" applyFont="1" applyBorder="1" applyAlignment="1">
      <alignment horizontal="left" vertical="center"/>
    </xf>
    <xf numFmtId="14" fontId="1" fillId="0" borderId="55" xfId="0" applyNumberFormat="1" applyFont="1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/>
    </xf>
    <xf numFmtId="0" fontId="2" fillId="0" borderId="55" xfId="0" applyFont="1" applyBorder="1"/>
    <xf numFmtId="0" fontId="2" fillId="0" borderId="55" xfId="0" applyFont="1" applyBorder="1" applyAlignment="1">
      <alignment horizontal="left" vertic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0" fontId="2" fillId="0" borderId="55" xfId="0" applyFont="1" applyBorder="1" applyAlignment="1">
      <alignment vertical="center"/>
    </xf>
    <xf numFmtId="0" fontId="2" fillId="6" borderId="55" xfId="0" applyFont="1" applyFill="1" applyBorder="1" applyAlignment="1">
      <alignment vertical="center"/>
    </xf>
    <xf numFmtId="14" fontId="2" fillId="0" borderId="55" xfId="0" applyNumberFormat="1" applyFont="1" applyBorder="1" applyAlignment="1">
      <alignment horizontal="center"/>
    </xf>
    <xf numFmtId="1" fontId="2" fillId="0" borderId="55" xfId="0" applyNumberFormat="1" applyFont="1" applyBorder="1" applyAlignment="1">
      <alignment horizontal="center"/>
    </xf>
    <xf numFmtId="1" fontId="21" fillId="0" borderId="55" xfId="0" applyNumberFormat="1" applyFont="1" applyBorder="1" applyAlignment="1">
      <alignment horizontal="center"/>
    </xf>
    <xf numFmtId="0" fontId="14" fillId="0" borderId="55" xfId="0" applyFont="1" applyBorder="1" applyAlignment="1">
      <alignment horizontal="center" vertical="center"/>
    </xf>
    <xf numFmtId="0" fontId="29" fillId="14" borderId="56" xfId="0" applyFont="1" applyFill="1" applyBorder="1"/>
    <xf numFmtId="1" fontId="31" fillId="0" borderId="60" xfId="0" applyNumberFormat="1" applyFont="1" applyBorder="1" applyAlignment="1">
      <alignment horizontal="center"/>
    </xf>
    <xf numFmtId="0" fontId="32" fillId="12" borderId="16" xfId="1" applyFill="1" applyBorder="1"/>
    <xf numFmtId="0" fontId="32" fillId="11" borderId="16" xfId="1" applyFill="1" applyBorder="1"/>
    <xf numFmtId="0" fontId="2" fillId="9" borderId="34" xfId="0" applyFont="1" applyFill="1" applyBorder="1"/>
    <xf numFmtId="0" fontId="0" fillId="0" borderId="34" xfId="0" applyBorder="1"/>
    <xf numFmtId="0" fontId="0" fillId="0" borderId="55" xfId="0" applyBorder="1"/>
    <xf numFmtId="0" fontId="33" fillId="0" borderId="57" xfId="0" applyFont="1" applyBorder="1"/>
    <xf numFmtId="0" fontId="34" fillId="15" borderId="61" xfId="0" applyFont="1" applyFill="1" applyBorder="1"/>
    <xf numFmtId="0" fontId="0" fillId="16" borderId="55" xfId="0" applyFill="1" applyBorder="1"/>
    <xf numFmtId="0" fontId="36" fillId="0" borderId="57" xfId="0" applyFont="1" applyBorder="1"/>
    <xf numFmtId="0" fontId="37" fillId="0" borderId="57" xfId="0" applyFont="1" applyBorder="1"/>
    <xf numFmtId="0" fontId="15" fillId="12" borderId="16" xfId="0" applyFont="1" applyFill="1" applyBorder="1" applyAlignment="1">
      <alignment horizontal="left" vertical="center"/>
    </xf>
    <xf numFmtId="0" fontId="16" fillId="10" borderId="25" xfId="0" applyFont="1" applyFill="1" applyBorder="1" applyAlignment="1">
      <alignment horizontal="center"/>
    </xf>
    <xf numFmtId="0" fontId="17" fillId="0" borderId="26" xfId="0" applyFont="1" applyBorder="1"/>
    <xf numFmtId="0" fontId="17" fillId="0" borderId="27" xfId="0" applyFont="1" applyBorder="1"/>
    <xf numFmtId="0" fontId="19" fillId="11" borderId="32" xfId="0" applyFont="1" applyFill="1" applyBorder="1" applyAlignment="1">
      <alignment horizontal="left"/>
    </xf>
    <xf numFmtId="0" fontId="17" fillId="0" borderId="33" xfId="0" applyFont="1" applyBorder="1"/>
    <xf numFmtId="0" fontId="17" fillId="0" borderId="34" xfId="0" applyFont="1" applyBorder="1"/>
    <xf numFmtId="0" fontId="32" fillId="0" borderId="55" xfId="1" applyBorder="1"/>
  </cellXfs>
  <cellStyles count="2">
    <cellStyle name="Hiperłącze" xfId="1" builtinId="8"/>
    <cellStyle name="Normalny" xfId="0" builtinId="0"/>
  </cellStyles>
  <dxfs count="66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92CDDC"/>
          <bgColor rgb="FF92CDD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92CDDC"/>
          <bgColor rgb="FF92CDD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92CDDC"/>
          <bgColor rgb="FF92CDDC"/>
        </patternFill>
      </fill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charset val="238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92CDDC"/>
          <bgColor rgb="FF92CDDC"/>
        </patternFill>
      </fill>
    </dxf>
    <dxf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595959"/>
          <bgColor rgb="FF595959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>
    <tableStyle name="Dane Członków-style" pivot="0" count="3" xr9:uid="{00000000-0011-0000-FFFF-FFFF00000000}">
      <tableStyleElement type="headerRow" dxfId="65"/>
      <tableStyleElement type="firstRowStripe" dxfId="64"/>
      <tableStyleElement type="secondRowStripe" dxfId="6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8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82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81" Type="http://customschemas.google.com/relationships/workbookmetadata" Target="metadata"/><Relationship Id="rId8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-9525</xdr:colOff>
      <xdr:row>9</xdr:row>
      <xdr:rowOff>-9525</xdr:rowOff>
    </xdr:from>
    <xdr:ext cx="1114425" cy="276225"/>
    <xdr:sp macro="[0]!Wklej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798313" y="3651413"/>
          <a:ext cx="1095375" cy="257175"/>
        </a:xfrm>
        <a:prstGeom prst="roundRect">
          <a:avLst>
            <a:gd name="adj" fmla="val 16667"/>
          </a:avLst>
        </a:prstGeom>
        <a:solidFill>
          <a:schemeClr val="l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dk2"/>
              </a:solidFill>
              <a:latin typeface="Arial"/>
              <a:ea typeface="Arial"/>
              <a:cs typeface="Arial"/>
              <a:sym typeface="Arial"/>
            </a:rPr>
            <a:t>WKLEJ</a:t>
          </a:r>
          <a:endParaRPr sz="1100" b="1">
            <a:solidFill>
              <a:schemeClr val="dk2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13</xdr:col>
      <xdr:colOff>104775</xdr:colOff>
      <xdr:row>9</xdr:row>
      <xdr:rowOff>0</xdr:rowOff>
    </xdr:from>
    <xdr:ext cx="1695450" cy="276225"/>
    <xdr:sp macro="[0]!DodajCzlonka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507800" y="3651413"/>
          <a:ext cx="1676400" cy="257175"/>
        </a:xfrm>
        <a:prstGeom prst="roundRect">
          <a:avLst>
            <a:gd name="adj" fmla="val 16667"/>
          </a:avLst>
        </a:prstGeom>
        <a:solidFill>
          <a:schemeClr val="accent3"/>
        </a:solidFill>
        <a:ln w="25400" cap="flat" cmpd="sng">
          <a:solidFill>
            <a:srgbClr val="71884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262F13"/>
              </a:solidFill>
              <a:latin typeface="Arial"/>
              <a:ea typeface="Arial"/>
              <a:cs typeface="Arial"/>
              <a:sym typeface="Arial"/>
            </a:rPr>
            <a:t>DODAJ CZŁONKA</a:t>
          </a:r>
          <a:endParaRPr sz="1100" b="1">
            <a:solidFill>
              <a:srgbClr val="262F13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oneCellAnchor>
    <xdr:from>
      <xdr:col>13</xdr:col>
      <xdr:colOff>514350</xdr:colOff>
      <xdr:row>32</xdr:row>
      <xdr:rowOff>38100</xdr:rowOff>
    </xdr:from>
    <xdr:ext cx="1285875" cy="257175"/>
    <xdr:sp macro="[0]!WyczyscPola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4703063" y="3651413"/>
          <a:ext cx="1285875" cy="257175"/>
        </a:xfrm>
        <a:prstGeom prst="roundRect">
          <a:avLst>
            <a:gd name="adj" fmla="val 16667"/>
          </a:avLst>
        </a:prstGeom>
        <a:noFill/>
        <a:ln w="9525" cap="flat" cmpd="sng">
          <a:solidFill>
            <a:srgbClr val="262626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700" b="1">
              <a:solidFill>
                <a:srgbClr val="3F3F3F"/>
              </a:solidFill>
              <a:latin typeface="Arial"/>
              <a:ea typeface="Arial"/>
              <a:cs typeface="Arial"/>
              <a:sym typeface="Arial"/>
            </a:rPr>
            <a:t>ZRESETUJ FORMULARZ</a:t>
          </a:r>
          <a:endParaRPr sz="700" b="1">
            <a:solidFill>
              <a:srgbClr val="3F3F3F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400050</xdr:colOff>
      <xdr:row>1</xdr:row>
      <xdr:rowOff>9525</xdr:rowOff>
    </xdr:from>
    <xdr:ext cx="1228725" cy="257175"/>
    <xdr:sp macro="[0]!CzyscMailPrzyp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6829425" y="200025"/>
          <a:ext cx="1228725" cy="257175"/>
        </a:xfrm>
        <a:prstGeom prst="roundRect">
          <a:avLst>
            <a:gd name="adj" fmla="val 16667"/>
          </a:avLst>
        </a:prstGeom>
        <a:solidFill>
          <a:schemeClr val="lt1"/>
        </a:solidFill>
        <a:ln w="9525" cap="flat" cmpd="sng">
          <a:solidFill>
            <a:srgbClr val="262626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700" b="1">
              <a:solidFill>
                <a:srgbClr val="3F3F3F"/>
              </a:solidFill>
              <a:latin typeface="Arial"/>
              <a:ea typeface="Arial"/>
              <a:cs typeface="Arial"/>
              <a:sym typeface="Arial"/>
            </a:rPr>
            <a:t>ZRESETUJ FORMULARZ</a:t>
          </a:r>
          <a:endParaRPr sz="700" b="1">
            <a:solidFill>
              <a:srgbClr val="3F3F3F"/>
            </a:solidFill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User 6490" id="{9F0DC8A0-9340-4923-889D-E6619BA82AA0}" userId="S::User6490@myoffice365.site::d529e5dc-405d-47e0-9e73-2ec63de7a3f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AM2" headerRowDxfId="57" totalsRowDxfId="54" headerRowBorderDxfId="56" tableBorderDxfId="55">
  <autoFilter ref="A1:AM2" xr:uid="{00000000-000C-0000-FFFF-FFFF00000000}"/>
  <sortState xmlns:xlrd2="http://schemas.microsoft.com/office/spreadsheetml/2017/richdata2" ref="A2:AJ2">
    <sortCondition ref="A1:A2"/>
  </sortState>
  <tableColumns count="39">
    <tableColumn id="1" xr3:uid="{00000000-0010-0000-0000-000001000000}" name="Lp" dataDxfId="53"/>
    <tableColumn id="2" xr3:uid="{00000000-0010-0000-0000-000002000000}" name="Imię" dataDxfId="52"/>
    <tableColumn id="3" xr3:uid="{00000000-0010-0000-0000-000003000000}" name="Nazwisko" dataDxfId="51"/>
    <tableColumn id="4" xr3:uid="{00000000-0010-0000-0000-000004000000}" name="Ostatnia składka" dataDxfId="50"/>
    <tableColumn id="5" xr3:uid="{00000000-0010-0000-0000-000005000000}" name="Dni od ost. Skłd" dataDxfId="49"/>
    <tableColumn id="6" xr3:uid="{00000000-0010-0000-0000-000006000000}" name="Pozostało dni czł." dataDxfId="48"/>
    <tableColumn id="7" xr3:uid="{00000000-0010-0000-0000-000007000000}" name="Mail Przypominający" dataDxfId="47"/>
    <tableColumn id="8" xr3:uid="{00000000-0010-0000-0000-000008000000}" name="Data Zlecenia Druku" dataDxfId="46"/>
    <tableColumn id="9" xr3:uid="{00000000-0010-0000-0000-000009000000}" name="Stanowisko w PTR" dataDxfId="45"/>
    <tableColumn id="10" xr3:uid="{00000000-0010-0000-0000-00000A000000}" name="Adres" dataDxfId="44"/>
    <tableColumn id="11" xr3:uid="{00000000-0010-0000-0000-00000B000000}" name="Miejscowość" dataDxfId="43"/>
    <tableColumn id="12" xr3:uid="{00000000-0010-0000-0000-00000C000000}" name="Telefon" dataDxfId="42"/>
    <tableColumn id="13" xr3:uid="{00000000-0010-0000-0000-00000D000000}" name="Uwagi" dataDxfId="41"/>
    <tableColumn id="14" xr3:uid="{00000000-0010-0000-0000-00000E000000}" name="Skype" dataDxfId="40"/>
    <tableColumn id="15" xr3:uid="{00000000-0010-0000-0000-00000F000000}" name="e-mail" dataDxfId="39" dataCellStyle="Hiperłącze"/>
    <tableColumn id="16" xr3:uid="{00000000-0010-0000-0000-000010000000}" name="Telefon stacjonarny" dataDxfId="38"/>
    <tableColumn id="17" xr3:uid="{00000000-0010-0000-0000-000011000000}" name="Nr. Legitymacji" dataDxfId="37"/>
    <tableColumn id="18" xr3:uid="{00000000-0010-0000-0000-000012000000}" name="Klasa" dataDxfId="36"/>
    <tableColumn id="19" xr3:uid="{00000000-0010-0000-0000-000013000000}" name="Forum" dataDxfId="35"/>
    <tableColumn id="20" xr3:uid="{00000000-0010-0000-0000-000014000000}" name="Adres do korespondencji" dataDxfId="34"/>
    <tableColumn id="21" xr3:uid="{00000000-0010-0000-0000-000015000000}" name="Data wstąpienia" dataDxfId="33"/>
    <tableColumn id="22" xr3:uid="{00000000-0010-0000-0000-000016000000}" name="Pierwsza składka" dataDxfId="32"/>
    <tableColumn id="23" xr3:uid="{00000000-0010-0000-0000-000017000000}" name="2010" dataDxfId="31"/>
    <tableColumn id="24" xr3:uid="{00000000-0010-0000-0000-000018000000}" name="2011" dataDxfId="30"/>
    <tableColumn id="25" xr3:uid="{00000000-0010-0000-0000-000019000000}" name="2012" dataDxfId="29"/>
    <tableColumn id="26" xr3:uid="{00000000-0010-0000-0000-00001A000000}" name="2013" dataDxfId="28"/>
    <tableColumn id="27" xr3:uid="{00000000-0010-0000-0000-00001B000000}" name="2014" dataDxfId="27"/>
    <tableColumn id="28" xr3:uid="{00000000-0010-0000-0000-00001C000000}" name="2015" dataDxfId="26"/>
    <tableColumn id="29" xr3:uid="{00000000-0010-0000-0000-00001D000000}" name="2016" dataDxfId="25"/>
    <tableColumn id="30" xr3:uid="{00000000-0010-0000-0000-00001E000000}" name="2017" dataDxfId="24"/>
    <tableColumn id="31" xr3:uid="{00000000-0010-0000-0000-00001F000000}" name="2018" dataDxfId="23"/>
    <tableColumn id="32" xr3:uid="{00000000-0010-0000-0000-000020000000}" name="2019" dataDxfId="22"/>
    <tableColumn id="33" xr3:uid="{00000000-0010-0000-0000-000021000000}" name="2020" dataDxfId="21"/>
    <tableColumn id="34" xr3:uid="{00000000-0010-0000-0000-000022000000}" name="2021" dataDxfId="20"/>
    <tableColumn id="35" xr3:uid="{00000000-0010-0000-0000-000023000000}" name="2022" dataDxfId="19"/>
    <tableColumn id="36" xr3:uid="{845BDE7A-E491-4771-A124-BC5FA1D8B1BC}" name="2023" dataDxfId="18" totalsRowDxfId="17"/>
    <tableColumn id="37" xr3:uid="{7BCA0571-348B-4AD6-ACCC-7E0FB1175754}" name="2024" dataDxfId="16" totalsRowDxfId="15"/>
    <tableColumn id="38" xr3:uid="{6556FF9F-36D5-458A-9F3C-519927BB8208}" name="2025" dataDxfId="14" totalsRowDxfId="13"/>
    <tableColumn id="39" xr3:uid="{86540462-0B6B-4954-B302-C24EF0B85AE4}" name="2026" dataDxfId="12" totalsRowDxfId="11"/>
  </tableColumns>
  <tableStyleInfo name="TableStyleLight9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2" dT="2024-05-21T18:26:26.61" personId="{9F0DC8A0-9340-4923-889D-E6619BA82AA0}" id="{480BE684-D509-4971-BAC1-3902361B06C7}">
    <text>Koordynator ds. Instruktorów</text>
  </threadedComment>
  <threadedComment ref="I25" dT="2024-05-21T18:36:31.44" personId="{9F0DC8A0-9340-4923-889D-E6619BA82AA0}" id="{74A01573-B825-4303-B39C-5BB64C805C03}">
    <text>Koordynator ds. Festiwalu Meteora</text>
  </threadedComment>
  <threadedComment ref="I157" dT="2024-05-21T18:38:36.49" personId="{9F0DC8A0-9340-4923-889D-E6619BA82AA0}" id="{D95FE5DB-8AE0-4A88-99D7-3D6F03CCAE6D}">
    <text>Koordynator ds. LRE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banasiakprivate@wp.eu" TargetMode="External"/><Relationship Id="rId2" Type="http://schemas.openxmlformats.org/officeDocument/2006/relationships/hyperlink" Target="mailto:hwhack@gmail.com" TargetMode="External"/><Relationship Id="rId1" Type="http://schemas.openxmlformats.org/officeDocument/2006/relationships/hyperlink" Target="mailto:kuba.gawek@onet.pl" TargetMode="External"/><Relationship Id="rId5" Type="http://schemas.openxmlformats.org/officeDocument/2006/relationships/hyperlink" Target="mailto:filiptwarowski@gmail.com" TargetMode="External"/><Relationship Id="rId4" Type="http://schemas.openxmlformats.org/officeDocument/2006/relationships/hyperlink" Target="mailto:vs@data.p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banasiakprivate@wp.eu" TargetMode="External"/><Relationship Id="rId2" Type="http://schemas.openxmlformats.org/officeDocument/2006/relationships/hyperlink" Target="mailto:hwhack@gmail.com" TargetMode="External"/><Relationship Id="rId1" Type="http://schemas.openxmlformats.org/officeDocument/2006/relationships/hyperlink" Target="mailto:kuba.gawek@onet.pl" TargetMode="External"/><Relationship Id="rId5" Type="http://schemas.openxmlformats.org/officeDocument/2006/relationships/hyperlink" Target="mailto:filiptwarowski@gmail.com" TargetMode="External"/><Relationship Id="rId4" Type="http://schemas.openxmlformats.org/officeDocument/2006/relationships/hyperlink" Target="mailto:vs@data.p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hwhack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hwhack@gmail.com" TargetMode="External"/><Relationship Id="rId2" Type="http://schemas.openxmlformats.org/officeDocument/2006/relationships/hyperlink" Target="mailto:zbigniew.kapelan@op.pl" TargetMode="External"/><Relationship Id="rId1" Type="http://schemas.openxmlformats.org/officeDocument/2006/relationships/hyperlink" Target="mailto:marek.fedko@interia.eu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hwhack@gmail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hwhack@gmail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hwhack@gmail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1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annowak_test_test@test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tomasz.j.krakowski@gmail.com" TargetMode="External"/><Relationship Id="rId1" Type="http://schemas.openxmlformats.org/officeDocument/2006/relationships/hyperlink" Target="https://www.rakiety.org.pl/zostan-czlonkiem-ptr/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orum.rakiety.org.pl/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rakiety.org.pl/" TargetMode="External"/><Relationship Id="rId1" Type="http://schemas.openxmlformats.org/officeDocument/2006/relationships/hyperlink" Target="https://www.rakiety.org.pl/zostan-czlonkiem-ptr/" TargetMode="External"/><Relationship Id="rId6" Type="http://schemas.openxmlformats.org/officeDocument/2006/relationships/hyperlink" Target="https://discord.gg/Ugy2dQd" TargetMode="External"/><Relationship Id="rId5" Type="http://schemas.openxmlformats.org/officeDocument/2006/relationships/hyperlink" Target="http://www.facebook.com/groups/PolskieTowarzystwoRakietowe" TargetMode="External"/><Relationship Id="rId4" Type="http://schemas.openxmlformats.org/officeDocument/2006/relationships/hyperlink" Target="http://www.facebook.com/polskietowarzystwo.rakietow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Z1000"/>
  <sheetViews>
    <sheetView workbookViewId="0">
      <selection activeCell="E24" sqref="E24"/>
    </sheetView>
  </sheetViews>
  <sheetFormatPr defaultColWidth="14.44140625" defaultRowHeight="15" customHeight="1"/>
  <cols>
    <col min="1" max="1" width="4.109375" customWidth="1"/>
    <col min="2" max="2" width="8.88671875" customWidth="1"/>
    <col min="3" max="3" width="11.33203125" customWidth="1"/>
    <col min="4" max="4" width="5" customWidth="1"/>
    <col min="5" max="6" width="14.109375" customWidth="1"/>
    <col min="7" max="7" width="24.33203125" customWidth="1"/>
    <col min="8" max="8" width="33" customWidth="1"/>
    <col min="9" max="9" width="25.33203125" customWidth="1"/>
    <col min="10" max="10" width="11.109375" customWidth="1"/>
    <col min="11" max="11" width="15.6640625" customWidth="1"/>
    <col min="12" max="12" width="30.33203125" customWidth="1"/>
    <col min="13" max="13" width="17.33203125" customWidth="1"/>
    <col min="14" max="14" width="13.5546875" customWidth="1"/>
    <col min="15" max="15" width="7.109375" customWidth="1"/>
    <col min="16" max="26" width="8.6640625" customWidth="1"/>
  </cols>
  <sheetData>
    <row r="1" spans="1:26" ht="23.25" customHeight="1">
      <c r="A1" s="1" t="s">
        <v>0</v>
      </c>
      <c r="B1" s="2" t="s">
        <v>1</v>
      </c>
      <c r="C1" s="2" t="s">
        <v>2</v>
      </c>
      <c r="D1" s="3">
        <v>2010</v>
      </c>
      <c r="E1" s="4" t="s">
        <v>3</v>
      </c>
      <c r="F1" s="4" t="s">
        <v>4</v>
      </c>
      <c r="G1" s="2" t="s">
        <v>5</v>
      </c>
      <c r="H1" s="1" t="s">
        <v>6</v>
      </c>
      <c r="I1" s="1"/>
      <c r="J1" s="3" t="s">
        <v>7</v>
      </c>
      <c r="K1" s="3" t="s">
        <v>8</v>
      </c>
      <c r="L1" s="3" t="s">
        <v>9</v>
      </c>
      <c r="M1" s="3" t="s">
        <v>10</v>
      </c>
      <c r="N1" s="5" t="s">
        <v>11</v>
      </c>
      <c r="O1" s="6" t="s">
        <v>12</v>
      </c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14.4">
      <c r="A2" s="8">
        <v>1</v>
      </c>
      <c r="B2" s="9" t="s">
        <v>13</v>
      </c>
      <c r="C2" s="9" t="s">
        <v>14</v>
      </c>
      <c r="D2" s="10">
        <v>120</v>
      </c>
      <c r="E2" s="11">
        <v>40316</v>
      </c>
      <c r="F2" s="11">
        <v>40229</v>
      </c>
      <c r="G2" s="9" t="s">
        <v>15</v>
      </c>
      <c r="H2" s="12" t="s">
        <v>16</v>
      </c>
      <c r="I2" s="12" t="s">
        <v>17</v>
      </c>
      <c r="J2" s="13">
        <v>502534510</v>
      </c>
      <c r="K2" s="10" t="s">
        <v>18</v>
      </c>
      <c r="L2" s="8" t="s">
        <v>19</v>
      </c>
      <c r="M2" s="10" t="s">
        <v>20</v>
      </c>
      <c r="N2" s="14">
        <v>2</v>
      </c>
      <c r="O2" s="10"/>
    </row>
    <row r="3" spans="1:26" ht="11.25" customHeight="1">
      <c r="A3" s="8">
        <v>2</v>
      </c>
      <c r="B3" s="9" t="s">
        <v>21</v>
      </c>
      <c r="C3" s="9" t="s">
        <v>22</v>
      </c>
      <c r="D3" s="10">
        <v>120</v>
      </c>
      <c r="E3" s="11">
        <v>40316</v>
      </c>
      <c r="F3" s="11">
        <v>40229</v>
      </c>
      <c r="G3" s="9" t="s">
        <v>23</v>
      </c>
      <c r="H3" s="12" t="s">
        <v>24</v>
      </c>
      <c r="I3" s="12" t="s">
        <v>25</v>
      </c>
      <c r="J3" s="15">
        <v>605230859</v>
      </c>
      <c r="K3" s="8" t="s">
        <v>26</v>
      </c>
      <c r="L3" s="8" t="s">
        <v>27</v>
      </c>
      <c r="M3" s="10" t="s">
        <v>28</v>
      </c>
      <c r="N3" s="14">
        <v>3</v>
      </c>
      <c r="O3" s="10"/>
    </row>
    <row r="4" spans="1:26" ht="12.75" customHeight="1">
      <c r="A4" s="8">
        <v>3</v>
      </c>
      <c r="B4" s="9" t="s">
        <v>13</v>
      </c>
      <c r="C4" s="9" t="s">
        <v>29</v>
      </c>
      <c r="D4" s="10">
        <v>120</v>
      </c>
      <c r="E4" s="11">
        <v>40316</v>
      </c>
      <c r="F4" s="11">
        <v>40229</v>
      </c>
      <c r="G4" s="9" t="s">
        <v>23</v>
      </c>
      <c r="H4" s="12" t="s">
        <v>30</v>
      </c>
      <c r="I4" s="12" t="s">
        <v>31</v>
      </c>
      <c r="J4" s="13">
        <v>791300469</v>
      </c>
      <c r="K4" s="10" t="s">
        <v>32</v>
      </c>
      <c r="L4" s="8" t="s">
        <v>33</v>
      </c>
      <c r="M4" s="10" t="s">
        <v>34</v>
      </c>
      <c r="N4" s="14">
        <v>25</v>
      </c>
      <c r="O4" s="10"/>
    </row>
    <row r="5" spans="1:26" ht="11.25" customHeight="1">
      <c r="A5" s="8">
        <v>4</v>
      </c>
      <c r="B5" s="9" t="s">
        <v>35</v>
      </c>
      <c r="C5" s="9" t="s">
        <v>36</v>
      </c>
      <c r="D5" s="10">
        <v>120</v>
      </c>
      <c r="E5" s="11">
        <v>40316</v>
      </c>
      <c r="F5" s="11">
        <v>40229</v>
      </c>
      <c r="G5" s="9" t="s">
        <v>23</v>
      </c>
      <c r="H5" s="12" t="s">
        <v>37</v>
      </c>
      <c r="I5" s="12" t="s">
        <v>38</v>
      </c>
      <c r="J5" s="13">
        <v>608666164</v>
      </c>
      <c r="K5" s="10" t="s">
        <v>39</v>
      </c>
      <c r="L5" s="8" t="s">
        <v>40</v>
      </c>
      <c r="M5" s="10" t="s">
        <v>41</v>
      </c>
      <c r="N5" s="14">
        <v>4</v>
      </c>
      <c r="O5" s="10"/>
    </row>
    <row r="6" spans="1:26" ht="12.75" customHeight="1">
      <c r="A6" s="8">
        <v>5</v>
      </c>
      <c r="B6" s="9" t="s">
        <v>42</v>
      </c>
      <c r="C6" s="9" t="s">
        <v>36</v>
      </c>
      <c r="D6" s="10">
        <v>120</v>
      </c>
      <c r="E6" s="11">
        <v>40316</v>
      </c>
      <c r="F6" s="11">
        <v>40229</v>
      </c>
      <c r="G6" s="9" t="s">
        <v>43</v>
      </c>
      <c r="H6" s="12" t="s">
        <v>44</v>
      </c>
      <c r="I6" s="12" t="s">
        <v>45</v>
      </c>
      <c r="J6" s="15">
        <v>608666170</v>
      </c>
      <c r="K6" s="8" t="s">
        <v>46</v>
      </c>
      <c r="L6" s="8" t="s">
        <v>47</v>
      </c>
      <c r="M6" s="10" t="s">
        <v>32</v>
      </c>
      <c r="N6" s="14">
        <v>6</v>
      </c>
      <c r="O6" s="10"/>
    </row>
    <row r="7" spans="1:26" ht="12" customHeight="1">
      <c r="A7" s="8">
        <v>6</v>
      </c>
      <c r="B7" s="9" t="s">
        <v>48</v>
      </c>
      <c r="C7" s="9" t="s">
        <v>49</v>
      </c>
      <c r="D7" s="10">
        <v>120</v>
      </c>
      <c r="E7" s="11">
        <v>40316</v>
      </c>
      <c r="F7" s="11">
        <v>40229</v>
      </c>
      <c r="G7" s="9" t="s">
        <v>50</v>
      </c>
      <c r="H7" s="12" t="s">
        <v>51</v>
      </c>
      <c r="I7" s="12" t="s">
        <v>52</v>
      </c>
      <c r="J7" s="13">
        <v>601997864</v>
      </c>
      <c r="K7" s="10" t="s">
        <v>32</v>
      </c>
      <c r="L7" s="10" t="s">
        <v>53</v>
      </c>
      <c r="M7" s="10" t="s">
        <v>54</v>
      </c>
      <c r="N7" s="14">
        <v>33</v>
      </c>
      <c r="O7" s="16"/>
    </row>
    <row r="8" spans="1:26" ht="10.5" customHeight="1">
      <c r="A8" s="8">
        <v>7</v>
      </c>
      <c r="B8" s="9" t="s">
        <v>55</v>
      </c>
      <c r="C8" s="9" t="s">
        <v>56</v>
      </c>
      <c r="D8" s="10">
        <v>60</v>
      </c>
      <c r="E8" s="11">
        <v>40316</v>
      </c>
      <c r="F8" s="11">
        <v>40229</v>
      </c>
      <c r="G8" s="17" t="s">
        <v>57</v>
      </c>
      <c r="H8" s="12" t="s">
        <v>58</v>
      </c>
      <c r="I8" s="12" t="s">
        <v>59</v>
      </c>
      <c r="J8" s="13">
        <v>508373904</v>
      </c>
      <c r="K8" s="10" t="s">
        <v>60</v>
      </c>
      <c r="L8" s="18" t="s">
        <v>61</v>
      </c>
      <c r="M8" s="10" t="s">
        <v>62</v>
      </c>
      <c r="N8" s="14">
        <v>19</v>
      </c>
      <c r="O8" s="16"/>
    </row>
    <row r="9" spans="1:26" ht="12.75" customHeight="1">
      <c r="A9" s="8">
        <v>8</v>
      </c>
      <c r="B9" s="9" t="s">
        <v>55</v>
      </c>
      <c r="C9" s="9" t="s">
        <v>63</v>
      </c>
      <c r="D9" s="10">
        <v>120</v>
      </c>
      <c r="E9" s="11">
        <v>40316</v>
      </c>
      <c r="F9" s="19">
        <v>40229</v>
      </c>
      <c r="G9" s="20" t="s">
        <v>64</v>
      </c>
      <c r="H9" s="21" t="s">
        <v>65</v>
      </c>
      <c r="I9" s="18" t="s">
        <v>66</v>
      </c>
      <c r="J9" s="15">
        <v>600118375</v>
      </c>
      <c r="K9" s="8" t="s">
        <v>67</v>
      </c>
      <c r="L9" s="22" t="s">
        <v>68</v>
      </c>
      <c r="M9" s="10" t="s">
        <v>32</v>
      </c>
      <c r="N9" s="14">
        <v>8</v>
      </c>
      <c r="O9" s="16"/>
    </row>
    <row r="10" spans="1:26" ht="12" customHeight="1">
      <c r="A10" s="8">
        <v>9</v>
      </c>
      <c r="B10" s="9" t="s">
        <v>42</v>
      </c>
      <c r="C10" s="9" t="s">
        <v>69</v>
      </c>
      <c r="D10" s="10">
        <v>120</v>
      </c>
      <c r="E10" s="11">
        <v>40316</v>
      </c>
      <c r="F10" s="11">
        <v>40229</v>
      </c>
      <c r="G10" s="23" t="s">
        <v>70</v>
      </c>
      <c r="H10" s="8" t="s">
        <v>71</v>
      </c>
      <c r="I10" s="24" t="s">
        <v>72</v>
      </c>
      <c r="J10" s="13">
        <v>603628256</v>
      </c>
      <c r="K10" s="10" t="s">
        <v>73</v>
      </c>
      <c r="L10" s="10" t="s">
        <v>74</v>
      </c>
      <c r="M10" s="10" t="s">
        <v>75</v>
      </c>
      <c r="N10" s="14">
        <v>7</v>
      </c>
      <c r="O10" s="10"/>
    </row>
    <row r="11" spans="1:26" ht="12.75" customHeight="1">
      <c r="A11" s="8">
        <v>10</v>
      </c>
      <c r="B11" s="9" t="s">
        <v>76</v>
      </c>
      <c r="C11" s="9" t="s">
        <v>77</v>
      </c>
      <c r="D11" s="10">
        <v>120</v>
      </c>
      <c r="E11" s="11">
        <v>40316</v>
      </c>
      <c r="F11" s="11">
        <v>40229</v>
      </c>
      <c r="G11" s="9" t="s">
        <v>70</v>
      </c>
      <c r="H11" s="25" t="s">
        <v>78</v>
      </c>
      <c r="I11" s="12" t="s">
        <v>79</v>
      </c>
      <c r="J11" s="13">
        <v>604460697</v>
      </c>
      <c r="K11" s="10" t="s">
        <v>80</v>
      </c>
      <c r="L11" s="10" t="s">
        <v>81</v>
      </c>
      <c r="M11" s="10" t="s">
        <v>32</v>
      </c>
      <c r="N11" s="14">
        <v>28</v>
      </c>
      <c r="O11" s="16"/>
    </row>
    <row r="12" spans="1:26" ht="13.5" customHeight="1">
      <c r="A12" s="8">
        <v>11</v>
      </c>
      <c r="B12" s="9" t="s">
        <v>82</v>
      </c>
      <c r="C12" s="9" t="s">
        <v>83</v>
      </c>
      <c r="D12" s="10">
        <v>120</v>
      </c>
      <c r="E12" s="11">
        <v>40316</v>
      </c>
      <c r="F12" s="11">
        <v>40229</v>
      </c>
      <c r="G12" s="9" t="s">
        <v>43</v>
      </c>
      <c r="H12" s="8" t="s">
        <v>84</v>
      </c>
      <c r="I12" s="12" t="s">
        <v>85</v>
      </c>
      <c r="J12" s="13">
        <v>668334422</v>
      </c>
      <c r="K12" s="10" t="s">
        <v>86</v>
      </c>
      <c r="L12" s="10" t="s">
        <v>87</v>
      </c>
      <c r="M12" s="10" t="s">
        <v>32</v>
      </c>
      <c r="N12" s="14">
        <v>16</v>
      </c>
      <c r="O12" s="16"/>
    </row>
    <row r="13" spans="1:26" ht="12.75" customHeight="1">
      <c r="A13" s="8">
        <v>12</v>
      </c>
      <c r="B13" s="9" t="s">
        <v>88</v>
      </c>
      <c r="C13" s="9" t="s">
        <v>89</v>
      </c>
      <c r="D13" s="10">
        <v>120</v>
      </c>
      <c r="E13" s="11">
        <v>40316</v>
      </c>
      <c r="F13" s="11">
        <v>40229</v>
      </c>
      <c r="G13" s="9" t="s">
        <v>43</v>
      </c>
      <c r="H13" s="26" t="s">
        <v>90</v>
      </c>
      <c r="I13" s="10" t="s">
        <v>91</v>
      </c>
      <c r="J13" s="13">
        <v>500802469</v>
      </c>
      <c r="K13" s="10" t="s">
        <v>92</v>
      </c>
      <c r="L13" s="10" t="s">
        <v>93</v>
      </c>
      <c r="M13" s="10" t="s">
        <v>32</v>
      </c>
      <c r="N13" s="14">
        <v>10</v>
      </c>
      <c r="O13" s="16"/>
    </row>
    <row r="14" spans="1:26" ht="11.25" customHeight="1">
      <c r="A14" s="8">
        <v>13</v>
      </c>
      <c r="B14" s="9" t="s">
        <v>94</v>
      </c>
      <c r="C14" s="9" t="s">
        <v>95</v>
      </c>
      <c r="D14" s="10">
        <v>60</v>
      </c>
      <c r="E14" s="11">
        <v>40316</v>
      </c>
      <c r="F14" s="11">
        <v>40229</v>
      </c>
      <c r="G14" s="9" t="s">
        <v>43</v>
      </c>
      <c r="H14" s="12" t="s">
        <v>96</v>
      </c>
      <c r="I14" s="24" t="s">
        <v>97</v>
      </c>
      <c r="J14" s="13">
        <v>514474608</v>
      </c>
      <c r="K14" s="10" t="s">
        <v>98</v>
      </c>
      <c r="L14" s="10" t="s">
        <v>99</v>
      </c>
      <c r="M14" s="10" t="s">
        <v>100</v>
      </c>
      <c r="N14" s="14">
        <v>9</v>
      </c>
      <c r="O14" s="10"/>
    </row>
    <row r="15" spans="1:26" ht="12.75" customHeight="1">
      <c r="A15" s="8">
        <v>14</v>
      </c>
      <c r="B15" s="9" t="s">
        <v>101</v>
      </c>
      <c r="C15" s="9" t="s">
        <v>102</v>
      </c>
      <c r="D15" s="10">
        <v>120</v>
      </c>
      <c r="E15" s="11">
        <v>40316</v>
      </c>
      <c r="F15" s="11">
        <v>40229</v>
      </c>
      <c r="G15" s="9" t="s">
        <v>43</v>
      </c>
      <c r="H15" s="27" t="s">
        <v>103</v>
      </c>
      <c r="I15" s="12" t="s">
        <v>104</v>
      </c>
      <c r="J15" s="13">
        <v>501228703</v>
      </c>
      <c r="K15" s="10" t="s">
        <v>105</v>
      </c>
      <c r="L15" s="8" t="s">
        <v>106</v>
      </c>
      <c r="M15" s="10" t="s">
        <v>107</v>
      </c>
      <c r="N15" s="14">
        <v>21</v>
      </c>
      <c r="O15" s="16"/>
    </row>
    <row r="16" spans="1:26" ht="13.5" customHeight="1">
      <c r="A16" s="8">
        <v>15</v>
      </c>
      <c r="B16" s="9" t="s">
        <v>108</v>
      </c>
      <c r="C16" s="9" t="s">
        <v>109</v>
      </c>
      <c r="D16" s="10">
        <v>120</v>
      </c>
      <c r="E16" s="11">
        <v>40316</v>
      </c>
      <c r="F16" s="11">
        <v>40229</v>
      </c>
      <c r="G16" s="28" t="s">
        <v>110</v>
      </c>
      <c r="H16" s="12" t="s">
        <v>111</v>
      </c>
      <c r="I16" s="12" t="s">
        <v>112</v>
      </c>
      <c r="J16" s="13">
        <v>721696982</v>
      </c>
      <c r="K16" s="10" t="s">
        <v>113</v>
      </c>
      <c r="L16" s="8" t="s">
        <v>114</v>
      </c>
      <c r="M16" s="10" t="s">
        <v>115</v>
      </c>
      <c r="N16" s="14">
        <v>26</v>
      </c>
      <c r="O16" s="16"/>
    </row>
    <row r="17" spans="1:26" ht="12.75" customHeight="1">
      <c r="A17" s="8">
        <v>16</v>
      </c>
      <c r="B17" s="9" t="s">
        <v>48</v>
      </c>
      <c r="C17" s="9" t="s">
        <v>116</v>
      </c>
      <c r="D17" s="10">
        <v>60</v>
      </c>
      <c r="E17" s="11">
        <v>40316</v>
      </c>
      <c r="F17" s="11">
        <v>40229</v>
      </c>
      <c r="G17" s="9" t="s">
        <v>117</v>
      </c>
      <c r="H17" s="12" t="s">
        <v>118</v>
      </c>
      <c r="I17" s="12" t="s">
        <v>119</v>
      </c>
      <c r="J17" s="10" t="s">
        <v>120</v>
      </c>
      <c r="K17" s="10" t="s">
        <v>32</v>
      </c>
      <c r="L17" s="8" t="s">
        <v>121</v>
      </c>
      <c r="M17" s="10" t="s">
        <v>32</v>
      </c>
      <c r="N17" s="14">
        <v>34</v>
      </c>
      <c r="O17" s="10"/>
      <c r="P17" s="29"/>
      <c r="Q17" s="7"/>
      <c r="R17" s="7"/>
      <c r="S17" s="7"/>
      <c r="T17" s="7"/>
    </row>
    <row r="18" spans="1:26" ht="12.75" customHeight="1">
      <c r="A18" s="8">
        <v>17</v>
      </c>
      <c r="B18" s="30" t="s">
        <v>122</v>
      </c>
      <c r="C18" s="30" t="s">
        <v>123</v>
      </c>
      <c r="D18" s="31">
        <v>60</v>
      </c>
      <c r="E18" s="32">
        <v>40316</v>
      </c>
      <c r="F18" s="32">
        <v>40229</v>
      </c>
      <c r="G18" s="9" t="s">
        <v>43</v>
      </c>
      <c r="H18" s="33" t="s">
        <v>124</v>
      </c>
      <c r="I18" s="33" t="s">
        <v>119</v>
      </c>
      <c r="J18" s="31" t="s">
        <v>125</v>
      </c>
      <c r="K18" s="31" t="s">
        <v>32</v>
      </c>
      <c r="L18" s="34" t="s">
        <v>126</v>
      </c>
      <c r="M18" s="31" t="s">
        <v>32</v>
      </c>
      <c r="N18" s="35">
        <v>29</v>
      </c>
      <c r="O18" s="31"/>
      <c r="P18" s="29"/>
      <c r="Q18" s="7"/>
      <c r="R18" s="7"/>
      <c r="S18" s="7"/>
      <c r="T18" s="7"/>
    </row>
    <row r="19" spans="1:26" ht="11.25" customHeight="1">
      <c r="A19" s="8">
        <v>18</v>
      </c>
      <c r="B19" s="9" t="s">
        <v>127</v>
      </c>
      <c r="C19" s="9" t="s">
        <v>128</v>
      </c>
      <c r="D19" s="10">
        <v>120</v>
      </c>
      <c r="E19" s="11">
        <v>40316</v>
      </c>
      <c r="F19" s="11">
        <v>40229</v>
      </c>
      <c r="G19" s="9" t="s">
        <v>43</v>
      </c>
      <c r="H19" s="12" t="s">
        <v>129</v>
      </c>
      <c r="I19" s="12" t="s">
        <v>130</v>
      </c>
      <c r="J19" s="10" t="s">
        <v>131</v>
      </c>
      <c r="K19" s="10" t="s">
        <v>132</v>
      </c>
      <c r="L19" s="8" t="s">
        <v>133</v>
      </c>
      <c r="M19" s="10" t="s">
        <v>32</v>
      </c>
      <c r="N19" s="14">
        <v>31</v>
      </c>
      <c r="O19" s="10"/>
      <c r="P19" s="16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1.25" customHeight="1">
      <c r="A20" s="8">
        <v>19</v>
      </c>
      <c r="B20" s="9" t="s">
        <v>134</v>
      </c>
      <c r="C20" s="9" t="s">
        <v>135</v>
      </c>
      <c r="D20" s="10">
        <v>120</v>
      </c>
      <c r="E20" s="11">
        <v>40316</v>
      </c>
      <c r="F20" s="11">
        <v>40229</v>
      </c>
      <c r="G20" s="9" t="s">
        <v>136</v>
      </c>
      <c r="H20" s="12" t="s">
        <v>137</v>
      </c>
      <c r="I20" s="12" t="s">
        <v>138</v>
      </c>
      <c r="J20" s="10" t="s">
        <v>139</v>
      </c>
      <c r="K20" s="10" t="s">
        <v>32</v>
      </c>
      <c r="L20" s="10" t="s">
        <v>140</v>
      </c>
      <c r="M20" s="10" t="s">
        <v>32</v>
      </c>
      <c r="N20" s="14">
        <v>27</v>
      </c>
      <c r="O20" s="10"/>
      <c r="P20" s="16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1.25" customHeight="1">
      <c r="A21" s="8">
        <v>20</v>
      </c>
      <c r="B21" s="9" t="s">
        <v>141</v>
      </c>
      <c r="C21" s="9" t="s">
        <v>142</v>
      </c>
      <c r="D21" s="10">
        <v>120</v>
      </c>
      <c r="E21" s="11">
        <v>40316</v>
      </c>
      <c r="F21" s="11">
        <v>40229</v>
      </c>
      <c r="G21" s="9" t="s">
        <v>143</v>
      </c>
      <c r="H21" s="12" t="s">
        <v>144</v>
      </c>
      <c r="I21" s="12" t="s">
        <v>145</v>
      </c>
      <c r="J21" s="10" t="s">
        <v>146</v>
      </c>
      <c r="K21" s="10" t="s">
        <v>147</v>
      </c>
      <c r="L21" s="8" t="s">
        <v>148</v>
      </c>
      <c r="M21" s="10" t="s">
        <v>32</v>
      </c>
      <c r="N21" s="14">
        <v>11</v>
      </c>
      <c r="O21" s="10"/>
      <c r="P21" s="16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1.25" customHeight="1">
      <c r="A22" s="8">
        <v>21</v>
      </c>
      <c r="B22" s="9" t="s">
        <v>48</v>
      </c>
      <c r="C22" s="9" t="s">
        <v>149</v>
      </c>
      <c r="D22" s="10">
        <v>120</v>
      </c>
      <c r="E22" s="11">
        <v>40316</v>
      </c>
      <c r="F22" s="11">
        <v>40229</v>
      </c>
      <c r="G22" s="9" t="s">
        <v>150</v>
      </c>
      <c r="H22" s="12" t="s">
        <v>151</v>
      </c>
      <c r="I22" s="12" t="s">
        <v>152</v>
      </c>
      <c r="J22" s="10" t="s">
        <v>153</v>
      </c>
      <c r="K22" s="10" t="s">
        <v>154</v>
      </c>
      <c r="L22" s="8" t="s">
        <v>155</v>
      </c>
      <c r="M22" s="10" t="s">
        <v>156</v>
      </c>
      <c r="N22" s="14">
        <v>24</v>
      </c>
      <c r="O22" s="10"/>
      <c r="P22" s="16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1.25" customHeight="1">
      <c r="A23" s="8">
        <v>22</v>
      </c>
      <c r="B23" s="9" t="s">
        <v>127</v>
      </c>
      <c r="C23" s="9" t="s">
        <v>157</v>
      </c>
      <c r="D23" s="10">
        <v>120</v>
      </c>
      <c r="E23" s="11">
        <v>40316</v>
      </c>
      <c r="F23" s="11">
        <v>40229</v>
      </c>
      <c r="G23" s="9" t="s">
        <v>70</v>
      </c>
      <c r="H23" s="12" t="s">
        <v>158</v>
      </c>
      <c r="I23" s="12" t="s">
        <v>159</v>
      </c>
      <c r="J23" s="10" t="s">
        <v>160</v>
      </c>
      <c r="K23" s="10" t="s">
        <v>161</v>
      </c>
      <c r="L23" s="8" t="s">
        <v>162</v>
      </c>
      <c r="M23" s="10" t="s">
        <v>163</v>
      </c>
      <c r="N23" s="14">
        <v>23</v>
      </c>
      <c r="O23" s="10"/>
      <c r="P23" s="16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1.25" customHeight="1">
      <c r="A24" s="8">
        <v>23</v>
      </c>
      <c r="B24" s="9" t="s">
        <v>127</v>
      </c>
      <c r="C24" s="9" t="s">
        <v>164</v>
      </c>
      <c r="D24" s="10">
        <v>60</v>
      </c>
      <c r="E24" s="11">
        <v>40316</v>
      </c>
      <c r="F24" s="11">
        <v>40229</v>
      </c>
      <c r="G24" s="17" t="s">
        <v>43</v>
      </c>
      <c r="H24" s="12" t="s">
        <v>165</v>
      </c>
      <c r="I24" s="12" t="s">
        <v>159</v>
      </c>
      <c r="J24" s="10" t="s">
        <v>166</v>
      </c>
      <c r="K24" s="10" t="s">
        <v>167</v>
      </c>
      <c r="L24" s="8" t="s">
        <v>168</v>
      </c>
      <c r="M24" s="10" t="s">
        <v>32</v>
      </c>
      <c r="N24" s="14">
        <v>32</v>
      </c>
      <c r="O24" s="10"/>
      <c r="P24" s="16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2.75" customHeight="1">
      <c r="A25" s="8">
        <v>24</v>
      </c>
      <c r="B25" s="9" t="s">
        <v>141</v>
      </c>
      <c r="C25" s="9" t="s">
        <v>169</v>
      </c>
      <c r="D25" s="10">
        <v>30</v>
      </c>
      <c r="E25" s="11">
        <v>40459</v>
      </c>
      <c r="F25" s="19">
        <v>40460</v>
      </c>
      <c r="G25" s="9" t="s">
        <v>170</v>
      </c>
      <c r="H25" s="36" t="s">
        <v>171</v>
      </c>
      <c r="I25" s="12" t="s">
        <v>172</v>
      </c>
      <c r="J25" s="13">
        <v>793406015</v>
      </c>
      <c r="K25" s="10" t="s">
        <v>173</v>
      </c>
      <c r="L25" s="8" t="s">
        <v>174</v>
      </c>
      <c r="M25" s="10" t="s">
        <v>32</v>
      </c>
      <c r="N25" s="14">
        <v>5</v>
      </c>
      <c r="O25" s="16"/>
      <c r="P25" s="20"/>
      <c r="U25" s="7"/>
      <c r="V25" s="7"/>
      <c r="W25" s="7"/>
      <c r="X25" s="7"/>
      <c r="Y25" s="7"/>
      <c r="Z25" s="7"/>
    </row>
    <row r="26" spans="1:26" ht="12.75" customHeight="1">
      <c r="A26" s="8">
        <v>25</v>
      </c>
      <c r="B26" s="9" t="s">
        <v>175</v>
      </c>
      <c r="C26" s="9" t="s">
        <v>176</v>
      </c>
      <c r="D26" s="10">
        <v>50</v>
      </c>
      <c r="E26" s="11">
        <v>40460</v>
      </c>
      <c r="F26" s="11">
        <v>40460</v>
      </c>
      <c r="G26" s="23" t="s">
        <v>170</v>
      </c>
      <c r="H26" s="12" t="s">
        <v>177</v>
      </c>
      <c r="I26" s="12" t="s">
        <v>178</v>
      </c>
      <c r="J26" s="10">
        <v>15228759927</v>
      </c>
      <c r="K26" s="10" t="s">
        <v>179</v>
      </c>
      <c r="L26" s="8" t="s">
        <v>180</v>
      </c>
      <c r="M26" s="37" t="s">
        <v>181</v>
      </c>
      <c r="N26" s="14">
        <v>14</v>
      </c>
      <c r="O26" s="10"/>
      <c r="P26" s="38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2.75" customHeight="1">
      <c r="A27" s="8">
        <v>26</v>
      </c>
      <c r="B27" s="9" t="s">
        <v>182</v>
      </c>
      <c r="C27" s="9" t="s">
        <v>183</v>
      </c>
      <c r="D27" s="10">
        <v>30</v>
      </c>
      <c r="E27" s="11">
        <v>40460</v>
      </c>
      <c r="F27" s="11">
        <v>40460</v>
      </c>
      <c r="G27" s="23" t="s">
        <v>170</v>
      </c>
      <c r="H27" s="12" t="s">
        <v>184</v>
      </c>
      <c r="I27" s="12" t="s">
        <v>185</v>
      </c>
      <c r="J27" s="10" t="s">
        <v>186</v>
      </c>
      <c r="K27" s="10" t="s">
        <v>32</v>
      </c>
      <c r="L27" s="8" t="s">
        <v>187</v>
      </c>
      <c r="M27" s="10" t="s">
        <v>32</v>
      </c>
      <c r="N27" s="14">
        <v>35</v>
      </c>
      <c r="O27" s="10"/>
      <c r="P27" s="16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2.75" customHeight="1">
      <c r="A28" s="8">
        <v>27</v>
      </c>
      <c r="B28" s="9" t="s">
        <v>188</v>
      </c>
      <c r="C28" s="9" t="s">
        <v>189</v>
      </c>
      <c r="D28" s="10">
        <v>30</v>
      </c>
      <c r="E28" s="11">
        <v>40460</v>
      </c>
      <c r="F28" s="11">
        <v>40466</v>
      </c>
      <c r="G28" s="9" t="s">
        <v>170</v>
      </c>
      <c r="H28" s="12" t="s">
        <v>190</v>
      </c>
      <c r="I28" s="12" t="s">
        <v>191</v>
      </c>
      <c r="J28" s="10" t="s">
        <v>192</v>
      </c>
      <c r="K28" s="10" t="s">
        <v>32</v>
      </c>
      <c r="L28" s="8" t="s">
        <v>193</v>
      </c>
      <c r="M28" s="10" t="s">
        <v>32</v>
      </c>
      <c r="N28" s="14">
        <v>36</v>
      </c>
      <c r="O28" s="10"/>
      <c r="P28" s="16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2.75" customHeight="1">
      <c r="A29" s="8">
        <v>28</v>
      </c>
      <c r="B29" s="9" t="s">
        <v>194</v>
      </c>
      <c r="C29" s="9" t="s">
        <v>195</v>
      </c>
      <c r="D29" s="10">
        <v>120</v>
      </c>
      <c r="E29" s="11">
        <v>40460</v>
      </c>
      <c r="F29" s="11">
        <v>40468</v>
      </c>
      <c r="G29" s="9" t="s">
        <v>170</v>
      </c>
      <c r="H29" s="12" t="s">
        <v>196</v>
      </c>
      <c r="I29" s="12" t="s">
        <v>191</v>
      </c>
      <c r="J29" s="13">
        <v>508916020</v>
      </c>
      <c r="K29" s="10" t="s">
        <v>32</v>
      </c>
      <c r="L29" s="8" t="s">
        <v>197</v>
      </c>
      <c r="M29" s="10" t="s">
        <v>198</v>
      </c>
      <c r="N29" s="14">
        <v>15</v>
      </c>
      <c r="O29" s="16"/>
      <c r="P29" s="20"/>
      <c r="U29" s="7"/>
      <c r="V29" s="7"/>
      <c r="W29" s="7"/>
      <c r="X29" s="7"/>
      <c r="Y29" s="7"/>
      <c r="Z29" s="7"/>
    </row>
    <row r="30" spans="1:26" ht="15.75" customHeight="1">
      <c r="L30" s="39"/>
    </row>
    <row r="31" spans="1:26" ht="15.75" customHeight="1">
      <c r="L31" s="39"/>
    </row>
    <row r="32" spans="1:26" ht="15.75" customHeight="1">
      <c r="L32" s="39"/>
    </row>
    <row r="33" spans="12:12" ht="15.75" customHeight="1">
      <c r="L33" s="39"/>
    </row>
    <row r="34" spans="12:12" ht="15.75" customHeight="1">
      <c r="L34" s="39"/>
    </row>
    <row r="35" spans="12:12" ht="15.75" customHeight="1">
      <c r="L35" s="39"/>
    </row>
    <row r="36" spans="12:12" ht="15.75" customHeight="1">
      <c r="L36" s="39"/>
    </row>
    <row r="37" spans="12:12" ht="15.75" customHeight="1">
      <c r="L37" s="39"/>
    </row>
    <row r="38" spans="12:12" ht="15.75" customHeight="1">
      <c r="L38" s="39"/>
    </row>
    <row r="39" spans="12:12" ht="15.75" customHeight="1">
      <c r="L39" s="39"/>
    </row>
    <row r="40" spans="12:12" ht="15.75" customHeight="1">
      <c r="L40" s="39"/>
    </row>
    <row r="41" spans="12:12" ht="15.75" customHeight="1">
      <c r="L41" s="39"/>
    </row>
    <row r="42" spans="12:12" ht="15.75" customHeight="1">
      <c r="L42" s="39"/>
    </row>
    <row r="43" spans="12:12" ht="15.75" customHeight="1">
      <c r="L43" s="39"/>
    </row>
    <row r="44" spans="12:12" ht="15.75" customHeight="1">
      <c r="L44" s="39"/>
    </row>
    <row r="45" spans="12:12" ht="15.75" customHeight="1">
      <c r="L45" s="39"/>
    </row>
    <row r="46" spans="12:12" ht="15.75" customHeight="1">
      <c r="L46" s="39"/>
    </row>
    <row r="47" spans="12:12" ht="15.75" customHeight="1">
      <c r="L47" s="39"/>
    </row>
    <row r="48" spans="12:12" ht="15.75" customHeight="1">
      <c r="L48" s="39"/>
    </row>
    <row r="49" spans="12:12" ht="15.75" customHeight="1">
      <c r="L49" s="39"/>
    </row>
    <row r="50" spans="12:12" ht="15.75" customHeight="1">
      <c r="L50" s="39"/>
    </row>
    <row r="51" spans="12:12" ht="15.75" customHeight="1">
      <c r="L51" s="39"/>
    </row>
    <row r="52" spans="12:12" ht="15.75" customHeight="1">
      <c r="L52" s="39"/>
    </row>
    <row r="53" spans="12:12" ht="15.75" customHeight="1">
      <c r="L53" s="39"/>
    </row>
    <row r="54" spans="12:12" ht="15.75" customHeight="1">
      <c r="L54" s="39"/>
    </row>
    <row r="55" spans="12:12" ht="15.75" customHeight="1">
      <c r="L55" s="39"/>
    </row>
    <row r="56" spans="12:12" ht="15.75" customHeight="1">
      <c r="L56" s="39"/>
    </row>
    <row r="57" spans="12:12" ht="15.75" customHeight="1">
      <c r="L57" s="39"/>
    </row>
    <row r="58" spans="12:12" ht="15.75" customHeight="1">
      <c r="L58" s="39"/>
    </row>
    <row r="59" spans="12:12" ht="15.75" customHeight="1">
      <c r="L59" s="39"/>
    </row>
    <row r="60" spans="12:12" ht="15.75" customHeight="1">
      <c r="L60" s="39"/>
    </row>
    <row r="61" spans="12:12" ht="15.75" customHeight="1">
      <c r="L61" s="39"/>
    </row>
    <row r="62" spans="12:12" ht="15.75" customHeight="1">
      <c r="L62" s="39"/>
    </row>
    <row r="63" spans="12:12" ht="15.75" customHeight="1">
      <c r="L63" s="39"/>
    </row>
    <row r="64" spans="12:12" ht="15.75" customHeight="1">
      <c r="L64" s="39"/>
    </row>
    <row r="65" spans="12:12" ht="15.75" customHeight="1">
      <c r="L65" s="39"/>
    </row>
    <row r="66" spans="12:12" ht="15.75" customHeight="1">
      <c r="L66" s="39"/>
    </row>
    <row r="67" spans="12:12" ht="15.75" customHeight="1">
      <c r="L67" s="39"/>
    </row>
    <row r="68" spans="12:12" ht="15.75" customHeight="1">
      <c r="L68" s="39"/>
    </row>
    <row r="69" spans="12:12" ht="15.75" customHeight="1">
      <c r="L69" s="39"/>
    </row>
    <row r="70" spans="12:12" ht="15.75" customHeight="1">
      <c r="L70" s="39"/>
    </row>
    <row r="71" spans="12:12" ht="15.75" customHeight="1">
      <c r="L71" s="39"/>
    </row>
    <row r="72" spans="12:12" ht="15.75" customHeight="1">
      <c r="L72" s="39"/>
    </row>
    <row r="73" spans="12:12" ht="15.75" customHeight="1">
      <c r="L73" s="39"/>
    </row>
    <row r="74" spans="12:12" ht="15.75" customHeight="1">
      <c r="L74" s="39"/>
    </row>
    <row r="75" spans="12:12" ht="15.75" customHeight="1">
      <c r="L75" s="39"/>
    </row>
    <row r="76" spans="12:12" ht="15.75" customHeight="1">
      <c r="L76" s="39"/>
    </row>
    <row r="77" spans="12:12" ht="15.75" customHeight="1">
      <c r="L77" s="39"/>
    </row>
    <row r="78" spans="12:12" ht="15.75" customHeight="1">
      <c r="L78" s="39"/>
    </row>
    <row r="79" spans="12:12" ht="15.75" customHeight="1">
      <c r="L79" s="39"/>
    </row>
    <row r="80" spans="12:12" ht="15.75" customHeight="1">
      <c r="L80" s="39"/>
    </row>
    <row r="81" spans="12:12" ht="15.75" customHeight="1">
      <c r="L81" s="39"/>
    </row>
    <row r="82" spans="12:12" ht="15.75" customHeight="1">
      <c r="L82" s="39"/>
    </row>
    <row r="83" spans="12:12" ht="15.75" customHeight="1">
      <c r="L83" s="39"/>
    </row>
    <row r="84" spans="12:12" ht="15.75" customHeight="1">
      <c r="L84" s="39"/>
    </row>
    <row r="85" spans="12:12" ht="15.75" customHeight="1">
      <c r="L85" s="39"/>
    </row>
    <row r="86" spans="12:12" ht="15.75" customHeight="1">
      <c r="L86" s="39"/>
    </row>
    <row r="87" spans="12:12" ht="15.75" customHeight="1">
      <c r="L87" s="39"/>
    </row>
    <row r="88" spans="12:12" ht="15.75" customHeight="1">
      <c r="L88" s="39"/>
    </row>
    <row r="89" spans="12:12" ht="15.75" customHeight="1">
      <c r="L89" s="39"/>
    </row>
    <row r="90" spans="12:12" ht="15.75" customHeight="1">
      <c r="L90" s="39"/>
    </row>
    <row r="91" spans="12:12" ht="15.75" customHeight="1">
      <c r="L91" s="39"/>
    </row>
    <row r="92" spans="12:12" ht="15.75" customHeight="1">
      <c r="L92" s="39"/>
    </row>
    <row r="93" spans="12:12" ht="15.75" customHeight="1">
      <c r="L93" s="39"/>
    </row>
    <row r="94" spans="12:12" ht="15.75" customHeight="1">
      <c r="L94" s="39"/>
    </row>
    <row r="95" spans="12:12" ht="15.75" customHeight="1">
      <c r="L95" s="39"/>
    </row>
    <row r="96" spans="12:12" ht="15.75" customHeight="1">
      <c r="L96" s="39"/>
    </row>
    <row r="97" spans="12:12" ht="15.75" customHeight="1">
      <c r="L97" s="39"/>
    </row>
    <row r="98" spans="12:12" ht="15.75" customHeight="1">
      <c r="L98" s="39"/>
    </row>
    <row r="99" spans="12:12" ht="15.75" customHeight="1">
      <c r="L99" s="39"/>
    </row>
    <row r="100" spans="12:12" ht="15.75" customHeight="1">
      <c r="L100" s="39"/>
    </row>
    <row r="101" spans="12:12" ht="15.75" customHeight="1">
      <c r="L101" s="39"/>
    </row>
    <row r="102" spans="12:12" ht="15.75" customHeight="1">
      <c r="L102" s="39"/>
    </row>
    <row r="103" spans="12:12" ht="15.75" customHeight="1">
      <c r="L103" s="39"/>
    </row>
    <row r="104" spans="12:12" ht="15.75" customHeight="1">
      <c r="L104" s="39"/>
    </row>
    <row r="105" spans="12:12" ht="15.75" customHeight="1">
      <c r="L105" s="39"/>
    </row>
    <row r="106" spans="12:12" ht="15.75" customHeight="1">
      <c r="L106" s="39"/>
    </row>
    <row r="107" spans="12:12" ht="15.75" customHeight="1">
      <c r="L107" s="39"/>
    </row>
    <row r="108" spans="12:12" ht="15.75" customHeight="1">
      <c r="L108" s="39"/>
    </row>
    <row r="109" spans="12:12" ht="15.75" customHeight="1">
      <c r="L109" s="39"/>
    </row>
    <row r="110" spans="12:12" ht="15.75" customHeight="1">
      <c r="L110" s="39"/>
    </row>
    <row r="111" spans="12:12" ht="15.75" customHeight="1">
      <c r="L111" s="39"/>
    </row>
    <row r="112" spans="12:12" ht="15.75" customHeight="1">
      <c r="L112" s="39"/>
    </row>
    <row r="113" spans="12:12" ht="15.75" customHeight="1">
      <c r="L113" s="39"/>
    </row>
    <row r="114" spans="12:12" ht="15.75" customHeight="1">
      <c r="L114" s="39"/>
    </row>
    <row r="115" spans="12:12" ht="15.75" customHeight="1">
      <c r="L115" s="39"/>
    </row>
    <row r="116" spans="12:12" ht="15.75" customHeight="1">
      <c r="L116" s="39"/>
    </row>
    <row r="117" spans="12:12" ht="15.75" customHeight="1">
      <c r="L117" s="39"/>
    </row>
    <row r="118" spans="12:12" ht="15.75" customHeight="1">
      <c r="L118" s="39"/>
    </row>
    <row r="119" spans="12:12" ht="15.75" customHeight="1">
      <c r="L119" s="39"/>
    </row>
    <row r="120" spans="12:12" ht="15.75" customHeight="1">
      <c r="L120" s="39"/>
    </row>
    <row r="121" spans="12:12" ht="15.75" customHeight="1">
      <c r="L121" s="39"/>
    </row>
    <row r="122" spans="12:12" ht="15.75" customHeight="1">
      <c r="L122" s="39"/>
    </row>
    <row r="123" spans="12:12" ht="15.75" customHeight="1">
      <c r="L123" s="39"/>
    </row>
    <row r="124" spans="12:12" ht="15.75" customHeight="1">
      <c r="L124" s="39"/>
    </row>
    <row r="125" spans="12:12" ht="15.75" customHeight="1">
      <c r="L125" s="39"/>
    </row>
    <row r="126" spans="12:12" ht="15.75" customHeight="1">
      <c r="L126" s="39"/>
    </row>
    <row r="127" spans="12:12" ht="15.75" customHeight="1">
      <c r="L127" s="39"/>
    </row>
    <row r="128" spans="12:12" ht="15.75" customHeight="1">
      <c r="L128" s="39"/>
    </row>
    <row r="129" spans="12:12" ht="15.75" customHeight="1">
      <c r="L129" s="39"/>
    </row>
    <row r="130" spans="12:12" ht="15.75" customHeight="1">
      <c r="L130" s="39"/>
    </row>
    <row r="131" spans="12:12" ht="15.75" customHeight="1">
      <c r="L131" s="39"/>
    </row>
    <row r="132" spans="12:12" ht="15.75" customHeight="1">
      <c r="L132" s="39"/>
    </row>
    <row r="133" spans="12:12" ht="15.75" customHeight="1">
      <c r="L133" s="39"/>
    </row>
    <row r="134" spans="12:12" ht="15.75" customHeight="1">
      <c r="L134" s="39"/>
    </row>
    <row r="135" spans="12:12" ht="15.75" customHeight="1">
      <c r="L135" s="39"/>
    </row>
    <row r="136" spans="12:12" ht="15.75" customHeight="1">
      <c r="L136" s="39"/>
    </row>
    <row r="137" spans="12:12" ht="15.75" customHeight="1">
      <c r="L137" s="39"/>
    </row>
    <row r="138" spans="12:12" ht="15.75" customHeight="1">
      <c r="L138" s="39"/>
    </row>
    <row r="139" spans="12:12" ht="15.75" customHeight="1">
      <c r="L139" s="39"/>
    </row>
    <row r="140" spans="12:12" ht="15.75" customHeight="1">
      <c r="L140" s="39"/>
    </row>
    <row r="141" spans="12:12" ht="15.75" customHeight="1">
      <c r="L141" s="39"/>
    </row>
    <row r="142" spans="12:12" ht="15.75" customHeight="1">
      <c r="L142" s="39"/>
    </row>
    <row r="143" spans="12:12" ht="15.75" customHeight="1">
      <c r="L143" s="39"/>
    </row>
    <row r="144" spans="12:12" ht="15.75" customHeight="1">
      <c r="L144" s="39"/>
    </row>
    <row r="145" spans="12:12" ht="15.75" customHeight="1">
      <c r="L145" s="39"/>
    </row>
    <row r="146" spans="12:12" ht="15.75" customHeight="1">
      <c r="L146" s="39"/>
    </row>
    <row r="147" spans="12:12" ht="15.75" customHeight="1">
      <c r="L147" s="39"/>
    </row>
    <row r="148" spans="12:12" ht="15.75" customHeight="1">
      <c r="L148" s="39"/>
    </row>
    <row r="149" spans="12:12" ht="15.75" customHeight="1">
      <c r="L149" s="39"/>
    </row>
    <row r="150" spans="12:12" ht="15.75" customHeight="1">
      <c r="L150" s="39"/>
    </row>
    <row r="151" spans="12:12" ht="15.75" customHeight="1">
      <c r="L151" s="39"/>
    </row>
    <row r="152" spans="12:12" ht="15.75" customHeight="1">
      <c r="L152" s="39"/>
    </row>
    <row r="153" spans="12:12" ht="15.75" customHeight="1">
      <c r="L153" s="39"/>
    </row>
    <row r="154" spans="12:12" ht="15.75" customHeight="1">
      <c r="L154" s="39"/>
    </row>
    <row r="155" spans="12:12" ht="15.75" customHeight="1">
      <c r="L155" s="39"/>
    </row>
    <row r="156" spans="12:12" ht="15.75" customHeight="1">
      <c r="L156" s="39"/>
    </row>
    <row r="157" spans="12:12" ht="15.75" customHeight="1">
      <c r="L157" s="39"/>
    </row>
    <row r="158" spans="12:12" ht="15.75" customHeight="1">
      <c r="L158" s="39"/>
    </row>
    <row r="159" spans="12:12" ht="15.75" customHeight="1">
      <c r="L159" s="39"/>
    </row>
    <row r="160" spans="12:12" ht="15.75" customHeight="1">
      <c r="L160" s="39"/>
    </row>
    <row r="161" spans="12:12" ht="15.75" customHeight="1">
      <c r="L161" s="39"/>
    </row>
    <row r="162" spans="12:12" ht="15.75" customHeight="1">
      <c r="L162" s="39"/>
    </row>
    <row r="163" spans="12:12" ht="15.75" customHeight="1">
      <c r="L163" s="39"/>
    </row>
    <row r="164" spans="12:12" ht="15.75" customHeight="1">
      <c r="L164" s="39"/>
    </row>
    <row r="165" spans="12:12" ht="15.75" customHeight="1">
      <c r="L165" s="39"/>
    </row>
    <row r="166" spans="12:12" ht="15.75" customHeight="1">
      <c r="L166" s="39"/>
    </row>
    <row r="167" spans="12:12" ht="15.75" customHeight="1">
      <c r="L167" s="39"/>
    </row>
    <row r="168" spans="12:12" ht="15.75" customHeight="1">
      <c r="L168" s="39"/>
    </row>
    <row r="169" spans="12:12" ht="15.75" customHeight="1">
      <c r="L169" s="39"/>
    </row>
    <row r="170" spans="12:12" ht="15.75" customHeight="1">
      <c r="L170" s="39"/>
    </row>
    <row r="171" spans="12:12" ht="15.75" customHeight="1">
      <c r="L171" s="39"/>
    </row>
    <row r="172" spans="12:12" ht="15.75" customHeight="1">
      <c r="L172" s="39"/>
    </row>
    <row r="173" spans="12:12" ht="15.75" customHeight="1">
      <c r="L173" s="39"/>
    </row>
    <row r="174" spans="12:12" ht="15.75" customHeight="1">
      <c r="L174" s="39"/>
    </row>
    <row r="175" spans="12:12" ht="15.75" customHeight="1">
      <c r="L175" s="39"/>
    </row>
    <row r="176" spans="12:12" ht="15.75" customHeight="1">
      <c r="L176" s="39"/>
    </row>
    <row r="177" spans="12:12" ht="15.75" customHeight="1">
      <c r="L177" s="39"/>
    </row>
    <row r="178" spans="12:12" ht="15.75" customHeight="1">
      <c r="L178" s="39"/>
    </row>
    <row r="179" spans="12:12" ht="15.75" customHeight="1">
      <c r="L179" s="39"/>
    </row>
    <row r="180" spans="12:12" ht="15.75" customHeight="1">
      <c r="L180" s="39"/>
    </row>
    <row r="181" spans="12:12" ht="15.75" customHeight="1">
      <c r="L181" s="39"/>
    </row>
    <row r="182" spans="12:12" ht="15.75" customHeight="1">
      <c r="L182" s="39"/>
    </row>
    <row r="183" spans="12:12" ht="15.75" customHeight="1">
      <c r="L183" s="39"/>
    </row>
    <row r="184" spans="12:12" ht="15.75" customHeight="1">
      <c r="L184" s="39"/>
    </row>
    <row r="185" spans="12:12" ht="15.75" customHeight="1">
      <c r="L185" s="39"/>
    </row>
    <row r="186" spans="12:12" ht="15.75" customHeight="1">
      <c r="L186" s="39"/>
    </row>
    <row r="187" spans="12:12" ht="15.75" customHeight="1">
      <c r="L187" s="39"/>
    </row>
    <row r="188" spans="12:12" ht="15.75" customHeight="1">
      <c r="L188" s="39"/>
    </row>
    <row r="189" spans="12:12" ht="15.75" customHeight="1">
      <c r="L189" s="39"/>
    </row>
    <row r="190" spans="12:12" ht="15.75" customHeight="1">
      <c r="L190" s="39"/>
    </row>
    <row r="191" spans="12:12" ht="15.75" customHeight="1">
      <c r="L191" s="39"/>
    </row>
    <row r="192" spans="12:12" ht="15.75" customHeight="1">
      <c r="L192" s="39"/>
    </row>
    <row r="193" spans="12:12" ht="15.75" customHeight="1">
      <c r="L193" s="39"/>
    </row>
    <row r="194" spans="12:12" ht="15.75" customHeight="1">
      <c r="L194" s="39"/>
    </row>
    <row r="195" spans="12:12" ht="15.75" customHeight="1">
      <c r="L195" s="39"/>
    </row>
    <row r="196" spans="12:12" ht="15.75" customHeight="1">
      <c r="L196" s="39"/>
    </row>
    <row r="197" spans="12:12" ht="15.75" customHeight="1">
      <c r="L197" s="39"/>
    </row>
    <row r="198" spans="12:12" ht="15.75" customHeight="1">
      <c r="L198" s="39"/>
    </row>
    <row r="199" spans="12:12" ht="15.75" customHeight="1">
      <c r="L199" s="39"/>
    </row>
    <row r="200" spans="12:12" ht="15.75" customHeight="1">
      <c r="L200" s="39"/>
    </row>
    <row r="201" spans="12:12" ht="15.75" customHeight="1">
      <c r="L201" s="39"/>
    </row>
    <row r="202" spans="12:12" ht="15.75" customHeight="1">
      <c r="L202" s="39"/>
    </row>
    <row r="203" spans="12:12" ht="15.75" customHeight="1">
      <c r="L203" s="39"/>
    </row>
    <row r="204" spans="12:12" ht="15.75" customHeight="1">
      <c r="L204" s="39"/>
    </row>
    <row r="205" spans="12:12" ht="15.75" customHeight="1">
      <c r="L205" s="39"/>
    </row>
    <row r="206" spans="12:12" ht="15.75" customHeight="1">
      <c r="L206" s="39"/>
    </row>
    <row r="207" spans="12:12" ht="15.75" customHeight="1">
      <c r="L207" s="39"/>
    </row>
    <row r="208" spans="12:12" ht="15.75" customHeight="1">
      <c r="L208" s="39"/>
    </row>
    <row r="209" spans="12:12" ht="15.75" customHeight="1">
      <c r="L209" s="39"/>
    </row>
    <row r="210" spans="12:12" ht="15.75" customHeight="1">
      <c r="L210" s="39"/>
    </row>
    <row r="211" spans="12:12" ht="15.75" customHeight="1">
      <c r="L211" s="39"/>
    </row>
    <row r="212" spans="12:12" ht="15.75" customHeight="1">
      <c r="L212" s="39"/>
    </row>
    <row r="213" spans="12:12" ht="15.75" customHeight="1">
      <c r="L213" s="39"/>
    </row>
    <row r="214" spans="12:12" ht="15.75" customHeight="1">
      <c r="L214" s="39"/>
    </row>
    <row r="215" spans="12:12" ht="15.75" customHeight="1">
      <c r="L215" s="39"/>
    </row>
    <row r="216" spans="12:12" ht="15.75" customHeight="1">
      <c r="L216" s="39"/>
    </row>
    <row r="217" spans="12:12" ht="15.75" customHeight="1">
      <c r="L217" s="39"/>
    </row>
    <row r="218" spans="12:12" ht="15.75" customHeight="1">
      <c r="L218" s="39"/>
    </row>
    <row r="219" spans="12:12" ht="15.75" customHeight="1">
      <c r="L219" s="39"/>
    </row>
    <row r="220" spans="12:12" ht="15.75" customHeight="1">
      <c r="L220" s="39"/>
    </row>
    <row r="221" spans="12:12" ht="15.75" customHeight="1">
      <c r="L221" s="39"/>
    </row>
    <row r="222" spans="12:12" ht="15.75" customHeight="1">
      <c r="L222" s="39"/>
    </row>
    <row r="223" spans="12:12" ht="15.75" customHeight="1">
      <c r="L223" s="39"/>
    </row>
    <row r="224" spans="12:12" ht="15.75" customHeight="1">
      <c r="L224" s="39"/>
    </row>
    <row r="225" spans="12:12" ht="15.75" customHeight="1">
      <c r="L225" s="39"/>
    </row>
    <row r="226" spans="12:12" ht="15.75" customHeight="1">
      <c r="L226" s="39"/>
    </row>
    <row r="227" spans="12:12" ht="15.75" customHeight="1">
      <c r="L227" s="39"/>
    </row>
    <row r="228" spans="12:12" ht="15.75" customHeight="1">
      <c r="L228" s="39"/>
    </row>
    <row r="229" spans="12:12" ht="15.75" customHeight="1">
      <c r="L229" s="39"/>
    </row>
    <row r="230" spans="12:12" ht="15.75" customHeight="1">
      <c r="L230" s="39"/>
    </row>
    <row r="231" spans="12:12" ht="15.75" customHeight="1">
      <c r="L231" s="39"/>
    </row>
    <row r="232" spans="12:12" ht="15.75" customHeight="1">
      <c r="L232" s="39"/>
    </row>
    <row r="233" spans="12:12" ht="15.75" customHeight="1">
      <c r="L233" s="39"/>
    </row>
    <row r="234" spans="12:12" ht="15.75" customHeight="1">
      <c r="L234" s="39"/>
    </row>
    <row r="235" spans="12:12" ht="15.75" customHeight="1">
      <c r="L235" s="39"/>
    </row>
    <row r="236" spans="12:12" ht="15.75" customHeight="1">
      <c r="L236" s="39"/>
    </row>
    <row r="237" spans="12:12" ht="15.75" customHeight="1">
      <c r="L237" s="39"/>
    </row>
    <row r="238" spans="12:12" ht="15.75" customHeight="1">
      <c r="L238" s="39"/>
    </row>
    <row r="239" spans="12:12" ht="15.75" customHeight="1">
      <c r="L239" s="39"/>
    </row>
    <row r="240" spans="12:12" ht="15.75" customHeight="1">
      <c r="L240" s="39"/>
    </row>
    <row r="241" spans="12:12" ht="15.75" customHeight="1">
      <c r="L241" s="39"/>
    </row>
    <row r="242" spans="12:12" ht="15.75" customHeight="1">
      <c r="L242" s="39"/>
    </row>
    <row r="243" spans="12:12" ht="15.75" customHeight="1">
      <c r="L243" s="39"/>
    </row>
    <row r="244" spans="12:12" ht="15.75" customHeight="1">
      <c r="L244" s="39"/>
    </row>
    <row r="245" spans="12:12" ht="15.75" customHeight="1">
      <c r="L245" s="39"/>
    </row>
    <row r="246" spans="12:12" ht="15.75" customHeight="1">
      <c r="L246" s="39"/>
    </row>
    <row r="247" spans="12:12" ht="15.75" customHeight="1">
      <c r="L247" s="39"/>
    </row>
    <row r="248" spans="12:12" ht="15.75" customHeight="1">
      <c r="L248" s="39"/>
    </row>
    <row r="249" spans="12:12" ht="15.75" customHeight="1">
      <c r="L249" s="39"/>
    </row>
    <row r="250" spans="12:12" ht="15.75" customHeight="1">
      <c r="L250" s="39"/>
    </row>
    <row r="251" spans="12:12" ht="15.75" customHeight="1">
      <c r="L251" s="39"/>
    </row>
    <row r="252" spans="12:12" ht="15.75" customHeight="1">
      <c r="L252" s="39"/>
    </row>
    <row r="253" spans="12:12" ht="15.75" customHeight="1">
      <c r="L253" s="39"/>
    </row>
    <row r="254" spans="12:12" ht="15.75" customHeight="1">
      <c r="L254" s="39"/>
    </row>
    <row r="255" spans="12:12" ht="15.75" customHeight="1">
      <c r="L255" s="39"/>
    </row>
    <row r="256" spans="12:12" ht="15.75" customHeight="1">
      <c r="L256" s="39"/>
    </row>
    <row r="257" spans="12:12" ht="15.75" customHeight="1">
      <c r="L257" s="39"/>
    </row>
    <row r="258" spans="12:12" ht="15.75" customHeight="1">
      <c r="L258" s="39"/>
    </row>
    <row r="259" spans="12:12" ht="15.75" customHeight="1">
      <c r="L259" s="39"/>
    </row>
    <row r="260" spans="12:12" ht="15.75" customHeight="1">
      <c r="L260" s="39"/>
    </row>
    <row r="261" spans="12:12" ht="15.75" customHeight="1">
      <c r="L261" s="39"/>
    </row>
    <row r="262" spans="12:12" ht="15.75" customHeight="1">
      <c r="L262" s="39"/>
    </row>
    <row r="263" spans="12:12" ht="15.75" customHeight="1">
      <c r="L263" s="39"/>
    </row>
    <row r="264" spans="12:12" ht="15.75" customHeight="1">
      <c r="L264" s="39"/>
    </row>
    <row r="265" spans="12:12" ht="15.75" customHeight="1">
      <c r="L265" s="39"/>
    </row>
    <row r="266" spans="12:12" ht="15.75" customHeight="1">
      <c r="L266" s="39"/>
    </row>
    <row r="267" spans="12:12" ht="15.75" customHeight="1">
      <c r="L267" s="39"/>
    </row>
    <row r="268" spans="12:12" ht="15.75" customHeight="1">
      <c r="L268" s="39"/>
    </row>
    <row r="269" spans="12:12" ht="15.75" customHeight="1">
      <c r="L269" s="39"/>
    </row>
    <row r="270" spans="12:12" ht="15.75" customHeight="1">
      <c r="L270" s="39"/>
    </row>
    <row r="271" spans="12:12" ht="15.75" customHeight="1">
      <c r="L271" s="39"/>
    </row>
    <row r="272" spans="12:12" ht="15.75" customHeight="1">
      <c r="L272" s="39"/>
    </row>
    <row r="273" spans="12:12" ht="15.75" customHeight="1">
      <c r="L273" s="39"/>
    </row>
    <row r="274" spans="12:12" ht="15.75" customHeight="1">
      <c r="L274" s="39"/>
    </row>
    <row r="275" spans="12:12" ht="15.75" customHeight="1">
      <c r="L275" s="39"/>
    </row>
    <row r="276" spans="12:12" ht="15.75" customHeight="1">
      <c r="L276" s="39"/>
    </row>
    <row r="277" spans="12:12" ht="15.75" customHeight="1">
      <c r="L277" s="39"/>
    </row>
    <row r="278" spans="12:12" ht="15.75" customHeight="1">
      <c r="L278" s="39"/>
    </row>
    <row r="279" spans="12:12" ht="15.75" customHeight="1">
      <c r="L279" s="39"/>
    </row>
    <row r="280" spans="12:12" ht="15.75" customHeight="1">
      <c r="L280" s="39"/>
    </row>
    <row r="281" spans="12:12" ht="15.75" customHeight="1">
      <c r="L281" s="39"/>
    </row>
    <row r="282" spans="12:12" ht="15.75" customHeight="1">
      <c r="L282" s="39"/>
    </row>
    <row r="283" spans="12:12" ht="15.75" customHeight="1">
      <c r="L283" s="39"/>
    </row>
    <row r="284" spans="12:12" ht="15.75" customHeight="1">
      <c r="L284" s="39"/>
    </row>
    <row r="285" spans="12:12" ht="15.75" customHeight="1">
      <c r="L285" s="39"/>
    </row>
    <row r="286" spans="12:12" ht="15.75" customHeight="1">
      <c r="L286" s="39"/>
    </row>
    <row r="287" spans="12:12" ht="15.75" customHeight="1">
      <c r="L287" s="39"/>
    </row>
    <row r="288" spans="12:12" ht="15.75" customHeight="1">
      <c r="L288" s="39"/>
    </row>
    <row r="289" spans="12:12" ht="15.75" customHeight="1">
      <c r="L289" s="39"/>
    </row>
    <row r="290" spans="12:12" ht="15.75" customHeight="1">
      <c r="L290" s="39"/>
    </row>
    <row r="291" spans="12:12" ht="15.75" customHeight="1">
      <c r="L291" s="39"/>
    </row>
    <row r="292" spans="12:12" ht="15.75" customHeight="1">
      <c r="L292" s="39"/>
    </row>
    <row r="293" spans="12:12" ht="15.75" customHeight="1">
      <c r="L293" s="39"/>
    </row>
    <row r="294" spans="12:12" ht="15.75" customHeight="1">
      <c r="L294" s="39"/>
    </row>
    <row r="295" spans="12:12" ht="15.75" customHeight="1">
      <c r="L295" s="39"/>
    </row>
    <row r="296" spans="12:12" ht="15.75" customHeight="1">
      <c r="L296" s="39"/>
    </row>
    <row r="297" spans="12:12" ht="15.75" customHeight="1">
      <c r="L297" s="39"/>
    </row>
    <row r="298" spans="12:12" ht="15.75" customHeight="1">
      <c r="L298" s="39"/>
    </row>
    <row r="299" spans="12:12" ht="15.75" customHeight="1">
      <c r="L299" s="39"/>
    </row>
    <row r="300" spans="12:12" ht="15.75" customHeight="1">
      <c r="L300" s="39"/>
    </row>
    <row r="301" spans="12:12" ht="15.75" customHeight="1">
      <c r="L301" s="39"/>
    </row>
    <row r="302" spans="12:12" ht="15.75" customHeight="1">
      <c r="L302" s="39"/>
    </row>
    <row r="303" spans="12:12" ht="15.75" customHeight="1">
      <c r="L303" s="39"/>
    </row>
    <row r="304" spans="12:12" ht="15.75" customHeight="1">
      <c r="L304" s="39"/>
    </row>
    <row r="305" spans="12:12" ht="15.75" customHeight="1">
      <c r="L305" s="39"/>
    </row>
    <row r="306" spans="12:12" ht="15.75" customHeight="1">
      <c r="L306" s="39"/>
    </row>
    <row r="307" spans="12:12" ht="15.75" customHeight="1">
      <c r="L307" s="39"/>
    </row>
    <row r="308" spans="12:12" ht="15.75" customHeight="1">
      <c r="L308" s="39"/>
    </row>
    <row r="309" spans="12:12" ht="15.75" customHeight="1">
      <c r="L309" s="39"/>
    </row>
    <row r="310" spans="12:12" ht="15.75" customHeight="1">
      <c r="L310" s="39"/>
    </row>
    <row r="311" spans="12:12" ht="15.75" customHeight="1">
      <c r="L311" s="39"/>
    </row>
    <row r="312" spans="12:12" ht="15.75" customHeight="1">
      <c r="L312" s="39"/>
    </row>
    <row r="313" spans="12:12" ht="15.75" customHeight="1">
      <c r="L313" s="39"/>
    </row>
    <row r="314" spans="12:12" ht="15.75" customHeight="1">
      <c r="L314" s="39"/>
    </row>
    <row r="315" spans="12:12" ht="15.75" customHeight="1">
      <c r="L315" s="39"/>
    </row>
    <row r="316" spans="12:12" ht="15.75" customHeight="1">
      <c r="L316" s="39"/>
    </row>
    <row r="317" spans="12:12" ht="15.75" customHeight="1">
      <c r="L317" s="39"/>
    </row>
    <row r="318" spans="12:12" ht="15.75" customHeight="1">
      <c r="L318" s="39"/>
    </row>
    <row r="319" spans="12:12" ht="15.75" customHeight="1">
      <c r="L319" s="39"/>
    </row>
    <row r="320" spans="12:12" ht="15.75" customHeight="1">
      <c r="L320" s="39"/>
    </row>
    <row r="321" spans="12:12" ht="15.75" customHeight="1">
      <c r="L321" s="39"/>
    </row>
    <row r="322" spans="12:12" ht="15.75" customHeight="1">
      <c r="L322" s="39"/>
    </row>
    <row r="323" spans="12:12" ht="15.75" customHeight="1">
      <c r="L323" s="39"/>
    </row>
    <row r="324" spans="12:12" ht="15.75" customHeight="1">
      <c r="L324" s="39"/>
    </row>
    <row r="325" spans="12:12" ht="15.75" customHeight="1">
      <c r="L325" s="39"/>
    </row>
    <row r="326" spans="12:12" ht="15.75" customHeight="1">
      <c r="L326" s="39"/>
    </row>
    <row r="327" spans="12:12" ht="15.75" customHeight="1">
      <c r="L327" s="39"/>
    </row>
    <row r="328" spans="12:12" ht="15.75" customHeight="1">
      <c r="L328" s="39"/>
    </row>
    <row r="329" spans="12:12" ht="15.75" customHeight="1">
      <c r="L329" s="39"/>
    </row>
    <row r="330" spans="12:12" ht="15.75" customHeight="1">
      <c r="L330" s="39"/>
    </row>
    <row r="331" spans="12:12" ht="15.75" customHeight="1">
      <c r="L331" s="39"/>
    </row>
    <row r="332" spans="12:12" ht="15.75" customHeight="1">
      <c r="L332" s="39"/>
    </row>
    <row r="333" spans="12:12" ht="15.75" customHeight="1">
      <c r="L333" s="39"/>
    </row>
    <row r="334" spans="12:12" ht="15.75" customHeight="1">
      <c r="L334" s="39"/>
    </row>
    <row r="335" spans="12:12" ht="15.75" customHeight="1">
      <c r="L335" s="39"/>
    </row>
    <row r="336" spans="12:12" ht="15.75" customHeight="1">
      <c r="L336" s="39"/>
    </row>
    <row r="337" spans="12:12" ht="15.75" customHeight="1">
      <c r="L337" s="39"/>
    </row>
    <row r="338" spans="12:12" ht="15.75" customHeight="1">
      <c r="L338" s="39"/>
    </row>
    <row r="339" spans="12:12" ht="15.75" customHeight="1">
      <c r="L339" s="39"/>
    </row>
    <row r="340" spans="12:12" ht="15.75" customHeight="1">
      <c r="L340" s="39"/>
    </row>
    <row r="341" spans="12:12" ht="15.75" customHeight="1">
      <c r="L341" s="39"/>
    </row>
    <row r="342" spans="12:12" ht="15.75" customHeight="1">
      <c r="L342" s="39"/>
    </row>
    <row r="343" spans="12:12" ht="15.75" customHeight="1">
      <c r="L343" s="39"/>
    </row>
    <row r="344" spans="12:12" ht="15.75" customHeight="1">
      <c r="L344" s="39"/>
    </row>
    <row r="345" spans="12:12" ht="15.75" customHeight="1">
      <c r="L345" s="39"/>
    </row>
    <row r="346" spans="12:12" ht="15.75" customHeight="1">
      <c r="L346" s="39"/>
    </row>
    <row r="347" spans="12:12" ht="15.75" customHeight="1">
      <c r="L347" s="39"/>
    </row>
    <row r="348" spans="12:12" ht="15.75" customHeight="1">
      <c r="L348" s="39"/>
    </row>
    <row r="349" spans="12:12" ht="15.75" customHeight="1">
      <c r="L349" s="39"/>
    </row>
    <row r="350" spans="12:12" ht="15.75" customHeight="1">
      <c r="L350" s="39"/>
    </row>
    <row r="351" spans="12:12" ht="15.75" customHeight="1">
      <c r="L351" s="39"/>
    </row>
    <row r="352" spans="12:12" ht="15.75" customHeight="1">
      <c r="L352" s="39"/>
    </row>
    <row r="353" spans="12:12" ht="15.75" customHeight="1">
      <c r="L353" s="39"/>
    </row>
    <row r="354" spans="12:12" ht="15.75" customHeight="1">
      <c r="L354" s="39"/>
    </row>
    <row r="355" spans="12:12" ht="15.75" customHeight="1">
      <c r="L355" s="39"/>
    </row>
    <row r="356" spans="12:12" ht="15.75" customHeight="1">
      <c r="L356" s="39"/>
    </row>
    <row r="357" spans="12:12" ht="15.75" customHeight="1">
      <c r="L357" s="39"/>
    </row>
    <row r="358" spans="12:12" ht="15.75" customHeight="1">
      <c r="L358" s="39"/>
    </row>
    <row r="359" spans="12:12" ht="15.75" customHeight="1">
      <c r="L359" s="39"/>
    </row>
    <row r="360" spans="12:12" ht="15.75" customHeight="1">
      <c r="L360" s="39"/>
    </row>
    <row r="361" spans="12:12" ht="15.75" customHeight="1">
      <c r="L361" s="39"/>
    </row>
    <row r="362" spans="12:12" ht="15.75" customHeight="1">
      <c r="L362" s="39"/>
    </row>
    <row r="363" spans="12:12" ht="15.75" customHeight="1">
      <c r="L363" s="39"/>
    </row>
    <row r="364" spans="12:12" ht="15.75" customHeight="1">
      <c r="L364" s="39"/>
    </row>
    <row r="365" spans="12:12" ht="15.75" customHeight="1">
      <c r="L365" s="39"/>
    </row>
    <row r="366" spans="12:12" ht="15.75" customHeight="1">
      <c r="L366" s="39"/>
    </row>
    <row r="367" spans="12:12" ht="15.75" customHeight="1">
      <c r="L367" s="39"/>
    </row>
    <row r="368" spans="12:12" ht="15.75" customHeight="1">
      <c r="L368" s="39"/>
    </row>
    <row r="369" spans="12:12" ht="15.75" customHeight="1">
      <c r="L369" s="39"/>
    </row>
    <row r="370" spans="12:12" ht="15.75" customHeight="1">
      <c r="L370" s="39"/>
    </row>
    <row r="371" spans="12:12" ht="15.75" customHeight="1">
      <c r="L371" s="39"/>
    </row>
    <row r="372" spans="12:12" ht="15.75" customHeight="1">
      <c r="L372" s="39"/>
    </row>
    <row r="373" spans="12:12" ht="15.75" customHeight="1">
      <c r="L373" s="39"/>
    </row>
    <row r="374" spans="12:12" ht="15.75" customHeight="1">
      <c r="L374" s="39"/>
    </row>
    <row r="375" spans="12:12" ht="15.75" customHeight="1">
      <c r="L375" s="39"/>
    </row>
    <row r="376" spans="12:12" ht="15.75" customHeight="1">
      <c r="L376" s="39"/>
    </row>
    <row r="377" spans="12:12" ht="15.75" customHeight="1">
      <c r="L377" s="39"/>
    </row>
    <row r="378" spans="12:12" ht="15.75" customHeight="1">
      <c r="L378" s="39"/>
    </row>
    <row r="379" spans="12:12" ht="15.75" customHeight="1">
      <c r="L379" s="39"/>
    </row>
    <row r="380" spans="12:12" ht="15.75" customHeight="1">
      <c r="L380" s="39"/>
    </row>
    <row r="381" spans="12:12" ht="15.75" customHeight="1">
      <c r="L381" s="39"/>
    </row>
    <row r="382" spans="12:12" ht="15.75" customHeight="1">
      <c r="L382" s="39"/>
    </row>
    <row r="383" spans="12:12" ht="15.75" customHeight="1">
      <c r="L383" s="39"/>
    </row>
    <row r="384" spans="12:12" ht="15.75" customHeight="1">
      <c r="L384" s="39"/>
    </row>
    <row r="385" spans="12:12" ht="15.75" customHeight="1">
      <c r="L385" s="39"/>
    </row>
    <row r="386" spans="12:12" ht="15.75" customHeight="1">
      <c r="L386" s="39"/>
    </row>
    <row r="387" spans="12:12" ht="15.75" customHeight="1">
      <c r="L387" s="39"/>
    </row>
    <row r="388" spans="12:12" ht="15.75" customHeight="1">
      <c r="L388" s="39"/>
    </row>
    <row r="389" spans="12:12" ht="15.75" customHeight="1">
      <c r="L389" s="39"/>
    </row>
    <row r="390" spans="12:12" ht="15.75" customHeight="1">
      <c r="L390" s="39"/>
    </row>
    <row r="391" spans="12:12" ht="15.75" customHeight="1">
      <c r="L391" s="39"/>
    </row>
    <row r="392" spans="12:12" ht="15.75" customHeight="1">
      <c r="L392" s="39"/>
    </row>
    <row r="393" spans="12:12" ht="15.75" customHeight="1">
      <c r="L393" s="39"/>
    </row>
    <row r="394" spans="12:12" ht="15.75" customHeight="1">
      <c r="L394" s="39"/>
    </row>
    <row r="395" spans="12:12" ht="15.75" customHeight="1">
      <c r="L395" s="39"/>
    </row>
    <row r="396" spans="12:12" ht="15.75" customHeight="1">
      <c r="L396" s="39"/>
    </row>
    <row r="397" spans="12:12" ht="15.75" customHeight="1">
      <c r="L397" s="39"/>
    </row>
    <row r="398" spans="12:12" ht="15.75" customHeight="1">
      <c r="L398" s="39"/>
    </row>
    <row r="399" spans="12:12" ht="15.75" customHeight="1">
      <c r="L399" s="39"/>
    </row>
    <row r="400" spans="12:12" ht="15.75" customHeight="1">
      <c r="L400" s="39"/>
    </row>
    <row r="401" spans="12:12" ht="15.75" customHeight="1">
      <c r="L401" s="39"/>
    </row>
    <row r="402" spans="12:12" ht="15.75" customHeight="1">
      <c r="L402" s="39"/>
    </row>
    <row r="403" spans="12:12" ht="15.75" customHeight="1">
      <c r="L403" s="39"/>
    </row>
    <row r="404" spans="12:12" ht="15.75" customHeight="1">
      <c r="L404" s="39"/>
    </row>
    <row r="405" spans="12:12" ht="15.75" customHeight="1">
      <c r="L405" s="39"/>
    </row>
    <row r="406" spans="12:12" ht="15.75" customHeight="1">
      <c r="L406" s="39"/>
    </row>
    <row r="407" spans="12:12" ht="15.75" customHeight="1">
      <c r="L407" s="39"/>
    </row>
    <row r="408" spans="12:12" ht="15.75" customHeight="1">
      <c r="L408" s="39"/>
    </row>
    <row r="409" spans="12:12" ht="15.75" customHeight="1">
      <c r="L409" s="39"/>
    </row>
    <row r="410" spans="12:12" ht="15.75" customHeight="1">
      <c r="L410" s="39"/>
    </row>
    <row r="411" spans="12:12" ht="15.75" customHeight="1">
      <c r="L411" s="39"/>
    </row>
    <row r="412" spans="12:12" ht="15.75" customHeight="1">
      <c r="L412" s="39"/>
    </row>
    <row r="413" spans="12:12" ht="15.75" customHeight="1">
      <c r="L413" s="39"/>
    </row>
    <row r="414" spans="12:12" ht="15.75" customHeight="1">
      <c r="L414" s="39"/>
    </row>
    <row r="415" spans="12:12" ht="15.75" customHeight="1">
      <c r="L415" s="39"/>
    </row>
    <row r="416" spans="12:12" ht="15.75" customHeight="1">
      <c r="L416" s="39"/>
    </row>
    <row r="417" spans="12:12" ht="15.75" customHeight="1">
      <c r="L417" s="39"/>
    </row>
    <row r="418" spans="12:12" ht="15.75" customHeight="1">
      <c r="L418" s="39"/>
    </row>
    <row r="419" spans="12:12" ht="15.75" customHeight="1">
      <c r="L419" s="39"/>
    </row>
    <row r="420" spans="12:12" ht="15.75" customHeight="1">
      <c r="L420" s="39"/>
    </row>
    <row r="421" spans="12:12" ht="15.75" customHeight="1">
      <c r="L421" s="39"/>
    </row>
    <row r="422" spans="12:12" ht="15.75" customHeight="1">
      <c r="L422" s="39"/>
    </row>
    <row r="423" spans="12:12" ht="15.75" customHeight="1">
      <c r="L423" s="39"/>
    </row>
    <row r="424" spans="12:12" ht="15.75" customHeight="1">
      <c r="L424" s="39"/>
    </row>
    <row r="425" spans="12:12" ht="15.75" customHeight="1">
      <c r="L425" s="39"/>
    </row>
    <row r="426" spans="12:12" ht="15.75" customHeight="1">
      <c r="L426" s="39"/>
    </row>
    <row r="427" spans="12:12" ht="15.75" customHeight="1">
      <c r="L427" s="39"/>
    </row>
    <row r="428" spans="12:12" ht="15.75" customHeight="1">
      <c r="L428" s="39"/>
    </row>
    <row r="429" spans="12:12" ht="15.75" customHeight="1">
      <c r="L429" s="39"/>
    </row>
    <row r="430" spans="12:12" ht="15.75" customHeight="1">
      <c r="L430" s="39"/>
    </row>
    <row r="431" spans="12:12" ht="15.75" customHeight="1">
      <c r="L431" s="39"/>
    </row>
    <row r="432" spans="12:12" ht="15.75" customHeight="1">
      <c r="L432" s="39"/>
    </row>
    <row r="433" spans="12:12" ht="15.75" customHeight="1">
      <c r="L433" s="39"/>
    </row>
    <row r="434" spans="12:12" ht="15.75" customHeight="1">
      <c r="L434" s="39"/>
    </row>
    <row r="435" spans="12:12" ht="15.75" customHeight="1">
      <c r="L435" s="39"/>
    </row>
    <row r="436" spans="12:12" ht="15.75" customHeight="1">
      <c r="L436" s="39"/>
    </row>
    <row r="437" spans="12:12" ht="15.75" customHeight="1">
      <c r="L437" s="39"/>
    </row>
    <row r="438" spans="12:12" ht="15.75" customHeight="1">
      <c r="L438" s="39"/>
    </row>
    <row r="439" spans="12:12" ht="15.75" customHeight="1">
      <c r="L439" s="39"/>
    </row>
    <row r="440" spans="12:12" ht="15.75" customHeight="1">
      <c r="L440" s="39"/>
    </row>
    <row r="441" spans="12:12" ht="15.75" customHeight="1">
      <c r="L441" s="39"/>
    </row>
    <row r="442" spans="12:12" ht="15.75" customHeight="1">
      <c r="L442" s="39"/>
    </row>
    <row r="443" spans="12:12" ht="15.75" customHeight="1">
      <c r="L443" s="39"/>
    </row>
    <row r="444" spans="12:12" ht="15.75" customHeight="1">
      <c r="L444" s="39"/>
    </row>
    <row r="445" spans="12:12" ht="15.75" customHeight="1">
      <c r="L445" s="39"/>
    </row>
    <row r="446" spans="12:12" ht="15.75" customHeight="1">
      <c r="L446" s="39"/>
    </row>
    <row r="447" spans="12:12" ht="15.75" customHeight="1">
      <c r="L447" s="39"/>
    </row>
    <row r="448" spans="12:12" ht="15.75" customHeight="1">
      <c r="L448" s="39"/>
    </row>
    <row r="449" spans="12:12" ht="15.75" customHeight="1">
      <c r="L449" s="39"/>
    </row>
    <row r="450" spans="12:12" ht="15.75" customHeight="1">
      <c r="L450" s="39"/>
    </row>
    <row r="451" spans="12:12" ht="15.75" customHeight="1">
      <c r="L451" s="39"/>
    </row>
    <row r="452" spans="12:12" ht="15.75" customHeight="1">
      <c r="L452" s="39"/>
    </row>
    <row r="453" spans="12:12" ht="15.75" customHeight="1">
      <c r="L453" s="39"/>
    </row>
    <row r="454" spans="12:12" ht="15.75" customHeight="1">
      <c r="L454" s="39"/>
    </row>
    <row r="455" spans="12:12" ht="15.75" customHeight="1">
      <c r="L455" s="39"/>
    </row>
    <row r="456" spans="12:12" ht="15.75" customHeight="1">
      <c r="L456" s="39"/>
    </row>
    <row r="457" spans="12:12" ht="15.75" customHeight="1">
      <c r="L457" s="39"/>
    </row>
    <row r="458" spans="12:12" ht="15.75" customHeight="1">
      <c r="L458" s="39"/>
    </row>
    <row r="459" spans="12:12" ht="15.75" customHeight="1">
      <c r="L459" s="39"/>
    </row>
    <row r="460" spans="12:12" ht="15.75" customHeight="1">
      <c r="L460" s="39"/>
    </row>
    <row r="461" spans="12:12" ht="15.75" customHeight="1">
      <c r="L461" s="39"/>
    </row>
    <row r="462" spans="12:12" ht="15.75" customHeight="1">
      <c r="L462" s="39"/>
    </row>
    <row r="463" spans="12:12" ht="15.75" customHeight="1">
      <c r="L463" s="39"/>
    </row>
    <row r="464" spans="12:12" ht="15.75" customHeight="1">
      <c r="L464" s="39"/>
    </row>
    <row r="465" spans="12:12" ht="15.75" customHeight="1">
      <c r="L465" s="39"/>
    </row>
    <row r="466" spans="12:12" ht="15.75" customHeight="1">
      <c r="L466" s="39"/>
    </row>
    <row r="467" spans="12:12" ht="15.75" customHeight="1">
      <c r="L467" s="39"/>
    </row>
    <row r="468" spans="12:12" ht="15.75" customHeight="1">
      <c r="L468" s="39"/>
    </row>
    <row r="469" spans="12:12" ht="15.75" customHeight="1">
      <c r="L469" s="39"/>
    </row>
    <row r="470" spans="12:12" ht="15.75" customHeight="1">
      <c r="L470" s="39"/>
    </row>
    <row r="471" spans="12:12" ht="15.75" customHeight="1">
      <c r="L471" s="39"/>
    </row>
    <row r="472" spans="12:12" ht="15.75" customHeight="1">
      <c r="L472" s="39"/>
    </row>
    <row r="473" spans="12:12" ht="15.75" customHeight="1">
      <c r="L473" s="39"/>
    </row>
    <row r="474" spans="12:12" ht="15.75" customHeight="1">
      <c r="L474" s="39"/>
    </row>
    <row r="475" spans="12:12" ht="15.75" customHeight="1">
      <c r="L475" s="39"/>
    </row>
    <row r="476" spans="12:12" ht="15.75" customHeight="1">
      <c r="L476" s="39"/>
    </row>
    <row r="477" spans="12:12" ht="15.75" customHeight="1">
      <c r="L477" s="39"/>
    </row>
    <row r="478" spans="12:12" ht="15.75" customHeight="1">
      <c r="L478" s="39"/>
    </row>
    <row r="479" spans="12:12" ht="15.75" customHeight="1">
      <c r="L479" s="39"/>
    </row>
    <row r="480" spans="12:12" ht="15.75" customHeight="1">
      <c r="L480" s="39"/>
    </row>
    <row r="481" spans="12:12" ht="15.75" customHeight="1">
      <c r="L481" s="39"/>
    </row>
    <row r="482" spans="12:12" ht="15.75" customHeight="1">
      <c r="L482" s="39"/>
    </row>
    <row r="483" spans="12:12" ht="15.75" customHeight="1">
      <c r="L483" s="39"/>
    </row>
    <row r="484" spans="12:12" ht="15.75" customHeight="1">
      <c r="L484" s="39"/>
    </row>
    <row r="485" spans="12:12" ht="15.75" customHeight="1">
      <c r="L485" s="39"/>
    </row>
    <row r="486" spans="12:12" ht="15.75" customHeight="1">
      <c r="L486" s="39"/>
    </row>
    <row r="487" spans="12:12" ht="15.75" customHeight="1">
      <c r="L487" s="39"/>
    </row>
    <row r="488" spans="12:12" ht="15.75" customHeight="1">
      <c r="L488" s="39"/>
    </row>
    <row r="489" spans="12:12" ht="15.75" customHeight="1">
      <c r="L489" s="39"/>
    </row>
    <row r="490" spans="12:12" ht="15.75" customHeight="1">
      <c r="L490" s="39"/>
    </row>
    <row r="491" spans="12:12" ht="15.75" customHeight="1">
      <c r="L491" s="39"/>
    </row>
    <row r="492" spans="12:12" ht="15.75" customHeight="1">
      <c r="L492" s="39"/>
    </row>
    <row r="493" spans="12:12" ht="15.75" customHeight="1">
      <c r="L493" s="39"/>
    </row>
    <row r="494" spans="12:12" ht="15.75" customHeight="1">
      <c r="L494" s="39"/>
    </row>
    <row r="495" spans="12:12" ht="15.75" customHeight="1">
      <c r="L495" s="39"/>
    </row>
    <row r="496" spans="12:12" ht="15.75" customHeight="1">
      <c r="L496" s="39"/>
    </row>
    <row r="497" spans="12:12" ht="15.75" customHeight="1">
      <c r="L497" s="39"/>
    </row>
    <row r="498" spans="12:12" ht="15.75" customHeight="1">
      <c r="L498" s="39"/>
    </row>
    <row r="499" spans="12:12" ht="15.75" customHeight="1">
      <c r="L499" s="39"/>
    </row>
    <row r="500" spans="12:12" ht="15.75" customHeight="1">
      <c r="L500" s="39"/>
    </row>
    <row r="501" spans="12:12" ht="15.75" customHeight="1">
      <c r="L501" s="39"/>
    </row>
    <row r="502" spans="12:12" ht="15.75" customHeight="1">
      <c r="L502" s="39"/>
    </row>
    <row r="503" spans="12:12" ht="15.75" customHeight="1">
      <c r="L503" s="39"/>
    </row>
    <row r="504" spans="12:12" ht="15.75" customHeight="1">
      <c r="L504" s="39"/>
    </row>
    <row r="505" spans="12:12" ht="15.75" customHeight="1">
      <c r="L505" s="39"/>
    </row>
    <row r="506" spans="12:12" ht="15.75" customHeight="1">
      <c r="L506" s="39"/>
    </row>
    <row r="507" spans="12:12" ht="15.75" customHeight="1">
      <c r="L507" s="39"/>
    </row>
    <row r="508" spans="12:12" ht="15.75" customHeight="1">
      <c r="L508" s="39"/>
    </row>
    <row r="509" spans="12:12" ht="15.75" customHeight="1">
      <c r="L509" s="39"/>
    </row>
    <row r="510" spans="12:12" ht="15.75" customHeight="1">
      <c r="L510" s="39"/>
    </row>
    <row r="511" spans="12:12" ht="15.75" customHeight="1">
      <c r="L511" s="39"/>
    </row>
    <row r="512" spans="12:12" ht="15.75" customHeight="1">
      <c r="L512" s="39"/>
    </row>
    <row r="513" spans="12:12" ht="15.75" customHeight="1">
      <c r="L513" s="39"/>
    </row>
    <row r="514" spans="12:12" ht="15.75" customHeight="1">
      <c r="L514" s="39"/>
    </row>
    <row r="515" spans="12:12" ht="15.75" customHeight="1">
      <c r="L515" s="39"/>
    </row>
    <row r="516" spans="12:12" ht="15.75" customHeight="1">
      <c r="L516" s="39"/>
    </row>
    <row r="517" spans="12:12" ht="15.75" customHeight="1">
      <c r="L517" s="39"/>
    </row>
    <row r="518" spans="12:12" ht="15.75" customHeight="1">
      <c r="L518" s="39"/>
    </row>
    <row r="519" spans="12:12" ht="15.75" customHeight="1">
      <c r="L519" s="39"/>
    </row>
    <row r="520" spans="12:12" ht="15.75" customHeight="1">
      <c r="L520" s="39"/>
    </row>
    <row r="521" spans="12:12" ht="15.75" customHeight="1">
      <c r="L521" s="39"/>
    </row>
    <row r="522" spans="12:12" ht="15.75" customHeight="1">
      <c r="L522" s="39"/>
    </row>
    <row r="523" spans="12:12" ht="15.75" customHeight="1">
      <c r="L523" s="39"/>
    </row>
    <row r="524" spans="12:12" ht="15.75" customHeight="1">
      <c r="L524" s="39"/>
    </row>
    <row r="525" spans="12:12" ht="15.75" customHeight="1">
      <c r="L525" s="39"/>
    </row>
    <row r="526" spans="12:12" ht="15.75" customHeight="1">
      <c r="L526" s="39"/>
    </row>
    <row r="527" spans="12:12" ht="15.75" customHeight="1">
      <c r="L527" s="39"/>
    </row>
    <row r="528" spans="12:12" ht="15.75" customHeight="1">
      <c r="L528" s="39"/>
    </row>
    <row r="529" spans="12:12" ht="15.75" customHeight="1">
      <c r="L529" s="39"/>
    </row>
    <row r="530" spans="12:12" ht="15.75" customHeight="1">
      <c r="L530" s="39"/>
    </row>
    <row r="531" spans="12:12" ht="15.75" customHeight="1">
      <c r="L531" s="39"/>
    </row>
    <row r="532" spans="12:12" ht="15.75" customHeight="1">
      <c r="L532" s="39"/>
    </row>
    <row r="533" spans="12:12" ht="15.75" customHeight="1">
      <c r="L533" s="39"/>
    </row>
    <row r="534" spans="12:12" ht="15.75" customHeight="1">
      <c r="L534" s="39"/>
    </row>
    <row r="535" spans="12:12" ht="15.75" customHeight="1">
      <c r="L535" s="39"/>
    </row>
    <row r="536" spans="12:12" ht="15.75" customHeight="1">
      <c r="L536" s="39"/>
    </row>
    <row r="537" spans="12:12" ht="15.75" customHeight="1">
      <c r="L537" s="39"/>
    </row>
    <row r="538" spans="12:12" ht="15.75" customHeight="1">
      <c r="L538" s="39"/>
    </row>
    <row r="539" spans="12:12" ht="15.75" customHeight="1">
      <c r="L539" s="39"/>
    </row>
    <row r="540" spans="12:12" ht="15.75" customHeight="1">
      <c r="L540" s="39"/>
    </row>
    <row r="541" spans="12:12" ht="15.75" customHeight="1">
      <c r="L541" s="39"/>
    </row>
    <row r="542" spans="12:12" ht="15.75" customHeight="1">
      <c r="L542" s="39"/>
    </row>
    <row r="543" spans="12:12" ht="15.75" customHeight="1">
      <c r="L543" s="39"/>
    </row>
    <row r="544" spans="12:12" ht="15.75" customHeight="1">
      <c r="L544" s="39"/>
    </row>
    <row r="545" spans="12:12" ht="15.75" customHeight="1">
      <c r="L545" s="39"/>
    </row>
    <row r="546" spans="12:12" ht="15.75" customHeight="1">
      <c r="L546" s="39"/>
    </row>
    <row r="547" spans="12:12" ht="15.75" customHeight="1">
      <c r="L547" s="39"/>
    </row>
    <row r="548" spans="12:12" ht="15.75" customHeight="1">
      <c r="L548" s="39"/>
    </row>
    <row r="549" spans="12:12" ht="15.75" customHeight="1">
      <c r="L549" s="39"/>
    </row>
    <row r="550" spans="12:12" ht="15.75" customHeight="1">
      <c r="L550" s="39"/>
    </row>
    <row r="551" spans="12:12" ht="15.75" customHeight="1">
      <c r="L551" s="39"/>
    </row>
    <row r="552" spans="12:12" ht="15.75" customHeight="1">
      <c r="L552" s="39"/>
    </row>
    <row r="553" spans="12:12" ht="15.75" customHeight="1">
      <c r="L553" s="39"/>
    </row>
    <row r="554" spans="12:12" ht="15.75" customHeight="1">
      <c r="L554" s="39"/>
    </row>
    <row r="555" spans="12:12" ht="15.75" customHeight="1">
      <c r="L555" s="39"/>
    </row>
    <row r="556" spans="12:12" ht="15.75" customHeight="1">
      <c r="L556" s="39"/>
    </row>
    <row r="557" spans="12:12" ht="15.75" customHeight="1">
      <c r="L557" s="39"/>
    </row>
    <row r="558" spans="12:12" ht="15.75" customHeight="1">
      <c r="L558" s="39"/>
    </row>
    <row r="559" spans="12:12" ht="15.75" customHeight="1">
      <c r="L559" s="39"/>
    </row>
    <row r="560" spans="12:12" ht="15.75" customHeight="1">
      <c r="L560" s="39"/>
    </row>
    <row r="561" spans="12:12" ht="15.75" customHeight="1">
      <c r="L561" s="39"/>
    </row>
    <row r="562" spans="12:12" ht="15.75" customHeight="1">
      <c r="L562" s="39"/>
    </row>
    <row r="563" spans="12:12" ht="15.75" customHeight="1">
      <c r="L563" s="39"/>
    </row>
    <row r="564" spans="12:12" ht="15.75" customHeight="1">
      <c r="L564" s="39"/>
    </row>
    <row r="565" spans="12:12" ht="15.75" customHeight="1">
      <c r="L565" s="39"/>
    </row>
    <row r="566" spans="12:12" ht="15.75" customHeight="1">
      <c r="L566" s="39"/>
    </row>
    <row r="567" spans="12:12" ht="15.75" customHeight="1">
      <c r="L567" s="39"/>
    </row>
    <row r="568" spans="12:12" ht="15.75" customHeight="1">
      <c r="L568" s="39"/>
    </row>
    <row r="569" spans="12:12" ht="15.75" customHeight="1">
      <c r="L569" s="39"/>
    </row>
    <row r="570" spans="12:12" ht="15.75" customHeight="1">
      <c r="L570" s="39"/>
    </row>
    <row r="571" spans="12:12" ht="15.75" customHeight="1">
      <c r="L571" s="39"/>
    </row>
    <row r="572" spans="12:12" ht="15.75" customHeight="1">
      <c r="L572" s="39"/>
    </row>
    <row r="573" spans="12:12" ht="15.75" customHeight="1">
      <c r="L573" s="39"/>
    </row>
    <row r="574" spans="12:12" ht="15.75" customHeight="1">
      <c r="L574" s="39"/>
    </row>
    <row r="575" spans="12:12" ht="15.75" customHeight="1">
      <c r="L575" s="39"/>
    </row>
    <row r="576" spans="12:12" ht="15.75" customHeight="1">
      <c r="L576" s="39"/>
    </row>
    <row r="577" spans="12:12" ht="15.75" customHeight="1">
      <c r="L577" s="39"/>
    </row>
    <row r="578" spans="12:12" ht="15.75" customHeight="1">
      <c r="L578" s="39"/>
    </row>
    <row r="579" spans="12:12" ht="15.75" customHeight="1">
      <c r="L579" s="39"/>
    </row>
    <row r="580" spans="12:12" ht="15.75" customHeight="1">
      <c r="L580" s="39"/>
    </row>
    <row r="581" spans="12:12" ht="15.75" customHeight="1">
      <c r="L581" s="39"/>
    </row>
    <row r="582" spans="12:12" ht="15.75" customHeight="1">
      <c r="L582" s="39"/>
    </row>
    <row r="583" spans="12:12" ht="15.75" customHeight="1">
      <c r="L583" s="39"/>
    </row>
    <row r="584" spans="12:12" ht="15.75" customHeight="1">
      <c r="L584" s="39"/>
    </row>
    <row r="585" spans="12:12" ht="15.75" customHeight="1">
      <c r="L585" s="39"/>
    </row>
    <row r="586" spans="12:12" ht="15.75" customHeight="1">
      <c r="L586" s="39"/>
    </row>
    <row r="587" spans="12:12" ht="15.75" customHeight="1">
      <c r="L587" s="39"/>
    </row>
    <row r="588" spans="12:12" ht="15.75" customHeight="1">
      <c r="L588" s="39"/>
    </row>
    <row r="589" spans="12:12" ht="15.75" customHeight="1">
      <c r="L589" s="39"/>
    </row>
    <row r="590" spans="12:12" ht="15.75" customHeight="1">
      <c r="L590" s="39"/>
    </row>
    <row r="591" spans="12:12" ht="15.75" customHeight="1">
      <c r="L591" s="39"/>
    </row>
    <row r="592" spans="12:12" ht="15.75" customHeight="1">
      <c r="L592" s="39"/>
    </row>
    <row r="593" spans="12:12" ht="15.75" customHeight="1">
      <c r="L593" s="39"/>
    </row>
    <row r="594" spans="12:12" ht="15.75" customHeight="1">
      <c r="L594" s="39"/>
    </row>
    <row r="595" spans="12:12" ht="15.75" customHeight="1">
      <c r="L595" s="39"/>
    </row>
    <row r="596" spans="12:12" ht="15.75" customHeight="1">
      <c r="L596" s="39"/>
    </row>
    <row r="597" spans="12:12" ht="15.75" customHeight="1">
      <c r="L597" s="39"/>
    </row>
    <row r="598" spans="12:12" ht="15.75" customHeight="1">
      <c r="L598" s="39"/>
    </row>
    <row r="599" spans="12:12" ht="15.75" customHeight="1">
      <c r="L599" s="39"/>
    </row>
    <row r="600" spans="12:12" ht="15.75" customHeight="1">
      <c r="L600" s="39"/>
    </row>
    <row r="601" spans="12:12" ht="15.75" customHeight="1">
      <c r="L601" s="39"/>
    </row>
    <row r="602" spans="12:12" ht="15.75" customHeight="1">
      <c r="L602" s="39"/>
    </row>
    <row r="603" spans="12:12" ht="15.75" customHeight="1">
      <c r="L603" s="39"/>
    </row>
    <row r="604" spans="12:12" ht="15.75" customHeight="1">
      <c r="L604" s="39"/>
    </row>
    <row r="605" spans="12:12" ht="15.75" customHeight="1">
      <c r="L605" s="39"/>
    </row>
    <row r="606" spans="12:12" ht="15.75" customHeight="1">
      <c r="L606" s="39"/>
    </row>
    <row r="607" spans="12:12" ht="15.75" customHeight="1">
      <c r="L607" s="39"/>
    </row>
    <row r="608" spans="12:12" ht="15.75" customHeight="1">
      <c r="L608" s="39"/>
    </row>
    <row r="609" spans="12:12" ht="15.75" customHeight="1">
      <c r="L609" s="39"/>
    </row>
    <row r="610" spans="12:12" ht="15.75" customHeight="1">
      <c r="L610" s="39"/>
    </row>
    <row r="611" spans="12:12" ht="15.75" customHeight="1">
      <c r="L611" s="39"/>
    </row>
    <row r="612" spans="12:12" ht="15.75" customHeight="1">
      <c r="L612" s="39"/>
    </row>
    <row r="613" spans="12:12" ht="15.75" customHeight="1">
      <c r="L613" s="39"/>
    </row>
    <row r="614" spans="12:12" ht="15.75" customHeight="1">
      <c r="L614" s="39"/>
    </row>
    <row r="615" spans="12:12" ht="15.75" customHeight="1">
      <c r="L615" s="39"/>
    </row>
    <row r="616" spans="12:12" ht="15.75" customHeight="1">
      <c r="L616" s="39"/>
    </row>
    <row r="617" spans="12:12" ht="15.75" customHeight="1">
      <c r="L617" s="39"/>
    </row>
    <row r="618" spans="12:12" ht="15.75" customHeight="1">
      <c r="L618" s="39"/>
    </row>
    <row r="619" spans="12:12" ht="15.75" customHeight="1">
      <c r="L619" s="39"/>
    </row>
    <row r="620" spans="12:12" ht="15.75" customHeight="1">
      <c r="L620" s="39"/>
    </row>
    <row r="621" spans="12:12" ht="15.75" customHeight="1">
      <c r="L621" s="39"/>
    </row>
    <row r="622" spans="12:12" ht="15.75" customHeight="1">
      <c r="L622" s="39"/>
    </row>
    <row r="623" spans="12:12" ht="15.75" customHeight="1">
      <c r="L623" s="39"/>
    </row>
    <row r="624" spans="12:12" ht="15.75" customHeight="1">
      <c r="L624" s="39"/>
    </row>
    <row r="625" spans="12:12" ht="15.75" customHeight="1">
      <c r="L625" s="39"/>
    </row>
    <row r="626" spans="12:12" ht="15.75" customHeight="1">
      <c r="L626" s="39"/>
    </row>
    <row r="627" spans="12:12" ht="15.75" customHeight="1">
      <c r="L627" s="39"/>
    </row>
    <row r="628" spans="12:12" ht="15.75" customHeight="1">
      <c r="L628" s="39"/>
    </row>
    <row r="629" spans="12:12" ht="15.75" customHeight="1">
      <c r="L629" s="39"/>
    </row>
    <row r="630" spans="12:12" ht="15.75" customHeight="1">
      <c r="L630" s="39"/>
    </row>
    <row r="631" spans="12:12" ht="15.75" customHeight="1">
      <c r="L631" s="39"/>
    </row>
    <row r="632" spans="12:12" ht="15.75" customHeight="1">
      <c r="L632" s="39"/>
    </row>
    <row r="633" spans="12:12" ht="15.75" customHeight="1">
      <c r="L633" s="39"/>
    </row>
    <row r="634" spans="12:12" ht="15.75" customHeight="1">
      <c r="L634" s="39"/>
    </row>
    <row r="635" spans="12:12" ht="15.75" customHeight="1">
      <c r="L635" s="39"/>
    </row>
    <row r="636" spans="12:12" ht="15.75" customHeight="1">
      <c r="L636" s="39"/>
    </row>
    <row r="637" spans="12:12" ht="15.75" customHeight="1">
      <c r="L637" s="39"/>
    </row>
    <row r="638" spans="12:12" ht="15.75" customHeight="1">
      <c r="L638" s="39"/>
    </row>
    <row r="639" spans="12:12" ht="15.75" customHeight="1">
      <c r="L639" s="39"/>
    </row>
    <row r="640" spans="12:12" ht="15.75" customHeight="1">
      <c r="L640" s="39"/>
    </row>
    <row r="641" spans="12:12" ht="15.75" customHeight="1">
      <c r="L641" s="39"/>
    </row>
    <row r="642" spans="12:12" ht="15.75" customHeight="1">
      <c r="L642" s="39"/>
    </row>
    <row r="643" spans="12:12" ht="15.75" customHeight="1">
      <c r="L643" s="39"/>
    </row>
    <row r="644" spans="12:12" ht="15.75" customHeight="1">
      <c r="L644" s="39"/>
    </row>
    <row r="645" spans="12:12" ht="15.75" customHeight="1">
      <c r="L645" s="39"/>
    </row>
    <row r="646" spans="12:12" ht="15.75" customHeight="1">
      <c r="L646" s="39"/>
    </row>
    <row r="647" spans="12:12" ht="15.75" customHeight="1">
      <c r="L647" s="39"/>
    </row>
    <row r="648" spans="12:12" ht="15.75" customHeight="1">
      <c r="L648" s="39"/>
    </row>
    <row r="649" spans="12:12" ht="15.75" customHeight="1">
      <c r="L649" s="39"/>
    </row>
    <row r="650" spans="12:12" ht="15.75" customHeight="1">
      <c r="L650" s="39"/>
    </row>
    <row r="651" spans="12:12" ht="15.75" customHeight="1">
      <c r="L651" s="39"/>
    </row>
    <row r="652" spans="12:12" ht="15.75" customHeight="1">
      <c r="L652" s="39"/>
    </row>
    <row r="653" spans="12:12" ht="15.75" customHeight="1">
      <c r="L653" s="39"/>
    </row>
    <row r="654" spans="12:12" ht="15.75" customHeight="1">
      <c r="L654" s="39"/>
    </row>
    <row r="655" spans="12:12" ht="15.75" customHeight="1">
      <c r="L655" s="39"/>
    </row>
    <row r="656" spans="12:12" ht="15.75" customHeight="1">
      <c r="L656" s="39"/>
    </row>
    <row r="657" spans="12:12" ht="15.75" customHeight="1">
      <c r="L657" s="39"/>
    </row>
    <row r="658" spans="12:12" ht="15.75" customHeight="1">
      <c r="L658" s="39"/>
    </row>
    <row r="659" spans="12:12" ht="15.75" customHeight="1">
      <c r="L659" s="39"/>
    </row>
    <row r="660" spans="12:12" ht="15.75" customHeight="1">
      <c r="L660" s="39"/>
    </row>
    <row r="661" spans="12:12" ht="15.75" customHeight="1">
      <c r="L661" s="39"/>
    </row>
    <row r="662" spans="12:12" ht="15.75" customHeight="1">
      <c r="L662" s="39"/>
    </row>
    <row r="663" spans="12:12" ht="15.75" customHeight="1">
      <c r="L663" s="39"/>
    </row>
    <row r="664" spans="12:12" ht="15.75" customHeight="1">
      <c r="L664" s="39"/>
    </row>
    <row r="665" spans="12:12" ht="15.75" customHeight="1">
      <c r="L665" s="39"/>
    </row>
    <row r="666" spans="12:12" ht="15.75" customHeight="1">
      <c r="L666" s="39"/>
    </row>
    <row r="667" spans="12:12" ht="15.75" customHeight="1">
      <c r="L667" s="39"/>
    </row>
    <row r="668" spans="12:12" ht="15.75" customHeight="1">
      <c r="L668" s="39"/>
    </row>
    <row r="669" spans="12:12" ht="15.75" customHeight="1">
      <c r="L669" s="39"/>
    </row>
    <row r="670" spans="12:12" ht="15.75" customHeight="1">
      <c r="L670" s="39"/>
    </row>
    <row r="671" spans="12:12" ht="15.75" customHeight="1">
      <c r="L671" s="39"/>
    </row>
    <row r="672" spans="12:12" ht="15.75" customHeight="1">
      <c r="L672" s="39"/>
    </row>
    <row r="673" spans="12:12" ht="15.75" customHeight="1">
      <c r="L673" s="39"/>
    </row>
    <row r="674" spans="12:12" ht="15.75" customHeight="1">
      <c r="L674" s="39"/>
    </row>
    <row r="675" spans="12:12" ht="15.75" customHeight="1">
      <c r="L675" s="39"/>
    </row>
    <row r="676" spans="12:12" ht="15.75" customHeight="1">
      <c r="L676" s="39"/>
    </row>
    <row r="677" spans="12:12" ht="15.75" customHeight="1">
      <c r="L677" s="39"/>
    </row>
    <row r="678" spans="12:12" ht="15.75" customHeight="1">
      <c r="L678" s="39"/>
    </row>
    <row r="679" spans="12:12" ht="15.75" customHeight="1">
      <c r="L679" s="39"/>
    </row>
    <row r="680" spans="12:12" ht="15.75" customHeight="1">
      <c r="L680" s="39"/>
    </row>
    <row r="681" spans="12:12" ht="15.75" customHeight="1">
      <c r="L681" s="39"/>
    </row>
    <row r="682" spans="12:12" ht="15.75" customHeight="1">
      <c r="L682" s="39"/>
    </row>
    <row r="683" spans="12:12" ht="15.75" customHeight="1">
      <c r="L683" s="39"/>
    </row>
    <row r="684" spans="12:12" ht="15.75" customHeight="1">
      <c r="L684" s="39"/>
    </row>
    <row r="685" spans="12:12" ht="15.75" customHeight="1">
      <c r="L685" s="39"/>
    </row>
    <row r="686" spans="12:12" ht="15.75" customHeight="1">
      <c r="L686" s="39"/>
    </row>
    <row r="687" spans="12:12" ht="15.75" customHeight="1">
      <c r="L687" s="39"/>
    </row>
    <row r="688" spans="12:12" ht="15.75" customHeight="1">
      <c r="L688" s="39"/>
    </row>
    <row r="689" spans="12:12" ht="15.75" customHeight="1">
      <c r="L689" s="39"/>
    </row>
    <row r="690" spans="12:12" ht="15.75" customHeight="1">
      <c r="L690" s="39"/>
    </row>
    <row r="691" spans="12:12" ht="15.75" customHeight="1">
      <c r="L691" s="39"/>
    </row>
    <row r="692" spans="12:12" ht="15.75" customHeight="1">
      <c r="L692" s="39"/>
    </row>
    <row r="693" spans="12:12" ht="15.75" customHeight="1">
      <c r="L693" s="39"/>
    </row>
    <row r="694" spans="12:12" ht="15.75" customHeight="1">
      <c r="L694" s="39"/>
    </row>
    <row r="695" spans="12:12" ht="15.75" customHeight="1">
      <c r="L695" s="39"/>
    </row>
    <row r="696" spans="12:12" ht="15.75" customHeight="1">
      <c r="L696" s="39"/>
    </row>
    <row r="697" spans="12:12" ht="15.75" customHeight="1">
      <c r="L697" s="39"/>
    </row>
    <row r="698" spans="12:12" ht="15.75" customHeight="1">
      <c r="L698" s="39"/>
    </row>
    <row r="699" spans="12:12" ht="15.75" customHeight="1">
      <c r="L699" s="39"/>
    </row>
    <row r="700" spans="12:12" ht="15.75" customHeight="1">
      <c r="L700" s="39"/>
    </row>
    <row r="701" spans="12:12" ht="15.75" customHeight="1">
      <c r="L701" s="39"/>
    </row>
    <row r="702" spans="12:12" ht="15.75" customHeight="1">
      <c r="L702" s="39"/>
    </row>
    <row r="703" spans="12:12" ht="15.75" customHeight="1">
      <c r="L703" s="39"/>
    </row>
    <row r="704" spans="12:12" ht="15.75" customHeight="1">
      <c r="L704" s="39"/>
    </row>
    <row r="705" spans="12:12" ht="15.75" customHeight="1">
      <c r="L705" s="39"/>
    </row>
    <row r="706" spans="12:12" ht="15.75" customHeight="1">
      <c r="L706" s="39"/>
    </row>
    <row r="707" spans="12:12" ht="15.75" customHeight="1">
      <c r="L707" s="39"/>
    </row>
    <row r="708" spans="12:12" ht="15.75" customHeight="1">
      <c r="L708" s="39"/>
    </row>
    <row r="709" spans="12:12" ht="15.75" customHeight="1">
      <c r="L709" s="39"/>
    </row>
    <row r="710" spans="12:12" ht="15.75" customHeight="1">
      <c r="L710" s="39"/>
    </row>
    <row r="711" spans="12:12" ht="15.75" customHeight="1">
      <c r="L711" s="39"/>
    </row>
    <row r="712" spans="12:12" ht="15.75" customHeight="1">
      <c r="L712" s="39"/>
    </row>
    <row r="713" spans="12:12" ht="15.75" customHeight="1">
      <c r="L713" s="39"/>
    </row>
    <row r="714" spans="12:12" ht="15.75" customHeight="1">
      <c r="L714" s="39"/>
    </row>
    <row r="715" spans="12:12" ht="15.75" customHeight="1">
      <c r="L715" s="39"/>
    </row>
    <row r="716" spans="12:12" ht="15.75" customHeight="1">
      <c r="L716" s="39"/>
    </row>
    <row r="717" spans="12:12" ht="15.75" customHeight="1">
      <c r="L717" s="39"/>
    </row>
    <row r="718" spans="12:12" ht="15.75" customHeight="1">
      <c r="L718" s="39"/>
    </row>
    <row r="719" spans="12:12" ht="15.75" customHeight="1">
      <c r="L719" s="39"/>
    </row>
    <row r="720" spans="12:12" ht="15.75" customHeight="1">
      <c r="L720" s="39"/>
    </row>
    <row r="721" spans="12:12" ht="15.75" customHeight="1">
      <c r="L721" s="39"/>
    </row>
    <row r="722" spans="12:12" ht="15.75" customHeight="1">
      <c r="L722" s="39"/>
    </row>
    <row r="723" spans="12:12" ht="15.75" customHeight="1">
      <c r="L723" s="39"/>
    </row>
    <row r="724" spans="12:12" ht="15.75" customHeight="1">
      <c r="L724" s="39"/>
    </row>
    <row r="725" spans="12:12" ht="15.75" customHeight="1">
      <c r="L725" s="39"/>
    </row>
    <row r="726" spans="12:12" ht="15.75" customHeight="1">
      <c r="L726" s="39"/>
    </row>
    <row r="727" spans="12:12" ht="15.75" customHeight="1">
      <c r="L727" s="39"/>
    </row>
    <row r="728" spans="12:12" ht="15.75" customHeight="1">
      <c r="L728" s="39"/>
    </row>
    <row r="729" spans="12:12" ht="15.75" customHeight="1">
      <c r="L729" s="39"/>
    </row>
    <row r="730" spans="12:12" ht="15.75" customHeight="1">
      <c r="L730" s="39"/>
    </row>
    <row r="731" spans="12:12" ht="15.75" customHeight="1">
      <c r="L731" s="39"/>
    </row>
    <row r="732" spans="12:12" ht="15.75" customHeight="1">
      <c r="L732" s="39"/>
    </row>
    <row r="733" spans="12:12" ht="15.75" customHeight="1">
      <c r="L733" s="39"/>
    </row>
    <row r="734" spans="12:12" ht="15.75" customHeight="1">
      <c r="L734" s="39"/>
    </row>
    <row r="735" spans="12:12" ht="15.75" customHeight="1">
      <c r="L735" s="39"/>
    </row>
    <row r="736" spans="12:12" ht="15.75" customHeight="1">
      <c r="L736" s="39"/>
    </row>
    <row r="737" spans="12:12" ht="15.75" customHeight="1">
      <c r="L737" s="39"/>
    </row>
    <row r="738" spans="12:12" ht="15.75" customHeight="1">
      <c r="L738" s="39"/>
    </row>
    <row r="739" spans="12:12" ht="15.75" customHeight="1">
      <c r="L739" s="39"/>
    </row>
    <row r="740" spans="12:12" ht="15.75" customHeight="1">
      <c r="L740" s="39"/>
    </row>
    <row r="741" spans="12:12" ht="15.75" customHeight="1">
      <c r="L741" s="39"/>
    </row>
    <row r="742" spans="12:12" ht="15.75" customHeight="1">
      <c r="L742" s="39"/>
    </row>
    <row r="743" spans="12:12" ht="15.75" customHeight="1">
      <c r="L743" s="39"/>
    </row>
    <row r="744" spans="12:12" ht="15.75" customHeight="1">
      <c r="L744" s="39"/>
    </row>
    <row r="745" spans="12:12" ht="15.75" customHeight="1">
      <c r="L745" s="39"/>
    </row>
    <row r="746" spans="12:12" ht="15.75" customHeight="1">
      <c r="L746" s="39"/>
    </row>
    <row r="747" spans="12:12" ht="15.75" customHeight="1">
      <c r="L747" s="39"/>
    </row>
    <row r="748" spans="12:12" ht="15.75" customHeight="1">
      <c r="L748" s="39"/>
    </row>
    <row r="749" spans="12:12" ht="15.75" customHeight="1">
      <c r="L749" s="39"/>
    </row>
    <row r="750" spans="12:12" ht="15.75" customHeight="1">
      <c r="L750" s="39"/>
    </row>
    <row r="751" spans="12:12" ht="15.75" customHeight="1">
      <c r="L751" s="39"/>
    </row>
    <row r="752" spans="12:12" ht="15.75" customHeight="1">
      <c r="L752" s="39"/>
    </row>
    <row r="753" spans="12:12" ht="15.75" customHeight="1">
      <c r="L753" s="39"/>
    </row>
    <row r="754" spans="12:12" ht="15.75" customHeight="1">
      <c r="L754" s="39"/>
    </row>
    <row r="755" spans="12:12" ht="15.75" customHeight="1">
      <c r="L755" s="39"/>
    </row>
    <row r="756" spans="12:12" ht="15.75" customHeight="1">
      <c r="L756" s="39"/>
    </row>
    <row r="757" spans="12:12" ht="15.75" customHeight="1">
      <c r="L757" s="39"/>
    </row>
    <row r="758" spans="12:12" ht="15.75" customHeight="1">
      <c r="L758" s="39"/>
    </row>
    <row r="759" spans="12:12" ht="15.75" customHeight="1">
      <c r="L759" s="39"/>
    </row>
    <row r="760" spans="12:12" ht="15.75" customHeight="1">
      <c r="L760" s="39"/>
    </row>
    <row r="761" spans="12:12" ht="15.75" customHeight="1">
      <c r="L761" s="39"/>
    </row>
    <row r="762" spans="12:12" ht="15.75" customHeight="1">
      <c r="L762" s="39"/>
    </row>
    <row r="763" spans="12:12" ht="15.75" customHeight="1">
      <c r="L763" s="39"/>
    </row>
    <row r="764" spans="12:12" ht="15.75" customHeight="1">
      <c r="L764" s="39"/>
    </row>
    <row r="765" spans="12:12" ht="15.75" customHeight="1">
      <c r="L765" s="39"/>
    </row>
    <row r="766" spans="12:12" ht="15.75" customHeight="1">
      <c r="L766" s="39"/>
    </row>
    <row r="767" spans="12:12" ht="15.75" customHeight="1">
      <c r="L767" s="39"/>
    </row>
    <row r="768" spans="12:12" ht="15.75" customHeight="1">
      <c r="L768" s="39"/>
    </row>
    <row r="769" spans="12:12" ht="15.75" customHeight="1">
      <c r="L769" s="39"/>
    </row>
    <row r="770" spans="12:12" ht="15.75" customHeight="1">
      <c r="L770" s="39"/>
    </row>
    <row r="771" spans="12:12" ht="15.75" customHeight="1">
      <c r="L771" s="39"/>
    </row>
    <row r="772" spans="12:12" ht="15.75" customHeight="1">
      <c r="L772" s="39"/>
    </row>
    <row r="773" spans="12:12" ht="15.75" customHeight="1">
      <c r="L773" s="39"/>
    </row>
    <row r="774" spans="12:12" ht="15.75" customHeight="1">
      <c r="L774" s="39"/>
    </row>
    <row r="775" spans="12:12" ht="15.75" customHeight="1">
      <c r="L775" s="39"/>
    </row>
    <row r="776" spans="12:12" ht="15.75" customHeight="1">
      <c r="L776" s="39"/>
    </row>
    <row r="777" spans="12:12" ht="15.75" customHeight="1">
      <c r="L777" s="39"/>
    </row>
    <row r="778" spans="12:12" ht="15.75" customHeight="1">
      <c r="L778" s="39"/>
    </row>
    <row r="779" spans="12:12" ht="15.75" customHeight="1">
      <c r="L779" s="39"/>
    </row>
    <row r="780" spans="12:12" ht="15.75" customHeight="1">
      <c r="L780" s="39"/>
    </row>
    <row r="781" spans="12:12" ht="15.75" customHeight="1">
      <c r="L781" s="39"/>
    </row>
    <row r="782" spans="12:12" ht="15.75" customHeight="1">
      <c r="L782" s="39"/>
    </row>
    <row r="783" spans="12:12" ht="15.75" customHeight="1">
      <c r="L783" s="39"/>
    </row>
    <row r="784" spans="12:12" ht="15.75" customHeight="1">
      <c r="L784" s="39"/>
    </row>
    <row r="785" spans="12:12" ht="15.75" customHeight="1">
      <c r="L785" s="39"/>
    </row>
    <row r="786" spans="12:12" ht="15.75" customHeight="1">
      <c r="L786" s="39"/>
    </row>
    <row r="787" spans="12:12" ht="15.75" customHeight="1">
      <c r="L787" s="39"/>
    </row>
    <row r="788" spans="12:12" ht="15.75" customHeight="1">
      <c r="L788" s="39"/>
    </row>
    <row r="789" spans="12:12" ht="15.75" customHeight="1">
      <c r="L789" s="39"/>
    </row>
    <row r="790" spans="12:12" ht="15.75" customHeight="1">
      <c r="L790" s="39"/>
    </row>
    <row r="791" spans="12:12" ht="15.75" customHeight="1">
      <c r="L791" s="39"/>
    </row>
    <row r="792" spans="12:12" ht="15.75" customHeight="1">
      <c r="L792" s="39"/>
    </row>
    <row r="793" spans="12:12" ht="15.75" customHeight="1">
      <c r="L793" s="39"/>
    </row>
    <row r="794" spans="12:12" ht="15.75" customHeight="1">
      <c r="L794" s="39"/>
    </row>
    <row r="795" spans="12:12" ht="15.75" customHeight="1">
      <c r="L795" s="39"/>
    </row>
    <row r="796" spans="12:12" ht="15.75" customHeight="1">
      <c r="L796" s="39"/>
    </row>
    <row r="797" spans="12:12" ht="15.75" customHeight="1">
      <c r="L797" s="39"/>
    </row>
    <row r="798" spans="12:12" ht="15.75" customHeight="1">
      <c r="L798" s="39"/>
    </row>
    <row r="799" spans="12:12" ht="15.75" customHeight="1">
      <c r="L799" s="39"/>
    </row>
    <row r="800" spans="12:12" ht="15.75" customHeight="1">
      <c r="L800" s="39"/>
    </row>
    <row r="801" spans="12:12" ht="15.75" customHeight="1">
      <c r="L801" s="39"/>
    </row>
    <row r="802" spans="12:12" ht="15.75" customHeight="1">
      <c r="L802" s="39"/>
    </row>
    <row r="803" spans="12:12" ht="15.75" customHeight="1">
      <c r="L803" s="39"/>
    </row>
    <row r="804" spans="12:12" ht="15.75" customHeight="1">
      <c r="L804" s="39"/>
    </row>
    <row r="805" spans="12:12" ht="15.75" customHeight="1">
      <c r="L805" s="39"/>
    </row>
    <row r="806" spans="12:12" ht="15.75" customHeight="1">
      <c r="L806" s="39"/>
    </row>
    <row r="807" spans="12:12" ht="15.75" customHeight="1">
      <c r="L807" s="39"/>
    </row>
    <row r="808" spans="12:12" ht="15.75" customHeight="1">
      <c r="L808" s="39"/>
    </row>
    <row r="809" spans="12:12" ht="15.75" customHeight="1">
      <c r="L809" s="39"/>
    </row>
    <row r="810" spans="12:12" ht="15.75" customHeight="1">
      <c r="L810" s="39"/>
    </row>
    <row r="811" spans="12:12" ht="15.75" customHeight="1">
      <c r="L811" s="39"/>
    </row>
    <row r="812" spans="12:12" ht="15.75" customHeight="1">
      <c r="L812" s="39"/>
    </row>
    <row r="813" spans="12:12" ht="15.75" customHeight="1">
      <c r="L813" s="39"/>
    </row>
    <row r="814" spans="12:12" ht="15.75" customHeight="1">
      <c r="L814" s="39"/>
    </row>
    <row r="815" spans="12:12" ht="15.75" customHeight="1">
      <c r="L815" s="39"/>
    </row>
    <row r="816" spans="12:12" ht="15.75" customHeight="1">
      <c r="L816" s="39"/>
    </row>
    <row r="817" spans="12:12" ht="15.75" customHeight="1">
      <c r="L817" s="39"/>
    </row>
    <row r="818" spans="12:12" ht="15.75" customHeight="1">
      <c r="L818" s="39"/>
    </row>
    <row r="819" spans="12:12" ht="15.75" customHeight="1">
      <c r="L819" s="39"/>
    </row>
    <row r="820" spans="12:12" ht="15.75" customHeight="1">
      <c r="L820" s="39"/>
    </row>
    <row r="821" spans="12:12" ht="15.75" customHeight="1">
      <c r="L821" s="39"/>
    </row>
    <row r="822" spans="12:12" ht="15.75" customHeight="1">
      <c r="L822" s="39"/>
    </row>
    <row r="823" spans="12:12" ht="15.75" customHeight="1">
      <c r="L823" s="39"/>
    </row>
    <row r="824" spans="12:12" ht="15.75" customHeight="1">
      <c r="L824" s="39"/>
    </row>
    <row r="825" spans="12:12" ht="15.75" customHeight="1">
      <c r="L825" s="39"/>
    </row>
    <row r="826" spans="12:12" ht="15.75" customHeight="1">
      <c r="L826" s="39"/>
    </row>
    <row r="827" spans="12:12" ht="15.75" customHeight="1">
      <c r="L827" s="39"/>
    </row>
    <row r="828" spans="12:12" ht="15.75" customHeight="1">
      <c r="L828" s="39"/>
    </row>
    <row r="829" spans="12:12" ht="15.75" customHeight="1">
      <c r="L829" s="39"/>
    </row>
    <row r="830" spans="12:12" ht="15.75" customHeight="1">
      <c r="L830" s="39"/>
    </row>
    <row r="831" spans="12:12" ht="15.75" customHeight="1">
      <c r="L831" s="39"/>
    </row>
    <row r="832" spans="12:12" ht="15.75" customHeight="1">
      <c r="L832" s="39"/>
    </row>
    <row r="833" spans="12:12" ht="15.75" customHeight="1">
      <c r="L833" s="39"/>
    </row>
    <row r="834" spans="12:12" ht="15.75" customHeight="1">
      <c r="L834" s="39"/>
    </row>
    <row r="835" spans="12:12" ht="15.75" customHeight="1">
      <c r="L835" s="39"/>
    </row>
    <row r="836" spans="12:12" ht="15.75" customHeight="1">
      <c r="L836" s="39"/>
    </row>
    <row r="837" spans="12:12" ht="15.75" customHeight="1">
      <c r="L837" s="39"/>
    </row>
    <row r="838" spans="12:12" ht="15.75" customHeight="1">
      <c r="L838" s="39"/>
    </row>
    <row r="839" spans="12:12" ht="15.75" customHeight="1">
      <c r="L839" s="39"/>
    </row>
    <row r="840" spans="12:12" ht="15.75" customHeight="1">
      <c r="L840" s="39"/>
    </row>
    <row r="841" spans="12:12" ht="15.75" customHeight="1">
      <c r="L841" s="39"/>
    </row>
    <row r="842" spans="12:12" ht="15.75" customHeight="1">
      <c r="L842" s="39"/>
    </row>
    <row r="843" spans="12:12" ht="15.75" customHeight="1">
      <c r="L843" s="39"/>
    </row>
    <row r="844" spans="12:12" ht="15.75" customHeight="1">
      <c r="L844" s="39"/>
    </row>
    <row r="845" spans="12:12" ht="15.75" customHeight="1">
      <c r="L845" s="39"/>
    </row>
    <row r="846" spans="12:12" ht="15.75" customHeight="1">
      <c r="L846" s="39"/>
    </row>
    <row r="847" spans="12:12" ht="15.75" customHeight="1">
      <c r="L847" s="39"/>
    </row>
    <row r="848" spans="12:12" ht="15.75" customHeight="1">
      <c r="L848" s="39"/>
    </row>
    <row r="849" spans="12:12" ht="15.75" customHeight="1">
      <c r="L849" s="39"/>
    </row>
    <row r="850" spans="12:12" ht="15.75" customHeight="1">
      <c r="L850" s="39"/>
    </row>
    <row r="851" spans="12:12" ht="15.75" customHeight="1">
      <c r="L851" s="39"/>
    </row>
    <row r="852" spans="12:12" ht="15.75" customHeight="1">
      <c r="L852" s="39"/>
    </row>
    <row r="853" spans="12:12" ht="15.75" customHeight="1">
      <c r="L853" s="39"/>
    </row>
    <row r="854" spans="12:12" ht="15.75" customHeight="1">
      <c r="L854" s="39"/>
    </row>
    <row r="855" spans="12:12" ht="15.75" customHeight="1">
      <c r="L855" s="39"/>
    </row>
    <row r="856" spans="12:12" ht="15.75" customHeight="1">
      <c r="L856" s="39"/>
    </row>
    <row r="857" spans="12:12" ht="15.75" customHeight="1">
      <c r="L857" s="39"/>
    </row>
    <row r="858" spans="12:12" ht="15.75" customHeight="1">
      <c r="L858" s="39"/>
    </row>
    <row r="859" spans="12:12" ht="15.75" customHeight="1">
      <c r="L859" s="39"/>
    </row>
    <row r="860" spans="12:12" ht="15.75" customHeight="1">
      <c r="L860" s="39"/>
    </row>
    <row r="861" spans="12:12" ht="15.75" customHeight="1">
      <c r="L861" s="39"/>
    </row>
    <row r="862" spans="12:12" ht="15.75" customHeight="1">
      <c r="L862" s="39"/>
    </row>
    <row r="863" spans="12:12" ht="15.75" customHeight="1">
      <c r="L863" s="39"/>
    </row>
    <row r="864" spans="12:12" ht="15.75" customHeight="1">
      <c r="L864" s="39"/>
    </row>
    <row r="865" spans="12:12" ht="15.75" customHeight="1">
      <c r="L865" s="39"/>
    </row>
    <row r="866" spans="12:12" ht="15.75" customHeight="1">
      <c r="L866" s="39"/>
    </row>
    <row r="867" spans="12:12" ht="15.75" customHeight="1">
      <c r="L867" s="39"/>
    </row>
    <row r="868" spans="12:12" ht="15.75" customHeight="1">
      <c r="L868" s="39"/>
    </row>
    <row r="869" spans="12:12" ht="15.75" customHeight="1">
      <c r="L869" s="39"/>
    </row>
    <row r="870" spans="12:12" ht="15.75" customHeight="1">
      <c r="L870" s="39"/>
    </row>
    <row r="871" spans="12:12" ht="15.75" customHeight="1">
      <c r="L871" s="39"/>
    </row>
    <row r="872" spans="12:12" ht="15.75" customHeight="1">
      <c r="L872" s="39"/>
    </row>
    <row r="873" spans="12:12" ht="15.75" customHeight="1">
      <c r="L873" s="39"/>
    </row>
    <row r="874" spans="12:12" ht="15.75" customHeight="1">
      <c r="L874" s="39"/>
    </row>
    <row r="875" spans="12:12" ht="15.75" customHeight="1">
      <c r="L875" s="39"/>
    </row>
    <row r="876" spans="12:12" ht="15.75" customHeight="1">
      <c r="L876" s="39"/>
    </row>
    <row r="877" spans="12:12" ht="15.75" customHeight="1">
      <c r="L877" s="39"/>
    </row>
    <row r="878" spans="12:12" ht="15.75" customHeight="1">
      <c r="L878" s="39"/>
    </row>
    <row r="879" spans="12:12" ht="15.75" customHeight="1">
      <c r="L879" s="39"/>
    </row>
    <row r="880" spans="12:12" ht="15.75" customHeight="1">
      <c r="L880" s="39"/>
    </row>
    <row r="881" spans="12:12" ht="15.75" customHeight="1">
      <c r="L881" s="39"/>
    </row>
    <row r="882" spans="12:12" ht="15.75" customHeight="1">
      <c r="L882" s="39"/>
    </row>
    <row r="883" spans="12:12" ht="15.75" customHeight="1">
      <c r="L883" s="39"/>
    </row>
    <row r="884" spans="12:12" ht="15.75" customHeight="1">
      <c r="L884" s="39"/>
    </row>
    <row r="885" spans="12:12" ht="15.75" customHeight="1">
      <c r="L885" s="39"/>
    </row>
    <row r="886" spans="12:12" ht="15.75" customHeight="1">
      <c r="L886" s="39"/>
    </row>
    <row r="887" spans="12:12" ht="15.75" customHeight="1">
      <c r="L887" s="39"/>
    </row>
    <row r="888" spans="12:12" ht="15.75" customHeight="1">
      <c r="L888" s="39"/>
    </row>
    <row r="889" spans="12:12" ht="15.75" customHeight="1">
      <c r="L889" s="39"/>
    </row>
    <row r="890" spans="12:12" ht="15.75" customHeight="1">
      <c r="L890" s="39"/>
    </row>
    <row r="891" spans="12:12" ht="15.75" customHeight="1">
      <c r="L891" s="39"/>
    </row>
    <row r="892" spans="12:12" ht="15.75" customHeight="1">
      <c r="L892" s="39"/>
    </row>
    <row r="893" spans="12:12" ht="15.75" customHeight="1">
      <c r="L893" s="39"/>
    </row>
    <row r="894" spans="12:12" ht="15.75" customHeight="1">
      <c r="L894" s="39"/>
    </row>
    <row r="895" spans="12:12" ht="15.75" customHeight="1">
      <c r="L895" s="39"/>
    </row>
    <row r="896" spans="12:12" ht="15.75" customHeight="1">
      <c r="L896" s="39"/>
    </row>
    <row r="897" spans="12:12" ht="15.75" customHeight="1">
      <c r="L897" s="39"/>
    </row>
    <row r="898" spans="12:12" ht="15.75" customHeight="1">
      <c r="L898" s="39"/>
    </row>
    <row r="899" spans="12:12" ht="15.75" customHeight="1">
      <c r="L899" s="39"/>
    </row>
    <row r="900" spans="12:12" ht="15.75" customHeight="1">
      <c r="L900" s="39"/>
    </row>
    <row r="901" spans="12:12" ht="15.75" customHeight="1">
      <c r="L901" s="39"/>
    </row>
    <row r="902" spans="12:12" ht="15.75" customHeight="1">
      <c r="L902" s="39"/>
    </row>
    <row r="903" spans="12:12" ht="15.75" customHeight="1">
      <c r="L903" s="39"/>
    </row>
    <row r="904" spans="12:12" ht="15.75" customHeight="1">
      <c r="L904" s="39"/>
    </row>
    <row r="905" spans="12:12" ht="15.75" customHeight="1">
      <c r="L905" s="39"/>
    </row>
    <row r="906" spans="12:12" ht="15.75" customHeight="1">
      <c r="L906" s="39"/>
    </row>
    <row r="907" spans="12:12" ht="15.75" customHeight="1">
      <c r="L907" s="39"/>
    </row>
    <row r="908" spans="12:12" ht="15.75" customHeight="1">
      <c r="L908" s="39"/>
    </row>
    <row r="909" spans="12:12" ht="15.75" customHeight="1">
      <c r="L909" s="39"/>
    </row>
    <row r="910" spans="12:12" ht="15.75" customHeight="1">
      <c r="L910" s="39"/>
    </row>
    <row r="911" spans="12:12" ht="15.75" customHeight="1">
      <c r="L911" s="39"/>
    </row>
    <row r="912" spans="12:12" ht="15.75" customHeight="1">
      <c r="L912" s="39"/>
    </row>
    <row r="913" spans="12:12" ht="15.75" customHeight="1">
      <c r="L913" s="39"/>
    </row>
    <row r="914" spans="12:12" ht="15.75" customHeight="1">
      <c r="L914" s="39"/>
    </row>
    <row r="915" spans="12:12" ht="15.75" customHeight="1">
      <c r="L915" s="39"/>
    </row>
    <row r="916" spans="12:12" ht="15.75" customHeight="1">
      <c r="L916" s="39"/>
    </row>
    <row r="917" spans="12:12" ht="15.75" customHeight="1">
      <c r="L917" s="39"/>
    </row>
    <row r="918" spans="12:12" ht="15.75" customHeight="1">
      <c r="L918" s="39"/>
    </row>
    <row r="919" spans="12:12" ht="15.75" customHeight="1">
      <c r="L919" s="39"/>
    </row>
    <row r="920" spans="12:12" ht="15.75" customHeight="1">
      <c r="L920" s="39"/>
    </row>
    <row r="921" spans="12:12" ht="15.75" customHeight="1">
      <c r="L921" s="39"/>
    </row>
    <row r="922" spans="12:12" ht="15.75" customHeight="1">
      <c r="L922" s="39"/>
    </row>
    <row r="923" spans="12:12" ht="15.75" customHeight="1">
      <c r="L923" s="39"/>
    </row>
    <row r="924" spans="12:12" ht="15.75" customHeight="1">
      <c r="L924" s="39"/>
    </row>
    <row r="925" spans="12:12" ht="15.75" customHeight="1">
      <c r="L925" s="39"/>
    </row>
    <row r="926" spans="12:12" ht="15.75" customHeight="1">
      <c r="L926" s="39"/>
    </row>
    <row r="927" spans="12:12" ht="15.75" customHeight="1">
      <c r="L927" s="39"/>
    </row>
    <row r="928" spans="12:12" ht="15.75" customHeight="1">
      <c r="L928" s="39"/>
    </row>
    <row r="929" spans="12:12" ht="15.75" customHeight="1">
      <c r="L929" s="39"/>
    </row>
    <row r="930" spans="12:12" ht="15.75" customHeight="1">
      <c r="L930" s="39"/>
    </row>
    <row r="931" spans="12:12" ht="15.75" customHeight="1">
      <c r="L931" s="39"/>
    </row>
    <row r="932" spans="12:12" ht="15.75" customHeight="1">
      <c r="L932" s="39"/>
    </row>
    <row r="933" spans="12:12" ht="15.75" customHeight="1">
      <c r="L933" s="39"/>
    </row>
    <row r="934" spans="12:12" ht="15.75" customHeight="1">
      <c r="L934" s="39"/>
    </row>
    <row r="935" spans="12:12" ht="15.75" customHeight="1">
      <c r="L935" s="39"/>
    </row>
    <row r="936" spans="12:12" ht="15.75" customHeight="1">
      <c r="L936" s="39"/>
    </row>
    <row r="937" spans="12:12" ht="15.75" customHeight="1">
      <c r="L937" s="39"/>
    </row>
    <row r="938" spans="12:12" ht="15.75" customHeight="1">
      <c r="L938" s="39"/>
    </row>
    <row r="939" spans="12:12" ht="15.75" customHeight="1">
      <c r="L939" s="39"/>
    </row>
    <row r="940" spans="12:12" ht="15.75" customHeight="1">
      <c r="L940" s="39"/>
    </row>
    <row r="941" spans="12:12" ht="15.75" customHeight="1">
      <c r="L941" s="39"/>
    </row>
    <row r="942" spans="12:12" ht="15.75" customHeight="1">
      <c r="L942" s="39"/>
    </row>
    <row r="943" spans="12:12" ht="15.75" customHeight="1">
      <c r="L943" s="39"/>
    </row>
    <row r="944" spans="12:12" ht="15.75" customHeight="1">
      <c r="L944" s="39"/>
    </row>
    <row r="945" spans="12:12" ht="15.75" customHeight="1">
      <c r="L945" s="39"/>
    </row>
    <row r="946" spans="12:12" ht="15.75" customHeight="1">
      <c r="L946" s="39"/>
    </row>
    <row r="947" spans="12:12" ht="15.75" customHeight="1">
      <c r="L947" s="39"/>
    </row>
    <row r="948" spans="12:12" ht="15.75" customHeight="1">
      <c r="L948" s="39"/>
    </row>
    <row r="949" spans="12:12" ht="15.75" customHeight="1">
      <c r="L949" s="39"/>
    </row>
    <row r="950" spans="12:12" ht="15.75" customHeight="1">
      <c r="L950" s="39"/>
    </row>
    <row r="951" spans="12:12" ht="15.75" customHeight="1">
      <c r="L951" s="39"/>
    </row>
    <row r="952" spans="12:12" ht="15.75" customHeight="1">
      <c r="L952" s="39"/>
    </row>
    <row r="953" spans="12:12" ht="15.75" customHeight="1">
      <c r="L953" s="39"/>
    </row>
    <row r="954" spans="12:12" ht="15.75" customHeight="1">
      <c r="L954" s="39"/>
    </row>
    <row r="955" spans="12:12" ht="15.75" customHeight="1">
      <c r="L955" s="39"/>
    </row>
    <row r="956" spans="12:12" ht="15.75" customHeight="1">
      <c r="L956" s="39"/>
    </row>
    <row r="957" spans="12:12" ht="15.75" customHeight="1">
      <c r="L957" s="39"/>
    </row>
    <row r="958" spans="12:12" ht="15.75" customHeight="1">
      <c r="L958" s="39"/>
    </row>
    <row r="959" spans="12:12" ht="15.75" customHeight="1">
      <c r="L959" s="39"/>
    </row>
    <row r="960" spans="12:12" ht="15.75" customHeight="1">
      <c r="L960" s="39"/>
    </row>
    <row r="961" spans="12:12" ht="15.75" customHeight="1">
      <c r="L961" s="39"/>
    </row>
    <row r="962" spans="12:12" ht="15.75" customHeight="1">
      <c r="L962" s="39"/>
    </row>
    <row r="963" spans="12:12" ht="15.75" customHeight="1">
      <c r="L963" s="39"/>
    </row>
    <row r="964" spans="12:12" ht="15.75" customHeight="1">
      <c r="L964" s="39"/>
    </row>
    <row r="965" spans="12:12" ht="15.75" customHeight="1">
      <c r="L965" s="39"/>
    </row>
    <row r="966" spans="12:12" ht="15.75" customHeight="1">
      <c r="L966" s="39"/>
    </row>
    <row r="967" spans="12:12" ht="15.75" customHeight="1">
      <c r="L967" s="39"/>
    </row>
    <row r="968" spans="12:12" ht="15.75" customHeight="1">
      <c r="L968" s="39"/>
    </row>
    <row r="969" spans="12:12" ht="15.75" customHeight="1">
      <c r="L969" s="39"/>
    </row>
    <row r="970" spans="12:12" ht="15.75" customHeight="1">
      <c r="L970" s="39"/>
    </row>
    <row r="971" spans="12:12" ht="15.75" customHeight="1">
      <c r="L971" s="39"/>
    </row>
    <row r="972" spans="12:12" ht="15.75" customHeight="1">
      <c r="L972" s="39"/>
    </row>
    <row r="973" spans="12:12" ht="15.75" customHeight="1">
      <c r="L973" s="39"/>
    </row>
    <row r="974" spans="12:12" ht="15.75" customHeight="1">
      <c r="L974" s="39"/>
    </row>
    <row r="975" spans="12:12" ht="15.75" customHeight="1">
      <c r="L975" s="39"/>
    </row>
    <row r="976" spans="12:12" ht="15.75" customHeight="1">
      <c r="L976" s="39"/>
    </row>
    <row r="977" spans="12:12" ht="15.75" customHeight="1">
      <c r="L977" s="39"/>
    </row>
    <row r="978" spans="12:12" ht="15.75" customHeight="1">
      <c r="L978" s="39"/>
    </row>
    <row r="979" spans="12:12" ht="15.75" customHeight="1">
      <c r="L979" s="39"/>
    </row>
    <row r="980" spans="12:12" ht="15.75" customHeight="1">
      <c r="L980" s="39"/>
    </row>
    <row r="981" spans="12:12" ht="15.75" customHeight="1">
      <c r="L981" s="39"/>
    </row>
    <row r="982" spans="12:12" ht="15.75" customHeight="1">
      <c r="L982" s="39"/>
    </row>
    <row r="983" spans="12:12" ht="15.75" customHeight="1">
      <c r="L983" s="39"/>
    </row>
    <row r="984" spans="12:12" ht="15.75" customHeight="1">
      <c r="L984" s="39"/>
    </row>
    <row r="985" spans="12:12" ht="15.75" customHeight="1">
      <c r="L985" s="39"/>
    </row>
    <row r="986" spans="12:12" ht="15.75" customHeight="1">
      <c r="L986" s="39"/>
    </row>
    <row r="987" spans="12:12" ht="15.75" customHeight="1">
      <c r="L987" s="39"/>
    </row>
    <row r="988" spans="12:12" ht="15.75" customHeight="1">
      <c r="L988" s="39"/>
    </row>
    <row r="989" spans="12:12" ht="15.75" customHeight="1">
      <c r="L989" s="39"/>
    </row>
    <row r="990" spans="12:12" ht="15.75" customHeight="1">
      <c r="L990" s="39"/>
    </row>
    <row r="991" spans="12:12" ht="15.75" customHeight="1">
      <c r="L991" s="39"/>
    </row>
    <row r="992" spans="12:12" ht="15.75" customHeight="1">
      <c r="L992" s="39"/>
    </row>
    <row r="993" spans="12:12" ht="15.75" customHeight="1">
      <c r="L993" s="39"/>
    </row>
    <row r="994" spans="12:12" ht="15.75" customHeight="1">
      <c r="L994" s="39"/>
    </row>
    <row r="995" spans="12:12" ht="15.75" customHeight="1">
      <c r="L995" s="39"/>
    </row>
    <row r="996" spans="12:12" ht="15.75" customHeight="1">
      <c r="L996" s="39"/>
    </row>
    <row r="997" spans="12:12" ht="15.75" customHeight="1">
      <c r="L997" s="39"/>
    </row>
    <row r="998" spans="12:12" ht="15.75" customHeight="1">
      <c r="L998" s="39"/>
    </row>
    <row r="999" spans="12:12" ht="15.75" customHeight="1">
      <c r="L999" s="39"/>
    </row>
    <row r="1000" spans="12:12" ht="15.75" customHeight="1">
      <c r="L1000" s="39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Z1000"/>
  <sheetViews>
    <sheetView workbookViewId="0"/>
  </sheetViews>
  <sheetFormatPr defaultColWidth="14.44140625" defaultRowHeight="15" customHeight="1"/>
  <cols>
    <col min="1" max="1" width="4.109375" customWidth="1"/>
    <col min="2" max="2" width="8.88671875" customWidth="1"/>
    <col min="3" max="3" width="13.5546875" customWidth="1"/>
    <col min="4" max="4" width="6.5546875" customWidth="1"/>
    <col min="5" max="5" width="10.44140625" customWidth="1"/>
    <col min="6" max="7" width="14.109375" customWidth="1"/>
    <col min="8" max="8" width="24.33203125" customWidth="1"/>
    <col min="9" max="9" width="23.33203125" customWidth="1"/>
    <col min="10" max="10" width="19.88671875" customWidth="1"/>
    <col min="11" max="11" width="11.109375" customWidth="1"/>
    <col min="12" max="12" width="15.6640625" customWidth="1"/>
    <col min="13" max="13" width="30.33203125" customWidth="1"/>
    <col min="14" max="14" width="17.33203125" customWidth="1"/>
    <col min="15" max="15" width="13.5546875" customWidth="1"/>
    <col min="16" max="16" width="13.109375" customWidth="1"/>
    <col min="17" max="26" width="8.6640625" customWidth="1"/>
  </cols>
  <sheetData>
    <row r="1" spans="1:26" ht="23.25" customHeight="1">
      <c r="A1" s="1" t="s">
        <v>0</v>
      </c>
      <c r="B1" s="2" t="s">
        <v>1</v>
      </c>
      <c r="C1" s="2" t="s">
        <v>2</v>
      </c>
      <c r="D1" s="2">
        <v>2010</v>
      </c>
      <c r="E1" s="3">
        <v>2011</v>
      </c>
      <c r="F1" s="4" t="s">
        <v>3</v>
      </c>
      <c r="G1" s="4" t="s">
        <v>199</v>
      </c>
      <c r="H1" s="2" t="s">
        <v>5</v>
      </c>
      <c r="I1" s="1" t="s">
        <v>6</v>
      </c>
      <c r="J1" s="1"/>
      <c r="K1" s="3" t="s">
        <v>7</v>
      </c>
      <c r="L1" s="3" t="s">
        <v>8</v>
      </c>
      <c r="M1" s="3" t="s">
        <v>9</v>
      </c>
      <c r="N1" s="3" t="s">
        <v>10</v>
      </c>
      <c r="O1" s="5" t="s">
        <v>11</v>
      </c>
      <c r="P1" s="6" t="s">
        <v>12</v>
      </c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ht="14.4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1">
        <v>40316</v>
      </c>
      <c r="G2" s="11">
        <v>40229</v>
      </c>
      <c r="H2" s="9" t="s">
        <v>15</v>
      </c>
      <c r="I2" s="12" t="s">
        <v>16</v>
      </c>
      <c r="J2" s="12" t="s">
        <v>17</v>
      </c>
      <c r="K2" s="13">
        <v>502534510</v>
      </c>
      <c r="L2" s="10" t="s">
        <v>18</v>
      </c>
      <c r="M2" s="8" t="s">
        <v>19</v>
      </c>
      <c r="N2" s="10" t="s">
        <v>20</v>
      </c>
      <c r="O2" s="14">
        <v>2</v>
      </c>
      <c r="P2" s="40" t="s">
        <v>200</v>
      </c>
    </row>
    <row r="3" spans="1:26" ht="11.25" customHeight="1">
      <c r="A3" s="8">
        <v>2</v>
      </c>
      <c r="B3" s="9" t="s">
        <v>21</v>
      </c>
      <c r="C3" s="9" t="s">
        <v>22</v>
      </c>
      <c r="D3" s="10">
        <v>120</v>
      </c>
      <c r="E3" s="10">
        <v>120</v>
      </c>
      <c r="F3" s="11">
        <v>40316</v>
      </c>
      <c r="G3" s="11">
        <v>40229</v>
      </c>
      <c r="H3" s="9" t="s">
        <v>23</v>
      </c>
      <c r="I3" s="12" t="s">
        <v>24</v>
      </c>
      <c r="J3" s="12" t="s">
        <v>25</v>
      </c>
      <c r="K3" s="15">
        <v>605230859</v>
      </c>
      <c r="L3" s="8" t="s">
        <v>26</v>
      </c>
      <c r="M3" s="8" t="s">
        <v>27</v>
      </c>
      <c r="N3" s="10" t="s">
        <v>28</v>
      </c>
      <c r="O3" s="14">
        <v>3</v>
      </c>
      <c r="P3" s="40" t="s">
        <v>200</v>
      </c>
    </row>
    <row r="4" spans="1:26" ht="12.75" customHeight="1">
      <c r="A4" s="8">
        <v>3</v>
      </c>
      <c r="B4" s="9" t="s">
        <v>13</v>
      </c>
      <c r="C4" s="9" t="s">
        <v>29</v>
      </c>
      <c r="D4" s="10">
        <v>120</v>
      </c>
      <c r="E4" s="10">
        <v>120</v>
      </c>
      <c r="F4" s="11">
        <v>40316</v>
      </c>
      <c r="G4" s="11">
        <v>40229</v>
      </c>
      <c r="H4" s="9" t="s">
        <v>23</v>
      </c>
      <c r="I4" s="12" t="s">
        <v>30</v>
      </c>
      <c r="J4" s="12" t="s">
        <v>31</v>
      </c>
      <c r="K4" s="13">
        <v>791300469</v>
      </c>
      <c r="L4" s="10" t="s">
        <v>32</v>
      </c>
      <c r="M4" s="8" t="s">
        <v>33</v>
      </c>
      <c r="N4" s="10" t="s">
        <v>34</v>
      </c>
      <c r="O4" s="14">
        <v>25</v>
      </c>
      <c r="P4" s="40" t="s">
        <v>200</v>
      </c>
    </row>
    <row r="5" spans="1:26" ht="11.25" customHeight="1">
      <c r="A5" s="8">
        <v>4</v>
      </c>
      <c r="B5" s="9" t="s">
        <v>35</v>
      </c>
      <c r="C5" s="9" t="s">
        <v>36</v>
      </c>
      <c r="D5" s="10">
        <v>120</v>
      </c>
      <c r="E5" s="10">
        <v>120</v>
      </c>
      <c r="F5" s="11">
        <v>40316</v>
      </c>
      <c r="G5" s="11">
        <v>40229</v>
      </c>
      <c r="H5" s="9" t="s">
        <v>23</v>
      </c>
      <c r="I5" s="12" t="s">
        <v>37</v>
      </c>
      <c r="J5" s="12" t="s">
        <v>38</v>
      </c>
      <c r="K5" s="13">
        <v>608666164</v>
      </c>
      <c r="L5" s="10" t="s">
        <v>39</v>
      </c>
      <c r="M5" s="8" t="s">
        <v>40</v>
      </c>
      <c r="N5" s="10" t="s">
        <v>41</v>
      </c>
      <c r="O5" s="14">
        <v>4</v>
      </c>
      <c r="P5" s="40" t="s">
        <v>200</v>
      </c>
    </row>
    <row r="6" spans="1:26" ht="12.75" customHeight="1">
      <c r="A6" s="8">
        <v>5</v>
      </c>
      <c r="B6" s="9" t="s">
        <v>42</v>
      </c>
      <c r="C6" s="9" t="s">
        <v>36</v>
      </c>
      <c r="D6" s="10">
        <v>120</v>
      </c>
      <c r="E6" s="10">
        <v>120</v>
      </c>
      <c r="F6" s="11">
        <v>40316</v>
      </c>
      <c r="G6" s="11">
        <v>40229</v>
      </c>
      <c r="H6" s="9" t="s">
        <v>136</v>
      </c>
      <c r="I6" s="12" t="s">
        <v>44</v>
      </c>
      <c r="J6" s="12" t="s">
        <v>45</v>
      </c>
      <c r="K6" s="15">
        <v>608666170</v>
      </c>
      <c r="L6" s="8" t="s">
        <v>46</v>
      </c>
      <c r="M6" s="8" t="s">
        <v>47</v>
      </c>
      <c r="N6" s="10" t="s">
        <v>32</v>
      </c>
      <c r="O6" s="14">
        <v>6</v>
      </c>
      <c r="P6" s="40" t="s">
        <v>200</v>
      </c>
    </row>
    <row r="7" spans="1:26" ht="12" customHeight="1">
      <c r="A7" s="8">
        <v>6</v>
      </c>
      <c r="B7" s="9" t="s">
        <v>48</v>
      </c>
      <c r="C7" s="9" t="s">
        <v>49</v>
      </c>
      <c r="D7" s="10">
        <v>120</v>
      </c>
      <c r="E7" s="10">
        <v>120</v>
      </c>
      <c r="F7" s="11">
        <v>40316</v>
      </c>
      <c r="G7" s="11">
        <v>40229</v>
      </c>
      <c r="H7" s="9" t="s">
        <v>50</v>
      </c>
      <c r="I7" s="12" t="s">
        <v>51</v>
      </c>
      <c r="J7" s="12" t="s">
        <v>52</v>
      </c>
      <c r="K7" s="13">
        <v>601997864</v>
      </c>
      <c r="L7" s="10" t="s">
        <v>32</v>
      </c>
      <c r="M7" s="10" t="s">
        <v>53</v>
      </c>
      <c r="N7" s="10" t="s">
        <v>54</v>
      </c>
      <c r="O7" s="14">
        <v>33</v>
      </c>
      <c r="P7" s="16"/>
    </row>
    <row r="8" spans="1:26" ht="10.5" customHeight="1">
      <c r="A8" s="8">
        <v>7</v>
      </c>
      <c r="B8" s="9" t="s">
        <v>55</v>
      </c>
      <c r="C8" s="9" t="s">
        <v>56</v>
      </c>
      <c r="D8" s="10">
        <v>60</v>
      </c>
      <c r="E8" s="10">
        <v>60</v>
      </c>
      <c r="F8" s="11">
        <v>40316</v>
      </c>
      <c r="G8" s="11">
        <v>40229</v>
      </c>
      <c r="H8" s="17" t="s">
        <v>57</v>
      </c>
      <c r="I8" s="12" t="s">
        <v>58</v>
      </c>
      <c r="J8" s="12" t="s">
        <v>59</v>
      </c>
      <c r="K8" s="13">
        <v>508373904</v>
      </c>
      <c r="L8" s="10" t="s">
        <v>60</v>
      </c>
      <c r="M8" s="18" t="s">
        <v>61</v>
      </c>
      <c r="N8" s="10" t="s">
        <v>62</v>
      </c>
      <c r="O8" s="14">
        <v>19</v>
      </c>
      <c r="P8" s="16"/>
    </row>
    <row r="9" spans="1:26" ht="12.75" customHeight="1">
      <c r="A9" s="8">
        <v>8</v>
      </c>
      <c r="B9" s="9" t="s">
        <v>55</v>
      </c>
      <c r="C9" s="9" t="s">
        <v>63</v>
      </c>
      <c r="D9" s="10">
        <v>120</v>
      </c>
      <c r="E9" s="10">
        <v>120</v>
      </c>
      <c r="F9" s="11">
        <v>40316</v>
      </c>
      <c r="G9" s="19">
        <v>40229</v>
      </c>
      <c r="H9" s="20" t="s">
        <v>64</v>
      </c>
      <c r="I9" s="21" t="s">
        <v>65</v>
      </c>
      <c r="J9" s="18" t="s">
        <v>66</v>
      </c>
      <c r="K9" s="15">
        <v>600118375</v>
      </c>
      <c r="L9" s="8" t="s">
        <v>67</v>
      </c>
      <c r="M9" s="22" t="s">
        <v>68</v>
      </c>
      <c r="N9" s="10" t="s">
        <v>32</v>
      </c>
      <c r="O9" s="14">
        <v>8</v>
      </c>
      <c r="P9" s="16"/>
    </row>
    <row r="10" spans="1:26" ht="12" customHeight="1">
      <c r="A10" s="8">
        <v>9</v>
      </c>
      <c r="B10" s="9" t="s">
        <v>42</v>
      </c>
      <c r="C10" s="9" t="s">
        <v>69</v>
      </c>
      <c r="D10" s="10">
        <v>120</v>
      </c>
      <c r="E10" s="10">
        <v>120</v>
      </c>
      <c r="F10" s="11">
        <v>40316</v>
      </c>
      <c r="G10" s="11">
        <v>40229</v>
      </c>
      <c r="H10" s="23" t="s">
        <v>70</v>
      </c>
      <c r="I10" s="8" t="s">
        <v>71</v>
      </c>
      <c r="J10" s="24" t="s">
        <v>72</v>
      </c>
      <c r="K10" s="13">
        <v>603628256</v>
      </c>
      <c r="L10" s="10" t="s">
        <v>73</v>
      </c>
      <c r="M10" s="10" t="s">
        <v>74</v>
      </c>
      <c r="N10" s="10" t="s">
        <v>75</v>
      </c>
      <c r="O10" s="14">
        <v>7</v>
      </c>
      <c r="P10" s="40" t="s">
        <v>200</v>
      </c>
    </row>
    <row r="11" spans="1:26" ht="12.75" customHeight="1">
      <c r="A11" s="8">
        <v>10</v>
      </c>
      <c r="B11" s="9" t="s">
        <v>76</v>
      </c>
      <c r="C11" s="9" t="s">
        <v>77</v>
      </c>
      <c r="D11" s="10">
        <v>120</v>
      </c>
      <c r="E11" s="10">
        <v>120</v>
      </c>
      <c r="F11" s="11">
        <v>40316</v>
      </c>
      <c r="G11" s="11">
        <v>40229</v>
      </c>
      <c r="H11" s="9" t="s">
        <v>70</v>
      </c>
      <c r="I11" s="25" t="s">
        <v>78</v>
      </c>
      <c r="J11" s="12" t="s">
        <v>79</v>
      </c>
      <c r="K11" s="13">
        <v>604460697</v>
      </c>
      <c r="L11" s="10" t="s">
        <v>80</v>
      </c>
      <c r="M11" s="10" t="s">
        <v>81</v>
      </c>
      <c r="N11" s="10" t="s">
        <v>32</v>
      </c>
      <c r="O11" s="14">
        <v>28</v>
      </c>
      <c r="P11" s="16"/>
    </row>
    <row r="12" spans="1:26" ht="13.5" customHeight="1">
      <c r="A12" s="8">
        <v>11</v>
      </c>
      <c r="B12" s="9" t="s">
        <v>82</v>
      </c>
      <c r="C12" s="9" t="s">
        <v>83</v>
      </c>
      <c r="D12" s="10">
        <v>120</v>
      </c>
      <c r="E12" s="10">
        <v>120</v>
      </c>
      <c r="F12" s="11">
        <v>40316</v>
      </c>
      <c r="G12" s="11">
        <v>40229</v>
      </c>
      <c r="H12" s="9" t="s">
        <v>43</v>
      </c>
      <c r="I12" s="8" t="s">
        <v>84</v>
      </c>
      <c r="J12" s="12" t="s">
        <v>85</v>
      </c>
      <c r="K12" s="13">
        <v>668334422</v>
      </c>
      <c r="L12" s="10" t="s">
        <v>86</v>
      </c>
      <c r="M12" s="10" t="s">
        <v>87</v>
      </c>
      <c r="N12" s="10" t="s">
        <v>32</v>
      </c>
      <c r="O12" s="14">
        <v>16</v>
      </c>
      <c r="P12" s="16"/>
    </row>
    <row r="13" spans="1:26" ht="12.75" customHeight="1">
      <c r="A13" s="8">
        <v>12</v>
      </c>
      <c r="B13" s="9" t="s">
        <v>88</v>
      </c>
      <c r="C13" s="9" t="s">
        <v>89</v>
      </c>
      <c r="D13" s="10">
        <v>120</v>
      </c>
      <c r="E13" s="10">
        <v>120</v>
      </c>
      <c r="F13" s="11">
        <v>40316</v>
      </c>
      <c r="G13" s="11">
        <v>40229</v>
      </c>
      <c r="H13" s="9" t="s">
        <v>43</v>
      </c>
      <c r="I13" s="26" t="s">
        <v>90</v>
      </c>
      <c r="J13" s="10" t="s">
        <v>91</v>
      </c>
      <c r="K13" s="13">
        <v>500802469</v>
      </c>
      <c r="L13" s="10" t="s">
        <v>92</v>
      </c>
      <c r="M13" s="10" t="s">
        <v>93</v>
      </c>
      <c r="N13" s="10" t="s">
        <v>32</v>
      </c>
      <c r="O13" s="14">
        <v>10</v>
      </c>
      <c r="P13" s="16"/>
    </row>
    <row r="14" spans="1:26" ht="11.25" customHeight="1">
      <c r="A14" s="8">
        <v>13</v>
      </c>
      <c r="B14" s="9" t="s">
        <v>94</v>
      </c>
      <c r="C14" s="9" t="s">
        <v>95</v>
      </c>
      <c r="D14" s="10">
        <v>60</v>
      </c>
      <c r="E14" s="10">
        <v>60</v>
      </c>
      <c r="F14" s="11">
        <v>40316</v>
      </c>
      <c r="G14" s="11">
        <v>40229</v>
      </c>
      <c r="H14" s="9" t="s">
        <v>43</v>
      </c>
      <c r="I14" s="12" t="s">
        <v>96</v>
      </c>
      <c r="J14" s="24" t="s">
        <v>97</v>
      </c>
      <c r="K14" s="13">
        <v>514474608</v>
      </c>
      <c r="L14" s="10" t="s">
        <v>98</v>
      </c>
      <c r="M14" s="10" t="s">
        <v>99</v>
      </c>
      <c r="N14" s="10" t="s">
        <v>100</v>
      </c>
      <c r="O14" s="14">
        <v>9</v>
      </c>
      <c r="P14" s="40" t="s">
        <v>200</v>
      </c>
    </row>
    <row r="15" spans="1:26" ht="12.75" customHeight="1">
      <c r="A15" s="8">
        <v>14</v>
      </c>
      <c r="B15" s="9" t="s">
        <v>101</v>
      </c>
      <c r="C15" s="9" t="s">
        <v>102</v>
      </c>
      <c r="D15" s="10">
        <v>120</v>
      </c>
      <c r="E15" s="10">
        <v>120</v>
      </c>
      <c r="F15" s="11">
        <v>40316</v>
      </c>
      <c r="G15" s="11">
        <v>40229</v>
      </c>
      <c r="H15" s="9" t="s">
        <v>43</v>
      </c>
      <c r="I15" s="27" t="s">
        <v>103</v>
      </c>
      <c r="J15" s="12" t="s">
        <v>104</v>
      </c>
      <c r="K15" s="13">
        <v>501228703</v>
      </c>
      <c r="L15" s="10" t="s">
        <v>105</v>
      </c>
      <c r="M15" s="8" t="s">
        <v>106</v>
      </c>
      <c r="N15" s="10" t="s">
        <v>107</v>
      </c>
      <c r="O15" s="14">
        <v>21</v>
      </c>
      <c r="P15" s="16"/>
    </row>
    <row r="16" spans="1:26" ht="13.5" customHeight="1">
      <c r="A16" s="8">
        <v>15</v>
      </c>
      <c r="B16" s="9" t="s">
        <v>108</v>
      </c>
      <c r="C16" s="9" t="s">
        <v>109</v>
      </c>
      <c r="D16" s="10">
        <v>120</v>
      </c>
      <c r="E16" s="10">
        <v>120</v>
      </c>
      <c r="F16" s="11">
        <v>40316</v>
      </c>
      <c r="G16" s="11">
        <v>40229</v>
      </c>
      <c r="H16" s="9" t="s">
        <v>43</v>
      </c>
      <c r="I16" s="12" t="s">
        <v>111</v>
      </c>
      <c r="J16" s="12" t="s">
        <v>112</v>
      </c>
      <c r="K16" s="13">
        <v>721696982</v>
      </c>
      <c r="L16" s="10" t="s">
        <v>113</v>
      </c>
      <c r="M16" s="8" t="s">
        <v>114</v>
      </c>
      <c r="N16" s="10" t="s">
        <v>115</v>
      </c>
      <c r="O16" s="14">
        <v>26</v>
      </c>
      <c r="P16" s="16"/>
    </row>
    <row r="17" spans="1:26" ht="12.75" customHeight="1">
      <c r="A17" s="8">
        <v>16</v>
      </c>
      <c r="B17" s="9" t="s">
        <v>48</v>
      </c>
      <c r="C17" s="9" t="s">
        <v>116</v>
      </c>
      <c r="D17" s="10">
        <v>60</v>
      </c>
      <c r="E17" s="10">
        <v>0</v>
      </c>
      <c r="F17" s="11">
        <v>40316</v>
      </c>
      <c r="G17" s="11">
        <v>40229</v>
      </c>
      <c r="H17" s="9" t="s">
        <v>117</v>
      </c>
      <c r="I17" s="12" t="s">
        <v>118</v>
      </c>
      <c r="J17" s="12" t="s">
        <v>119</v>
      </c>
      <c r="K17" s="10" t="s">
        <v>120</v>
      </c>
      <c r="L17" s="10" t="s">
        <v>32</v>
      </c>
      <c r="M17" s="8" t="s">
        <v>121</v>
      </c>
      <c r="N17" s="10" t="s">
        <v>32</v>
      </c>
      <c r="O17" s="14">
        <v>34</v>
      </c>
      <c r="P17" s="10"/>
      <c r="Q17" s="29"/>
      <c r="R17" s="7"/>
      <c r="S17" s="7"/>
      <c r="T17" s="7"/>
      <c r="U17" s="7"/>
    </row>
    <row r="18" spans="1:26" ht="12.75" customHeight="1">
      <c r="A18" s="8">
        <v>17</v>
      </c>
      <c r="B18" s="30" t="s">
        <v>122</v>
      </c>
      <c r="C18" s="30" t="s">
        <v>123</v>
      </c>
      <c r="D18" s="31">
        <v>60</v>
      </c>
      <c r="E18" s="31">
        <v>0</v>
      </c>
      <c r="F18" s="32">
        <v>40316</v>
      </c>
      <c r="G18" s="32">
        <v>40229</v>
      </c>
      <c r="H18" s="9" t="s">
        <v>43</v>
      </c>
      <c r="I18" s="33" t="s">
        <v>124</v>
      </c>
      <c r="J18" s="33" t="s">
        <v>119</v>
      </c>
      <c r="K18" s="31" t="s">
        <v>125</v>
      </c>
      <c r="L18" s="31" t="s">
        <v>32</v>
      </c>
      <c r="M18" s="34" t="s">
        <v>126</v>
      </c>
      <c r="N18" s="31" t="s">
        <v>32</v>
      </c>
      <c r="O18" s="35">
        <v>29</v>
      </c>
      <c r="P18" s="31"/>
      <c r="Q18" s="29"/>
      <c r="R18" s="7"/>
      <c r="S18" s="7"/>
      <c r="T18" s="7"/>
      <c r="U18" s="7"/>
    </row>
    <row r="19" spans="1:26" ht="11.25" customHeight="1">
      <c r="A19" s="8">
        <v>18</v>
      </c>
      <c r="B19" s="9" t="s">
        <v>127</v>
      </c>
      <c r="C19" s="9" t="s">
        <v>128</v>
      </c>
      <c r="D19" s="10">
        <v>120</v>
      </c>
      <c r="E19" s="10">
        <v>0</v>
      </c>
      <c r="F19" s="11">
        <v>40316</v>
      </c>
      <c r="G19" s="11">
        <v>40229</v>
      </c>
      <c r="H19" s="9" t="s">
        <v>43</v>
      </c>
      <c r="I19" s="12" t="s">
        <v>129</v>
      </c>
      <c r="J19" s="12" t="s">
        <v>130</v>
      </c>
      <c r="K19" s="10" t="s">
        <v>131</v>
      </c>
      <c r="L19" s="10" t="s">
        <v>132</v>
      </c>
      <c r="M19" s="8" t="s">
        <v>133</v>
      </c>
      <c r="N19" s="10" t="s">
        <v>32</v>
      </c>
      <c r="O19" s="14">
        <v>31</v>
      </c>
      <c r="P19" s="10"/>
      <c r="Q19" s="16"/>
      <c r="R19" s="7"/>
      <c r="S19" s="7"/>
      <c r="T19" s="7"/>
      <c r="U19" s="7"/>
      <c r="V19" s="7"/>
      <c r="W19" s="7"/>
      <c r="X19" s="7"/>
      <c r="Y19" s="7"/>
      <c r="Z19" s="7"/>
    </row>
    <row r="20" spans="1:26" ht="11.25" customHeight="1">
      <c r="A20" s="8">
        <v>19</v>
      </c>
      <c r="B20" s="9" t="s">
        <v>134</v>
      </c>
      <c r="C20" s="9" t="s">
        <v>135</v>
      </c>
      <c r="D20" s="10">
        <v>120</v>
      </c>
      <c r="E20" s="10">
        <v>0</v>
      </c>
      <c r="F20" s="11">
        <v>40316</v>
      </c>
      <c r="G20" s="11">
        <v>40229</v>
      </c>
      <c r="H20" s="9" t="s">
        <v>136</v>
      </c>
      <c r="I20" s="12" t="s">
        <v>137</v>
      </c>
      <c r="J20" s="12" t="s">
        <v>138</v>
      </c>
      <c r="K20" s="10" t="s">
        <v>139</v>
      </c>
      <c r="L20" s="10" t="s">
        <v>32</v>
      </c>
      <c r="M20" s="10" t="s">
        <v>140</v>
      </c>
      <c r="N20" s="10" t="s">
        <v>32</v>
      </c>
      <c r="O20" s="14">
        <v>27</v>
      </c>
      <c r="P20" s="10"/>
      <c r="Q20" s="16"/>
      <c r="R20" s="7"/>
      <c r="S20" s="7"/>
      <c r="T20" s="7"/>
      <c r="U20" s="7"/>
      <c r="V20" s="7"/>
      <c r="W20" s="7"/>
      <c r="X20" s="7"/>
      <c r="Y20" s="7"/>
      <c r="Z20" s="7"/>
    </row>
    <row r="21" spans="1:26" ht="11.25" customHeight="1">
      <c r="A21" s="8">
        <v>20</v>
      </c>
      <c r="B21" s="9" t="s">
        <v>141</v>
      </c>
      <c r="C21" s="9" t="s">
        <v>142</v>
      </c>
      <c r="D21" s="10">
        <v>120</v>
      </c>
      <c r="E21" s="10">
        <v>120</v>
      </c>
      <c r="F21" s="11">
        <v>40316</v>
      </c>
      <c r="G21" s="11">
        <v>40229</v>
      </c>
      <c r="H21" s="9" t="s">
        <v>143</v>
      </c>
      <c r="I21" s="12" t="s">
        <v>144</v>
      </c>
      <c r="J21" s="12" t="s">
        <v>145</v>
      </c>
      <c r="K21" s="10" t="s">
        <v>146</v>
      </c>
      <c r="L21" s="10" t="s">
        <v>147</v>
      </c>
      <c r="M21" s="8" t="s">
        <v>148</v>
      </c>
      <c r="N21" s="10" t="s">
        <v>32</v>
      </c>
      <c r="O21" s="14">
        <v>11</v>
      </c>
      <c r="P21" s="10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1.25" customHeight="1">
      <c r="A22" s="8">
        <v>21</v>
      </c>
      <c r="B22" s="9" t="s">
        <v>48</v>
      </c>
      <c r="C22" s="9" t="s">
        <v>149</v>
      </c>
      <c r="D22" s="10">
        <v>120</v>
      </c>
      <c r="E22" s="10">
        <v>120</v>
      </c>
      <c r="F22" s="11">
        <v>40316</v>
      </c>
      <c r="G22" s="11">
        <v>40229</v>
      </c>
      <c r="H22" s="9" t="s">
        <v>150</v>
      </c>
      <c r="I22" s="12" t="s">
        <v>151</v>
      </c>
      <c r="J22" s="12" t="s">
        <v>152</v>
      </c>
      <c r="K22" s="10" t="s">
        <v>153</v>
      </c>
      <c r="L22" s="10" t="s">
        <v>154</v>
      </c>
      <c r="M22" s="8" t="s">
        <v>155</v>
      </c>
      <c r="N22" s="10" t="s">
        <v>156</v>
      </c>
      <c r="O22" s="14">
        <v>24</v>
      </c>
      <c r="P22" s="10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1.25" customHeight="1">
      <c r="A23" s="8">
        <v>22</v>
      </c>
      <c r="B23" s="9" t="s">
        <v>127</v>
      </c>
      <c r="C23" s="9" t="s">
        <v>157</v>
      </c>
      <c r="D23" s="10">
        <v>120</v>
      </c>
      <c r="E23" s="10">
        <v>120</v>
      </c>
      <c r="F23" s="11">
        <v>40316</v>
      </c>
      <c r="G23" s="11">
        <v>40229</v>
      </c>
      <c r="H23" s="9" t="s">
        <v>70</v>
      </c>
      <c r="I23" s="12" t="s">
        <v>158</v>
      </c>
      <c r="J23" s="12" t="s">
        <v>159</v>
      </c>
      <c r="K23" s="10" t="s">
        <v>160</v>
      </c>
      <c r="L23" s="10" t="s">
        <v>161</v>
      </c>
      <c r="M23" s="8" t="s">
        <v>162</v>
      </c>
      <c r="N23" s="10" t="s">
        <v>163</v>
      </c>
      <c r="O23" s="14">
        <v>23</v>
      </c>
      <c r="P23" s="10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1.25" customHeight="1">
      <c r="A24" s="8">
        <v>23</v>
      </c>
      <c r="B24" s="9" t="s">
        <v>127</v>
      </c>
      <c r="C24" s="9" t="s">
        <v>164</v>
      </c>
      <c r="D24" s="10">
        <v>60</v>
      </c>
      <c r="E24" s="10">
        <v>60</v>
      </c>
      <c r="F24" s="11">
        <v>40316</v>
      </c>
      <c r="G24" s="11">
        <v>40229</v>
      </c>
      <c r="H24" s="17" t="s">
        <v>43</v>
      </c>
      <c r="I24" s="12" t="s">
        <v>165</v>
      </c>
      <c r="J24" s="12" t="s">
        <v>159</v>
      </c>
      <c r="K24" s="10" t="s">
        <v>166</v>
      </c>
      <c r="L24" s="10" t="s">
        <v>167</v>
      </c>
      <c r="M24" s="8" t="s">
        <v>168</v>
      </c>
      <c r="N24" s="10" t="s">
        <v>32</v>
      </c>
      <c r="O24" s="14">
        <v>32</v>
      </c>
      <c r="P24" s="10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2.75" customHeight="1">
      <c r="A25" s="8">
        <v>24</v>
      </c>
      <c r="B25" s="9" t="s">
        <v>141</v>
      </c>
      <c r="C25" s="9" t="s">
        <v>169</v>
      </c>
      <c r="D25" s="10">
        <v>30</v>
      </c>
      <c r="E25" s="10">
        <v>120</v>
      </c>
      <c r="F25" s="11">
        <v>40459</v>
      </c>
      <c r="G25" s="19">
        <v>40460</v>
      </c>
      <c r="H25" s="28" t="s">
        <v>110</v>
      </c>
      <c r="I25" s="36" t="s">
        <v>171</v>
      </c>
      <c r="J25" s="12" t="s">
        <v>172</v>
      </c>
      <c r="K25" s="13">
        <v>793406015</v>
      </c>
      <c r="L25" s="10" t="s">
        <v>173</v>
      </c>
      <c r="M25" s="8" t="s">
        <v>174</v>
      </c>
      <c r="N25" s="10" t="s">
        <v>32</v>
      </c>
      <c r="O25" s="14">
        <v>5</v>
      </c>
      <c r="P25" s="16"/>
      <c r="U25" s="7"/>
      <c r="V25" s="7"/>
      <c r="W25" s="7"/>
      <c r="X25" s="7"/>
      <c r="Y25" s="7"/>
      <c r="Z25" s="7"/>
    </row>
    <row r="26" spans="1:26" ht="12.75" customHeight="1">
      <c r="A26" s="8">
        <v>25</v>
      </c>
      <c r="B26" s="9" t="s">
        <v>175</v>
      </c>
      <c r="C26" s="9" t="s">
        <v>176</v>
      </c>
      <c r="D26" s="10">
        <v>50</v>
      </c>
      <c r="E26" s="10">
        <v>120</v>
      </c>
      <c r="F26" s="11">
        <v>40460</v>
      </c>
      <c r="G26" s="11">
        <v>40460</v>
      </c>
      <c r="H26" s="23" t="s">
        <v>170</v>
      </c>
      <c r="I26" s="12" t="s">
        <v>177</v>
      </c>
      <c r="J26" s="12" t="s">
        <v>178</v>
      </c>
      <c r="K26" s="10">
        <v>15228759927</v>
      </c>
      <c r="L26" s="10" t="s">
        <v>179</v>
      </c>
      <c r="M26" s="8" t="s">
        <v>180</v>
      </c>
      <c r="N26" s="37" t="s">
        <v>181</v>
      </c>
      <c r="O26" s="14">
        <v>14</v>
      </c>
      <c r="P26" s="10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2.75" customHeight="1">
      <c r="A27" s="8">
        <v>26</v>
      </c>
      <c r="B27" s="9" t="s">
        <v>182</v>
      </c>
      <c r="C27" s="9" t="s">
        <v>183</v>
      </c>
      <c r="D27" s="10">
        <v>30</v>
      </c>
      <c r="E27" s="10">
        <v>0</v>
      </c>
      <c r="F27" s="11">
        <v>40460</v>
      </c>
      <c r="G27" s="11">
        <v>40460</v>
      </c>
      <c r="H27" s="23" t="s">
        <v>170</v>
      </c>
      <c r="I27" s="12" t="s">
        <v>184</v>
      </c>
      <c r="J27" s="12" t="s">
        <v>185</v>
      </c>
      <c r="K27" s="10" t="s">
        <v>186</v>
      </c>
      <c r="L27" s="10" t="s">
        <v>32</v>
      </c>
      <c r="M27" s="8" t="s">
        <v>187</v>
      </c>
      <c r="N27" s="10" t="s">
        <v>32</v>
      </c>
      <c r="O27" s="14">
        <v>35</v>
      </c>
      <c r="P27" s="10"/>
      <c r="Q27" s="16"/>
      <c r="R27" s="7"/>
      <c r="S27" s="7"/>
      <c r="T27" s="7"/>
      <c r="U27" s="7"/>
      <c r="V27" s="7"/>
      <c r="W27" s="7"/>
      <c r="X27" s="7"/>
      <c r="Y27" s="7"/>
      <c r="Z27" s="7"/>
    </row>
    <row r="28" spans="1:26" ht="12.75" customHeight="1">
      <c r="A28" s="8">
        <v>27</v>
      </c>
      <c r="B28" s="9" t="s">
        <v>188</v>
      </c>
      <c r="C28" s="9" t="s">
        <v>189</v>
      </c>
      <c r="D28" s="10">
        <v>30</v>
      </c>
      <c r="E28" s="10">
        <v>90</v>
      </c>
      <c r="F28" s="11">
        <v>40460</v>
      </c>
      <c r="G28" s="11">
        <v>40466</v>
      </c>
      <c r="H28" s="9" t="s">
        <v>170</v>
      </c>
      <c r="I28" s="12" t="s">
        <v>190</v>
      </c>
      <c r="J28" s="12" t="s">
        <v>191</v>
      </c>
      <c r="K28" s="10" t="s">
        <v>192</v>
      </c>
      <c r="L28" s="10" t="s">
        <v>32</v>
      </c>
      <c r="M28" s="8" t="s">
        <v>193</v>
      </c>
      <c r="N28" s="10" t="s">
        <v>32</v>
      </c>
      <c r="O28" s="14">
        <v>36</v>
      </c>
      <c r="P28" s="10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2.75" customHeight="1">
      <c r="A29" s="8">
        <v>28</v>
      </c>
      <c r="B29" s="9" t="s">
        <v>194</v>
      </c>
      <c r="C29" s="9" t="s">
        <v>195</v>
      </c>
      <c r="D29" s="10">
        <v>120</v>
      </c>
      <c r="E29" s="10">
        <v>120</v>
      </c>
      <c r="F29" s="11">
        <v>40460</v>
      </c>
      <c r="G29" s="11">
        <v>40468</v>
      </c>
      <c r="H29" s="9" t="s">
        <v>170</v>
      </c>
      <c r="I29" s="12" t="s">
        <v>196</v>
      </c>
      <c r="J29" s="12" t="s">
        <v>191</v>
      </c>
      <c r="K29" s="13">
        <v>508916020</v>
      </c>
      <c r="L29" s="10" t="s">
        <v>32</v>
      </c>
      <c r="M29" s="8" t="s">
        <v>197</v>
      </c>
      <c r="N29" s="10" t="s">
        <v>198</v>
      </c>
      <c r="O29" s="14">
        <v>15</v>
      </c>
      <c r="P29" s="16"/>
      <c r="U29" s="7"/>
      <c r="V29" s="7"/>
      <c r="W29" s="7"/>
      <c r="X29" s="7"/>
      <c r="Y29" s="7"/>
      <c r="Z29" s="7"/>
    </row>
    <row r="30" spans="1:26" ht="11.25" customHeight="1">
      <c r="A30" s="8">
        <v>29</v>
      </c>
      <c r="B30" s="9" t="s">
        <v>42</v>
      </c>
      <c r="C30" s="9" t="s">
        <v>201</v>
      </c>
      <c r="D30" s="41"/>
      <c r="E30" s="10">
        <v>120</v>
      </c>
      <c r="F30" s="42">
        <v>40543</v>
      </c>
      <c r="G30" s="11">
        <v>40546</v>
      </c>
      <c r="H30" s="9" t="s">
        <v>170</v>
      </c>
      <c r="I30" s="8" t="s">
        <v>202</v>
      </c>
      <c r="J30" s="12" t="s">
        <v>203</v>
      </c>
      <c r="K30" s="10" t="s">
        <v>204</v>
      </c>
      <c r="L30" s="10" t="s">
        <v>205</v>
      </c>
      <c r="M30" s="43" t="s">
        <v>206</v>
      </c>
      <c r="N30" s="10">
        <v>226515367</v>
      </c>
      <c r="O30" s="14">
        <v>20</v>
      </c>
      <c r="P30" s="10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1.25" customHeight="1">
      <c r="A31" s="8">
        <v>30</v>
      </c>
      <c r="B31" s="9" t="s">
        <v>55</v>
      </c>
      <c r="C31" s="9" t="s">
        <v>207</v>
      </c>
      <c r="D31" s="41"/>
      <c r="E31" s="10">
        <v>120</v>
      </c>
      <c r="F31" s="11">
        <v>40460</v>
      </c>
      <c r="G31" s="11">
        <v>40630</v>
      </c>
      <c r="H31" s="9" t="s">
        <v>170</v>
      </c>
      <c r="I31" s="12" t="s">
        <v>208</v>
      </c>
      <c r="J31" s="12" t="s">
        <v>209</v>
      </c>
      <c r="K31" s="13">
        <v>601672777</v>
      </c>
      <c r="L31" s="10" t="s">
        <v>210</v>
      </c>
      <c r="M31" s="43" t="s">
        <v>211</v>
      </c>
      <c r="N31" s="10">
        <v>943404489</v>
      </c>
      <c r="O31" s="14">
        <v>37</v>
      </c>
      <c r="P31" s="16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1.25" customHeight="1">
      <c r="A32" s="8">
        <v>31</v>
      </c>
      <c r="B32" s="9" t="s">
        <v>212</v>
      </c>
      <c r="C32" s="9" t="s">
        <v>213</v>
      </c>
      <c r="D32" s="41"/>
      <c r="E32" s="10">
        <v>120</v>
      </c>
      <c r="F32" s="44">
        <v>40632</v>
      </c>
      <c r="G32" s="11">
        <v>40634</v>
      </c>
      <c r="H32" s="9" t="s">
        <v>170</v>
      </c>
      <c r="I32" s="12" t="s">
        <v>214</v>
      </c>
      <c r="J32" s="12" t="s">
        <v>215</v>
      </c>
      <c r="K32" s="10">
        <v>607980063</v>
      </c>
      <c r="L32" s="10"/>
      <c r="M32" s="8" t="s">
        <v>216</v>
      </c>
      <c r="N32" s="10"/>
      <c r="O32" s="14">
        <v>17</v>
      </c>
      <c r="P32" s="10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1.25" customHeight="1">
      <c r="A33" s="8">
        <v>32</v>
      </c>
      <c r="B33" s="9" t="s">
        <v>217</v>
      </c>
      <c r="C33" s="9" t="s">
        <v>218</v>
      </c>
      <c r="D33" s="41"/>
      <c r="E33" s="10">
        <v>60</v>
      </c>
      <c r="F33" s="44">
        <v>40638</v>
      </c>
      <c r="G33" s="11">
        <v>40644</v>
      </c>
      <c r="H33" s="9" t="s">
        <v>170</v>
      </c>
      <c r="I33" s="12" t="s">
        <v>219</v>
      </c>
      <c r="J33" s="12" t="s">
        <v>220</v>
      </c>
      <c r="K33" s="8">
        <v>514159328</v>
      </c>
      <c r="L33" s="8" t="s">
        <v>221</v>
      </c>
      <c r="M33" s="43" t="s">
        <v>222</v>
      </c>
      <c r="N33" s="10" t="s">
        <v>32</v>
      </c>
      <c r="O33" s="14">
        <v>18</v>
      </c>
      <c r="P33" s="10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1.25" customHeight="1">
      <c r="A34" s="8">
        <v>33</v>
      </c>
      <c r="B34" s="9" t="s">
        <v>188</v>
      </c>
      <c r="C34" s="9" t="s">
        <v>223</v>
      </c>
      <c r="D34" s="41"/>
      <c r="E34" s="10">
        <v>120</v>
      </c>
      <c r="F34" s="11">
        <v>40530</v>
      </c>
      <c r="G34" s="11">
        <v>40676</v>
      </c>
      <c r="H34" s="9" t="s">
        <v>170</v>
      </c>
      <c r="I34" s="8" t="s">
        <v>224</v>
      </c>
      <c r="J34" s="12" t="s">
        <v>225</v>
      </c>
      <c r="K34" s="13">
        <v>793258511</v>
      </c>
      <c r="L34" s="10" t="s">
        <v>226</v>
      </c>
      <c r="M34" s="45" t="s">
        <v>227</v>
      </c>
      <c r="N34" s="10">
        <v>413003499</v>
      </c>
      <c r="O34" s="14">
        <v>22</v>
      </c>
      <c r="P34" s="10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1.25" customHeight="1">
      <c r="A35" s="8">
        <v>34</v>
      </c>
      <c r="B35" s="9" t="s">
        <v>228</v>
      </c>
      <c r="C35" s="9" t="s">
        <v>229</v>
      </c>
      <c r="D35" s="46"/>
      <c r="E35" s="10">
        <v>30</v>
      </c>
      <c r="F35" s="11">
        <v>40682</v>
      </c>
      <c r="G35" s="11">
        <v>40694</v>
      </c>
      <c r="H35" s="9" t="s">
        <v>170</v>
      </c>
      <c r="I35" s="8" t="s">
        <v>230</v>
      </c>
      <c r="J35" s="12" t="s">
        <v>231</v>
      </c>
      <c r="K35" s="10" t="s">
        <v>232</v>
      </c>
      <c r="L35" s="10"/>
      <c r="M35" s="45" t="s">
        <v>233</v>
      </c>
      <c r="N35" s="10"/>
      <c r="O35" s="14">
        <v>42</v>
      </c>
      <c r="P35" s="16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1.25" customHeight="1">
      <c r="A36" s="8">
        <v>35</v>
      </c>
      <c r="B36" s="9" t="s">
        <v>194</v>
      </c>
      <c r="C36" s="9" t="s">
        <v>234</v>
      </c>
      <c r="D36" s="46"/>
      <c r="E36" s="10">
        <v>30</v>
      </c>
      <c r="F36" s="11">
        <v>40698</v>
      </c>
      <c r="G36" s="11">
        <v>40707</v>
      </c>
      <c r="H36" s="9" t="s">
        <v>170</v>
      </c>
      <c r="I36" s="8" t="s">
        <v>235</v>
      </c>
      <c r="J36" s="12" t="s">
        <v>236</v>
      </c>
      <c r="K36" s="10" t="s">
        <v>237</v>
      </c>
      <c r="L36" s="10"/>
      <c r="M36" s="45" t="s">
        <v>238</v>
      </c>
      <c r="N36" s="10"/>
      <c r="O36" s="14">
        <v>45</v>
      </c>
      <c r="P36" s="16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1.25" customHeight="1">
      <c r="A37" s="8">
        <v>36</v>
      </c>
      <c r="B37" s="9" t="s">
        <v>239</v>
      </c>
      <c r="C37" s="9" t="s">
        <v>240</v>
      </c>
      <c r="D37" s="46"/>
      <c r="E37" s="10">
        <v>80</v>
      </c>
      <c r="F37" s="44">
        <v>40698</v>
      </c>
      <c r="G37" s="11">
        <v>40725</v>
      </c>
      <c r="H37" s="9" t="s">
        <v>170</v>
      </c>
      <c r="I37" s="8" t="s">
        <v>241</v>
      </c>
      <c r="J37" s="12" t="s">
        <v>242</v>
      </c>
      <c r="K37" s="10" t="s">
        <v>243</v>
      </c>
      <c r="L37" s="10" t="s">
        <v>244</v>
      </c>
      <c r="M37" s="45" t="s">
        <v>245</v>
      </c>
      <c r="N37" s="10"/>
      <c r="O37" s="14">
        <v>46</v>
      </c>
      <c r="P37" s="10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1.25" customHeight="1">
      <c r="A38" s="8">
        <v>37</v>
      </c>
      <c r="B38" s="9" t="s">
        <v>188</v>
      </c>
      <c r="C38" s="9" t="s">
        <v>246</v>
      </c>
      <c r="D38" s="46"/>
      <c r="E38" s="10">
        <v>70</v>
      </c>
      <c r="F38" s="11">
        <v>40737</v>
      </c>
      <c r="G38" s="11">
        <v>40731</v>
      </c>
      <c r="H38" s="9" t="s">
        <v>170</v>
      </c>
      <c r="I38" s="8" t="s">
        <v>247</v>
      </c>
      <c r="J38" s="12" t="s">
        <v>248</v>
      </c>
      <c r="K38" s="10" t="s">
        <v>249</v>
      </c>
      <c r="L38" s="10"/>
      <c r="M38" s="45" t="s">
        <v>250</v>
      </c>
      <c r="N38" s="10"/>
      <c r="O38" s="14">
        <v>43</v>
      </c>
      <c r="P38" s="16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1.25" customHeight="1">
      <c r="A39" s="8">
        <v>38</v>
      </c>
      <c r="B39" s="9" t="s">
        <v>251</v>
      </c>
      <c r="C39" s="9" t="s">
        <v>252</v>
      </c>
      <c r="D39" s="46"/>
      <c r="E39" s="10">
        <v>30</v>
      </c>
      <c r="F39" s="11">
        <v>40695</v>
      </c>
      <c r="G39" s="11">
        <v>40767</v>
      </c>
      <c r="H39" s="9" t="s">
        <v>170</v>
      </c>
      <c r="I39" s="8" t="s">
        <v>253</v>
      </c>
      <c r="J39" s="12" t="s">
        <v>254</v>
      </c>
      <c r="K39" s="10" t="s">
        <v>255</v>
      </c>
      <c r="L39" s="10"/>
      <c r="M39" s="45" t="s">
        <v>256</v>
      </c>
      <c r="N39" s="10"/>
      <c r="O39" s="14">
        <v>54</v>
      </c>
      <c r="P39" s="16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1.25" customHeight="1">
      <c r="A40" s="8">
        <v>39</v>
      </c>
      <c r="B40" s="9" t="s">
        <v>251</v>
      </c>
      <c r="C40" s="9" t="s">
        <v>257</v>
      </c>
      <c r="D40" s="46"/>
      <c r="E40" s="10">
        <v>30</v>
      </c>
      <c r="F40" s="11">
        <v>40708</v>
      </c>
      <c r="G40" s="11">
        <v>40767</v>
      </c>
      <c r="H40" s="9" t="s">
        <v>170</v>
      </c>
      <c r="I40" s="8" t="s">
        <v>258</v>
      </c>
      <c r="J40" s="12" t="s">
        <v>259</v>
      </c>
      <c r="K40" s="10" t="s">
        <v>260</v>
      </c>
      <c r="L40" s="10"/>
      <c r="M40" s="45" t="s">
        <v>261</v>
      </c>
      <c r="N40" s="10"/>
      <c r="O40" s="14">
        <v>55</v>
      </c>
      <c r="P40" s="40" t="s">
        <v>200</v>
      </c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1.25" customHeight="1">
      <c r="A41" s="8">
        <v>40</v>
      </c>
      <c r="B41" s="9" t="s">
        <v>262</v>
      </c>
      <c r="C41" s="9" t="s">
        <v>263</v>
      </c>
      <c r="D41" s="46"/>
      <c r="E41" s="10">
        <v>30</v>
      </c>
      <c r="F41" s="11">
        <v>40703</v>
      </c>
      <c r="G41" s="11">
        <v>40767</v>
      </c>
      <c r="H41" s="9" t="s">
        <v>170</v>
      </c>
      <c r="I41" s="8" t="s">
        <v>264</v>
      </c>
      <c r="J41" s="12" t="s">
        <v>265</v>
      </c>
      <c r="K41" s="10" t="s">
        <v>266</v>
      </c>
      <c r="L41" s="10"/>
      <c r="M41" s="45" t="s">
        <v>267</v>
      </c>
      <c r="N41" s="10">
        <v>856636855</v>
      </c>
      <c r="O41" s="14">
        <v>56</v>
      </c>
      <c r="P41" s="16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1.25" customHeight="1">
      <c r="A42" s="8">
        <v>41</v>
      </c>
      <c r="B42" s="9" t="s">
        <v>268</v>
      </c>
      <c r="C42" s="9" t="s">
        <v>269</v>
      </c>
      <c r="D42" s="46"/>
      <c r="E42" s="10">
        <v>30</v>
      </c>
      <c r="F42" s="11">
        <v>40709</v>
      </c>
      <c r="G42" s="11">
        <v>40767</v>
      </c>
      <c r="H42" s="9" t="s">
        <v>170</v>
      </c>
      <c r="I42" s="8" t="s">
        <v>270</v>
      </c>
      <c r="J42" s="12" t="s">
        <v>271</v>
      </c>
      <c r="K42" s="10" t="s">
        <v>272</v>
      </c>
      <c r="L42" s="10"/>
      <c r="M42" s="45" t="s">
        <v>273</v>
      </c>
      <c r="N42" s="10"/>
      <c r="O42" s="14">
        <v>57</v>
      </c>
      <c r="P42" s="16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1.25" customHeight="1">
      <c r="A43" s="8">
        <v>42</v>
      </c>
      <c r="B43" s="9" t="s">
        <v>21</v>
      </c>
      <c r="C43" s="9" t="s">
        <v>274</v>
      </c>
      <c r="D43" s="46"/>
      <c r="E43" s="10">
        <v>30</v>
      </c>
      <c r="F43" s="11">
        <v>40703</v>
      </c>
      <c r="G43" s="11">
        <v>40781</v>
      </c>
      <c r="H43" s="9" t="s">
        <v>170</v>
      </c>
      <c r="I43" s="8" t="s">
        <v>275</v>
      </c>
      <c r="J43" s="12" t="s">
        <v>276</v>
      </c>
      <c r="K43" s="10" t="s">
        <v>277</v>
      </c>
      <c r="L43" s="10"/>
      <c r="M43" s="45" t="s">
        <v>278</v>
      </c>
      <c r="N43" s="10"/>
      <c r="O43" s="14">
        <v>47</v>
      </c>
      <c r="P43" s="16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1.25" customHeight="1">
      <c r="A44" s="8">
        <v>43</v>
      </c>
      <c r="B44" s="9" t="s">
        <v>279</v>
      </c>
      <c r="C44" s="9" t="s">
        <v>280</v>
      </c>
      <c r="D44" s="46"/>
      <c r="E44" s="10">
        <v>30</v>
      </c>
      <c r="F44" s="11">
        <v>40704</v>
      </c>
      <c r="G44" s="11">
        <v>40781</v>
      </c>
      <c r="H44" s="9" t="s">
        <v>170</v>
      </c>
      <c r="I44" s="8" t="s">
        <v>281</v>
      </c>
      <c r="J44" s="12" t="s">
        <v>17</v>
      </c>
      <c r="K44" s="10" t="s">
        <v>282</v>
      </c>
      <c r="L44" s="10"/>
      <c r="M44" s="45" t="s">
        <v>283</v>
      </c>
      <c r="N44" s="10"/>
      <c r="O44" s="14">
        <v>48</v>
      </c>
      <c r="P44" s="16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1.25" customHeight="1">
      <c r="A45" s="8">
        <v>44</v>
      </c>
      <c r="B45" s="9" t="s">
        <v>13</v>
      </c>
      <c r="C45" s="9" t="s">
        <v>284</v>
      </c>
      <c r="D45" s="46"/>
      <c r="E45" s="10">
        <v>30</v>
      </c>
      <c r="F45" s="11">
        <v>40695</v>
      </c>
      <c r="G45" s="11">
        <v>40781</v>
      </c>
      <c r="H45" s="9" t="s">
        <v>170</v>
      </c>
      <c r="I45" s="47" t="s">
        <v>285</v>
      </c>
      <c r="J45" s="48" t="s">
        <v>276</v>
      </c>
      <c r="K45" s="26" t="s">
        <v>286</v>
      </c>
      <c r="L45" s="10"/>
      <c r="M45" s="49" t="s">
        <v>287</v>
      </c>
      <c r="N45" s="10"/>
      <c r="O45" s="14">
        <v>50</v>
      </c>
      <c r="P45" s="16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1.25" customHeight="1">
      <c r="A46" s="8">
        <v>45</v>
      </c>
      <c r="B46" s="9" t="s">
        <v>88</v>
      </c>
      <c r="C46" s="9" t="s">
        <v>288</v>
      </c>
      <c r="D46" s="46"/>
      <c r="E46" s="10">
        <v>30</v>
      </c>
      <c r="F46" s="44">
        <v>40704</v>
      </c>
      <c r="G46" s="11">
        <v>40781</v>
      </c>
      <c r="H46" s="9" t="s">
        <v>170</v>
      </c>
      <c r="I46" s="8" t="s">
        <v>289</v>
      </c>
      <c r="J46" s="12" t="s">
        <v>276</v>
      </c>
      <c r="K46" s="10">
        <v>600177401</v>
      </c>
      <c r="L46" s="10"/>
      <c r="M46" s="45"/>
      <c r="N46" s="10"/>
      <c r="O46" s="14">
        <v>40</v>
      </c>
      <c r="P46" s="10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2.75" customHeight="1">
      <c r="A47" s="8">
        <v>46</v>
      </c>
      <c r="B47" s="9" t="s">
        <v>290</v>
      </c>
      <c r="C47" s="9" t="s">
        <v>291</v>
      </c>
      <c r="D47" s="46"/>
      <c r="E47" s="10">
        <v>30</v>
      </c>
      <c r="F47" s="44">
        <v>40704</v>
      </c>
      <c r="G47" s="11">
        <v>40781</v>
      </c>
      <c r="H47" s="9" t="s">
        <v>170</v>
      </c>
      <c r="I47" s="8" t="s">
        <v>292</v>
      </c>
      <c r="J47" s="12" t="s">
        <v>293</v>
      </c>
      <c r="K47" s="10" t="s">
        <v>294</v>
      </c>
      <c r="L47" s="10"/>
      <c r="M47" s="45" t="s">
        <v>295</v>
      </c>
      <c r="N47" s="10"/>
      <c r="O47" s="14">
        <v>49</v>
      </c>
      <c r="P47" s="10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2.75" customHeight="1">
      <c r="A48" s="8">
        <v>47</v>
      </c>
      <c r="B48" s="9" t="s">
        <v>296</v>
      </c>
      <c r="C48" s="9" t="s">
        <v>297</v>
      </c>
      <c r="D48" s="46"/>
      <c r="E48" s="10">
        <v>30</v>
      </c>
      <c r="F48" s="44">
        <v>40703</v>
      </c>
      <c r="G48" s="11">
        <v>40781</v>
      </c>
      <c r="H48" s="9" t="s">
        <v>170</v>
      </c>
      <c r="I48" s="8" t="s">
        <v>298</v>
      </c>
      <c r="J48" s="12" t="s">
        <v>276</v>
      </c>
      <c r="K48" s="10" t="s">
        <v>299</v>
      </c>
      <c r="L48" s="10"/>
      <c r="M48" s="45"/>
      <c r="N48" s="10"/>
      <c r="O48" s="14">
        <v>51</v>
      </c>
      <c r="P48" s="10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2.75" customHeight="1">
      <c r="A49" s="8">
        <v>48</v>
      </c>
      <c r="B49" s="9" t="s">
        <v>300</v>
      </c>
      <c r="C49" s="9" t="s">
        <v>301</v>
      </c>
      <c r="D49" s="46"/>
      <c r="E49" s="10">
        <v>30</v>
      </c>
      <c r="F49" s="44">
        <v>40708</v>
      </c>
      <c r="G49" s="11">
        <v>40781</v>
      </c>
      <c r="H49" s="9" t="s">
        <v>170</v>
      </c>
      <c r="I49" s="8" t="s">
        <v>302</v>
      </c>
      <c r="J49" s="12" t="s">
        <v>276</v>
      </c>
      <c r="K49" s="10" t="s">
        <v>303</v>
      </c>
      <c r="L49" s="10"/>
      <c r="M49" s="45" t="s">
        <v>304</v>
      </c>
      <c r="N49" s="10"/>
      <c r="O49" s="14">
        <v>52</v>
      </c>
      <c r="P49" s="10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2.75" customHeight="1">
      <c r="A50" s="8">
        <v>49</v>
      </c>
      <c r="B50" s="9" t="s">
        <v>239</v>
      </c>
      <c r="C50" s="9" t="s">
        <v>305</v>
      </c>
      <c r="D50" s="46"/>
      <c r="E50" s="10">
        <v>30</v>
      </c>
      <c r="F50" s="44">
        <v>40748</v>
      </c>
      <c r="G50" s="11">
        <v>40788</v>
      </c>
      <c r="H50" s="9" t="s">
        <v>170</v>
      </c>
      <c r="I50" s="8" t="s">
        <v>306</v>
      </c>
      <c r="J50" s="12" t="s">
        <v>307</v>
      </c>
      <c r="K50" s="10">
        <v>511154621</v>
      </c>
      <c r="L50" s="10" t="s">
        <v>308</v>
      </c>
      <c r="M50" s="45" t="s">
        <v>309</v>
      </c>
      <c r="N50" s="10"/>
      <c r="O50" s="14">
        <v>60</v>
      </c>
      <c r="P50" s="10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2.75" customHeight="1">
      <c r="A51" s="8">
        <v>50</v>
      </c>
      <c r="B51" s="9" t="s">
        <v>122</v>
      </c>
      <c r="C51" s="9" t="s">
        <v>310</v>
      </c>
      <c r="D51" s="46"/>
      <c r="E51" s="10">
        <v>30</v>
      </c>
      <c r="F51" s="44">
        <v>40704</v>
      </c>
      <c r="G51" s="11">
        <v>40795</v>
      </c>
      <c r="H51" s="9" t="s">
        <v>170</v>
      </c>
      <c r="I51" s="8" t="s">
        <v>311</v>
      </c>
      <c r="J51" s="12" t="s">
        <v>312</v>
      </c>
      <c r="K51" s="10" t="s">
        <v>313</v>
      </c>
      <c r="L51" s="10"/>
      <c r="M51" s="45" t="s">
        <v>314</v>
      </c>
      <c r="N51" s="10"/>
      <c r="O51" s="14">
        <v>53</v>
      </c>
      <c r="P51" s="10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2.75" customHeight="1">
      <c r="A52" s="8">
        <v>51</v>
      </c>
      <c r="B52" s="9" t="s">
        <v>315</v>
      </c>
      <c r="C52" s="9" t="s">
        <v>316</v>
      </c>
      <c r="D52" s="46"/>
      <c r="E52" s="10">
        <v>40</v>
      </c>
      <c r="F52" s="11">
        <v>40812</v>
      </c>
      <c r="G52" s="11">
        <v>40812</v>
      </c>
      <c r="H52" s="9" t="s">
        <v>170</v>
      </c>
      <c r="I52" s="8" t="s">
        <v>317</v>
      </c>
      <c r="J52" s="12" t="s">
        <v>191</v>
      </c>
      <c r="K52" s="13">
        <v>886820739</v>
      </c>
      <c r="L52" s="10"/>
      <c r="M52" s="45" t="s">
        <v>318</v>
      </c>
      <c r="N52" s="10"/>
      <c r="O52" s="14">
        <v>63</v>
      </c>
      <c r="P52" s="16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2.75" customHeight="1">
      <c r="A53" s="8">
        <v>52</v>
      </c>
      <c r="B53" s="9" t="s">
        <v>35</v>
      </c>
      <c r="C53" s="9" t="s">
        <v>319</v>
      </c>
      <c r="D53" s="46"/>
      <c r="E53" s="10">
        <v>120</v>
      </c>
      <c r="F53" s="11">
        <v>40814</v>
      </c>
      <c r="G53" s="11">
        <v>40815</v>
      </c>
      <c r="H53" s="9" t="s">
        <v>170</v>
      </c>
      <c r="I53" s="8" t="s">
        <v>320</v>
      </c>
      <c r="J53" s="12" t="s">
        <v>321</v>
      </c>
      <c r="K53" s="10" t="s">
        <v>322</v>
      </c>
      <c r="L53" s="10" t="s">
        <v>323</v>
      </c>
      <c r="M53" s="45" t="s">
        <v>324</v>
      </c>
      <c r="N53" s="10"/>
      <c r="O53" s="14">
        <v>64</v>
      </c>
      <c r="P53" s="16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2.75" customHeight="1">
      <c r="A54" s="8">
        <v>53</v>
      </c>
      <c r="B54" s="9" t="s">
        <v>325</v>
      </c>
      <c r="C54" s="9" t="s">
        <v>326</v>
      </c>
      <c r="D54" s="46"/>
      <c r="E54" s="10">
        <v>40</v>
      </c>
      <c r="F54" s="11">
        <v>40800</v>
      </c>
      <c r="G54" s="11">
        <v>40834</v>
      </c>
      <c r="H54" s="9" t="s">
        <v>170</v>
      </c>
      <c r="I54" s="8" t="s">
        <v>327</v>
      </c>
      <c r="J54" s="12" t="s">
        <v>328</v>
      </c>
      <c r="K54" s="10" t="s">
        <v>329</v>
      </c>
      <c r="L54" s="10"/>
      <c r="M54" s="45" t="s">
        <v>330</v>
      </c>
      <c r="N54" s="10"/>
      <c r="O54" s="14">
        <v>41</v>
      </c>
      <c r="P54" s="40" t="s">
        <v>200</v>
      </c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2.75" customHeight="1">
      <c r="A55" s="8">
        <v>54</v>
      </c>
      <c r="B55" s="9" t="s">
        <v>217</v>
      </c>
      <c r="C55" s="9" t="s">
        <v>116</v>
      </c>
      <c r="D55" s="46"/>
      <c r="E55" s="10">
        <v>20</v>
      </c>
      <c r="F55" s="11">
        <v>40847</v>
      </c>
      <c r="G55" s="11" t="s">
        <v>331</v>
      </c>
      <c r="H55" s="9" t="s">
        <v>170</v>
      </c>
      <c r="I55" s="8" t="s">
        <v>332</v>
      </c>
      <c r="J55" s="12" t="s">
        <v>333</v>
      </c>
      <c r="K55" s="13">
        <v>504377500</v>
      </c>
      <c r="L55" s="10"/>
      <c r="M55" s="45" t="s">
        <v>334</v>
      </c>
      <c r="N55" s="10"/>
      <c r="O55" s="14">
        <v>61</v>
      </c>
      <c r="P55" s="16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5.75" customHeight="1"/>
    <row r="57" spans="1:26" ht="15.75" customHeight="1"/>
    <row r="58" spans="1:26" ht="15.75" customHeight="1"/>
    <row r="59" spans="1:26" ht="15.75" customHeight="1"/>
    <row r="60" spans="1:26" ht="15.75" customHeight="1"/>
    <row r="61" spans="1:26" ht="15.75" customHeight="1"/>
    <row r="62" spans="1:26" ht="15.75" customHeight="1"/>
    <row r="63" spans="1:26" ht="15.75" customHeight="1"/>
    <row r="64" spans="1:26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Z1000"/>
  <sheetViews>
    <sheetView workbookViewId="0"/>
  </sheetViews>
  <sheetFormatPr defaultColWidth="14.44140625" defaultRowHeight="15" customHeight="1"/>
  <cols>
    <col min="1" max="1" width="4.33203125" customWidth="1"/>
    <col min="2" max="2" width="8.88671875" customWidth="1"/>
    <col min="3" max="3" width="13" customWidth="1"/>
    <col min="4" max="4" width="7.88671875" customWidth="1"/>
    <col min="5" max="5" width="7.44140625" customWidth="1"/>
    <col min="6" max="6" width="11" customWidth="1"/>
    <col min="7" max="8" width="14.109375" customWidth="1"/>
    <col min="9" max="9" width="24.33203125" customWidth="1"/>
    <col min="10" max="10" width="33" customWidth="1"/>
    <col min="11" max="11" width="25.33203125" customWidth="1"/>
    <col min="12" max="12" width="12.44140625" customWidth="1"/>
    <col min="13" max="13" width="15.6640625" customWidth="1"/>
    <col min="14" max="14" width="30.33203125" customWidth="1"/>
    <col min="15" max="15" width="17.44140625" customWidth="1"/>
    <col min="16" max="16" width="13.6640625" customWidth="1"/>
    <col min="17" max="17" width="7.109375" customWidth="1"/>
    <col min="18" max="26" width="8.6640625" customWidth="1"/>
  </cols>
  <sheetData>
    <row r="1" spans="1:26" ht="23.25" customHeight="1">
      <c r="A1" s="1" t="s">
        <v>0</v>
      </c>
      <c r="B1" s="2" t="s">
        <v>1</v>
      </c>
      <c r="C1" s="2" t="s">
        <v>2</v>
      </c>
      <c r="D1" s="2">
        <v>2010</v>
      </c>
      <c r="E1" s="2">
        <v>2011</v>
      </c>
      <c r="F1" s="3">
        <v>2012</v>
      </c>
      <c r="G1" s="4" t="s">
        <v>3</v>
      </c>
      <c r="H1" s="4" t="s">
        <v>199</v>
      </c>
      <c r="I1" s="2" t="s">
        <v>5</v>
      </c>
      <c r="J1" s="1" t="s">
        <v>6</v>
      </c>
      <c r="K1" s="1"/>
      <c r="L1" s="3" t="s">
        <v>7</v>
      </c>
      <c r="M1" s="3" t="s">
        <v>8</v>
      </c>
      <c r="N1" s="3" t="s">
        <v>9</v>
      </c>
      <c r="O1" s="3" t="s">
        <v>10</v>
      </c>
      <c r="P1" s="5" t="s">
        <v>11</v>
      </c>
      <c r="Q1" s="6" t="s">
        <v>12</v>
      </c>
      <c r="R1" s="7"/>
      <c r="S1" s="7"/>
      <c r="T1" s="7"/>
      <c r="U1" s="7"/>
      <c r="V1" s="7"/>
      <c r="W1" s="7"/>
      <c r="X1" s="7"/>
      <c r="Y1" s="7"/>
      <c r="Z1" s="7"/>
    </row>
    <row r="2" spans="1:26" ht="14.4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0">
        <v>120</v>
      </c>
      <c r="G2" s="11">
        <v>40316</v>
      </c>
      <c r="H2" s="11">
        <v>40229</v>
      </c>
      <c r="I2" s="9" t="s">
        <v>15</v>
      </c>
      <c r="J2" s="12" t="s">
        <v>16</v>
      </c>
      <c r="K2" s="12" t="s">
        <v>17</v>
      </c>
      <c r="L2" s="13">
        <v>502534510</v>
      </c>
      <c r="M2" s="10" t="s">
        <v>18</v>
      </c>
      <c r="N2" s="8" t="s">
        <v>19</v>
      </c>
      <c r="O2" s="10" t="s">
        <v>20</v>
      </c>
      <c r="P2" s="14">
        <v>2</v>
      </c>
      <c r="Q2" s="10"/>
      <c r="R2" s="50"/>
      <c r="S2" s="50"/>
      <c r="T2" s="50"/>
      <c r="U2" s="50"/>
      <c r="V2" s="50"/>
      <c r="W2" s="50"/>
      <c r="X2" s="50"/>
      <c r="Y2" s="50"/>
      <c r="Z2" s="50"/>
    </row>
    <row r="3" spans="1:26" ht="11.25" customHeight="1">
      <c r="A3" s="8">
        <v>2</v>
      </c>
      <c r="B3" s="9" t="s">
        <v>21</v>
      </c>
      <c r="C3" s="9" t="s">
        <v>22</v>
      </c>
      <c r="D3" s="10">
        <v>120</v>
      </c>
      <c r="E3" s="10">
        <v>120</v>
      </c>
      <c r="F3" s="10">
        <v>120</v>
      </c>
      <c r="G3" s="11">
        <v>40316</v>
      </c>
      <c r="H3" s="11">
        <v>40229</v>
      </c>
      <c r="I3" s="9" t="s">
        <v>23</v>
      </c>
      <c r="J3" s="12" t="s">
        <v>24</v>
      </c>
      <c r="K3" s="12" t="s">
        <v>25</v>
      </c>
      <c r="L3" s="15">
        <v>605230859</v>
      </c>
      <c r="M3" s="8" t="s">
        <v>26</v>
      </c>
      <c r="N3" s="8" t="s">
        <v>27</v>
      </c>
      <c r="O3" s="10" t="s">
        <v>28</v>
      </c>
      <c r="P3" s="14">
        <v>3</v>
      </c>
      <c r="Q3" s="10"/>
      <c r="R3" s="50"/>
      <c r="S3" s="50"/>
      <c r="T3" s="50"/>
      <c r="U3" s="50"/>
      <c r="V3" s="50"/>
      <c r="W3" s="50"/>
      <c r="X3" s="50"/>
      <c r="Y3" s="50"/>
      <c r="Z3" s="50"/>
    </row>
    <row r="4" spans="1:26" ht="12.75" customHeight="1">
      <c r="A4" s="8">
        <v>3</v>
      </c>
      <c r="B4" s="9" t="s">
        <v>13</v>
      </c>
      <c r="C4" s="9" t="s">
        <v>29</v>
      </c>
      <c r="D4" s="10">
        <v>120</v>
      </c>
      <c r="E4" s="10">
        <v>120</v>
      </c>
      <c r="F4" s="10">
        <v>120</v>
      </c>
      <c r="G4" s="11">
        <v>40316</v>
      </c>
      <c r="H4" s="11">
        <v>40229</v>
      </c>
      <c r="I4" s="9" t="s">
        <v>43</v>
      </c>
      <c r="J4" s="12" t="s">
        <v>30</v>
      </c>
      <c r="K4" s="12" t="s">
        <v>31</v>
      </c>
      <c r="L4" s="13">
        <v>791300469</v>
      </c>
      <c r="M4" s="10" t="s">
        <v>32</v>
      </c>
      <c r="N4" s="8" t="s">
        <v>33</v>
      </c>
      <c r="O4" s="10" t="s">
        <v>34</v>
      </c>
      <c r="P4" s="14">
        <v>25</v>
      </c>
      <c r="Q4" s="10"/>
      <c r="R4" s="50"/>
      <c r="S4" s="50"/>
      <c r="T4" s="50"/>
      <c r="U4" s="50"/>
      <c r="V4" s="50"/>
      <c r="W4" s="50"/>
      <c r="X4" s="50"/>
      <c r="Y4" s="50"/>
      <c r="Z4" s="50"/>
    </row>
    <row r="5" spans="1:26" ht="11.25" customHeight="1">
      <c r="A5" s="8">
        <v>4</v>
      </c>
      <c r="B5" s="9" t="s">
        <v>35</v>
      </c>
      <c r="C5" s="9" t="s">
        <v>36</v>
      </c>
      <c r="D5" s="10">
        <v>120</v>
      </c>
      <c r="E5" s="10">
        <v>120</v>
      </c>
      <c r="F5" s="10">
        <v>120</v>
      </c>
      <c r="G5" s="11">
        <v>40316</v>
      </c>
      <c r="H5" s="11">
        <v>40229</v>
      </c>
      <c r="I5" s="9" t="s">
        <v>43</v>
      </c>
      <c r="J5" s="12" t="s">
        <v>37</v>
      </c>
      <c r="K5" s="12" t="s">
        <v>38</v>
      </c>
      <c r="L5" s="13">
        <v>608666164</v>
      </c>
      <c r="M5" s="10" t="s">
        <v>39</v>
      </c>
      <c r="N5" s="8" t="s">
        <v>40</v>
      </c>
      <c r="O5" s="10" t="s">
        <v>41</v>
      </c>
      <c r="P5" s="14">
        <v>4</v>
      </c>
      <c r="Q5" s="10"/>
      <c r="R5" s="50"/>
      <c r="S5" s="50"/>
      <c r="T5" s="50"/>
      <c r="U5" s="50"/>
      <c r="V5" s="50"/>
      <c r="W5" s="50"/>
      <c r="X5" s="50"/>
      <c r="Y5" s="50"/>
      <c r="Z5" s="50"/>
    </row>
    <row r="6" spans="1:26" ht="12.75" customHeight="1">
      <c r="A6" s="8">
        <v>5</v>
      </c>
      <c r="B6" s="9" t="s">
        <v>42</v>
      </c>
      <c r="C6" s="9" t="s">
        <v>36</v>
      </c>
      <c r="D6" s="10">
        <v>120</v>
      </c>
      <c r="E6" s="10">
        <v>120</v>
      </c>
      <c r="F6" s="10">
        <v>120</v>
      </c>
      <c r="G6" s="11">
        <v>40316</v>
      </c>
      <c r="H6" s="11">
        <v>40229</v>
      </c>
      <c r="I6" s="9" t="s">
        <v>136</v>
      </c>
      <c r="J6" s="12" t="s">
        <v>44</v>
      </c>
      <c r="K6" s="12" t="s">
        <v>45</v>
      </c>
      <c r="L6" s="15">
        <v>608666170</v>
      </c>
      <c r="M6" s="8" t="s">
        <v>46</v>
      </c>
      <c r="N6" s="8" t="s">
        <v>47</v>
      </c>
      <c r="O6" s="10" t="s">
        <v>32</v>
      </c>
      <c r="P6" s="14">
        <v>6</v>
      </c>
      <c r="Q6" s="10"/>
      <c r="R6" s="50"/>
      <c r="S6" s="50"/>
      <c r="T6" s="50"/>
      <c r="U6" s="50"/>
      <c r="V6" s="50"/>
      <c r="W6" s="50"/>
      <c r="X6" s="50"/>
      <c r="Y6" s="50"/>
      <c r="Z6" s="50"/>
    </row>
    <row r="7" spans="1:26" ht="12" customHeight="1">
      <c r="A7" s="8">
        <v>6</v>
      </c>
      <c r="B7" s="9" t="s">
        <v>48</v>
      </c>
      <c r="C7" s="9" t="s">
        <v>49</v>
      </c>
      <c r="D7" s="10">
        <v>120</v>
      </c>
      <c r="E7" s="10">
        <v>120</v>
      </c>
      <c r="F7" s="10">
        <v>120</v>
      </c>
      <c r="G7" s="11">
        <v>40316</v>
      </c>
      <c r="H7" s="11">
        <v>40229</v>
      </c>
      <c r="I7" s="9" t="s">
        <v>50</v>
      </c>
      <c r="J7" s="12" t="s">
        <v>51</v>
      </c>
      <c r="K7" s="12" t="s">
        <v>52</v>
      </c>
      <c r="L7" s="13">
        <v>601997864</v>
      </c>
      <c r="M7" s="10" t="s">
        <v>32</v>
      </c>
      <c r="N7" s="10" t="s">
        <v>53</v>
      </c>
      <c r="O7" s="10" t="s">
        <v>54</v>
      </c>
      <c r="P7" s="14">
        <v>33</v>
      </c>
      <c r="Q7" s="16"/>
      <c r="R7" s="50"/>
      <c r="S7" s="50"/>
      <c r="T7" s="50"/>
      <c r="U7" s="50"/>
      <c r="V7" s="50"/>
      <c r="W7" s="50"/>
      <c r="X7" s="50"/>
      <c r="Y7" s="50"/>
      <c r="Z7" s="50"/>
    </row>
    <row r="8" spans="1:26" ht="10.5" customHeight="1">
      <c r="A8" s="8">
        <v>7</v>
      </c>
      <c r="B8" s="9" t="s">
        <v>55</v>
      </c>
      <c r="C8" s="9" t="s">
        <v>56</v>
      </c>
      <c r="D8" s="10">
        <v>60</v>
      </c>
      <c r="E8" s="10">
        <v>60</v>
      </c>
      <c r="F8" s="10">
        <v>60</v>
      </c>
      <c r="G8" s="11">
        <v>40316</v>
      </c>
      <c r="H8" s="11">
        <v>40229</v>
      </c>
      <c r="I8" s="17" t="s">
        <v>57</v>
      </c>
      <c r="J8" s="12" t="s">
        <v>58</v>
      </c>
      <c r="K8" s="12" t="s">
        <v>59</v>
      </c>
      <c r="L8" s="13">
        <v>508373904</v>
      </c>
      <c r="M8" s="10" t="s">
        <v>60</v>
      </c>
      <c r="N8" s="8" t="s">
        <v>61</v>
      </c>
      <c r="O8" s="10" t="s">
        <v>62</v>
      </c>
      <c r="P8" s="14">
        <v>19</v>
      </c>
      <c r="Q8" s="16"/>
      <c r="R8" s="50"/>
      <c r="S8" s="50"/>
      <c r="T8" s="50"/>
      <c r="U8" s="50"/>
      <c r="V8" s="50"/>
      <c r="W8" s="50"/>
      <c r="X8" s="50"/>
      <c r="Y8" s="50"/>
      <c r="Z8" s="50"/>
    </row>
    <row r="9" spans="1:26" ht="12.75" customHeight="1">
      <c r="A9" s="8">
        <v>8</v>
      </c>
      <c r="B9" s="9" t="s">
        <v>55</v>
      </c>
      <c r="C9" s="9" t="s">
        <v>63</v>
      </c>
      <c r="D9" s="10">
        <v>120</v>
      </c>
      <c r="E9" s="10">
        <v>120</v>
      </c>
      <c r="F9" s="10">
        <v>120</v>
      </c>
      <c r="G9" s="11">
        <v>40316</v>
      </c>
      <c r="H9" s="19">
        <v>40229</v>
      </c>
      <c r="I9" s="51" t="s">
        <v>64</v>
      </c>
      <c r="J9" s="52" t="s">
        <v>65</v>
      </c>
      <c r="K9" s="8" t="s">
        <v>66</v>
      </c>
      <c r="L9" s="15">
        <v>600118375</v>
      </c>
      <c r="M9" s="8" t="s">
        <v>67</v>
      </c>
      <c r="N9" s="22" t="s">
        <v>68</v>
      </c>
      <c r="O9" s="10" t="s">
        <v>32</v>
      </c>
      <c r="P9" s="14">
        <v>8</v>
      </c>
      <c r="Q9" s="16"/>
      <c r="R9" s="50"/>
      <c r="S9" s="50"/>
      <c r="T9" s="50"/>
      <c r="U9" s="50"/>
      <c r="V9" s="50"/>
      <c r="W9" s="50"/>
      <c r="X9" s="50"/>
      <c r="Y9" s="50"/>
      <c r="Z9" s="50"/>
    </row>
    <row r="10" spans="1:26" ht="12" customHeight="1">
      <c r="A10" s="8">
        <v>9</v>
      </c>
      <c r="B10" s="9" t="s">
        <v>42</v>
      </c>
      <c r="C10" s="9" t="s">
        <v>69</v>
      </c>
      <c r="D10" s="10">
        <v>120</v>
      </c>
      <c r="E10" s="10">
        <v>120</v>
      </c>
      <c r="F10" s="10">
        <v>120</v>
      </c>
      <c r="G10" s="11">
        <v>40316</v>
      </c>
      <c r="H10" s="11">
        <v>40229</v>
      </c>
      <c r="I10" s="28" t="s">
        <v>110</v>
      </c>
      <c r="J10" s="8" t="s">
        <v>71</v>
      </c>
      <c r="K10" s="24" t="s">
        <v>72</v>
      </c>
      <c r="L10" s="13">
        <v>603628256</v>
      </c>
      <c r="M10" s="10" t="s">
        <v>73</v>
      </c>
      <c r="N10" s="10" t="s">
        <v>74</v>
      </c>
      <c r="O10" s="10" t="s">
        <v>75</v>
      </c>
      <c r="P10" s="14">
        <v>7</v>
      </c>
      <c r="Q10" s="10"/>
      <c r="R10" s="50"/>
      <c r="S10" s="50"/>
      <c r="T10" s="50"/>
      <c r="U10" s="50"/>
      <c r="V10" s="50"/>
      <c r="W10" s="50"/>
      <c r="X10" s="50"/>
      <c r="Y10" s="50"/>
      <c r="Z10" s="50"/>
    </row>
    <row r="11" spans="1:26" ht="12.75" customHeight="1">
      <c r="A11" s="8">
        <v>10</v>
      </c>
      <c r="B11" s="9" t="s">
        <v>76</v>
      </c>
      <c r="C11" s="9" t="s">
        <v>77</v>
      </c>
      <c r="D11" s="10">
        <v>120</v>
      </c>
      <c r="E11" s="10">
        <v>120</v>
      </c>
      <c r="F11" s="10">
        <v>120</v>
      </c>
      <c r="G11" s="11">
        <v>40316</v>
      </c>
      <c r="H11" s="11">
        <v>40229</v>
      </c>
      <c r="I11" s="9" t="s">
        <v>43</v>
      </c>
      <c r="J11" s="25" t="s">
        <v>78</v>
      </c>
      <c r="K11" s="12" t="s">
        <v>79</v>
      </c>
      <c r="L11" s="13">
        <v>604460697</v>
      </c>
      <c r="M11" s="10" t="s">
        <v>80</v>
      </c>
      <c r="N11" s="10" t="s">
        <v>81</v>
      </c>
      <c r="O11" s="10" t="s">
        <v>32</v>
      </c>
      <c r="P11" s="14">
        <v>28</v>
      </c>
      <c r="Q11" s="16"/>
      <c r="R11" s="50"/>
      <c r="S11" s="50"/>
      <c r="T11" s="50"/>
      <c r="U11" s="50"/>
      <c r="V11" s="50"/>
      <c r="W11" s="50"/>
      <c r="X11" s="50"/>
      <c r="Y11" s="50"/>
      <c r="Z11" s="50"/>
    </row>
    <row r="12" spans="1:26" ht="13.5" customHeight="1">
      <c r="A12" s="8">
        <v>11</v>
      </c>
      <c r="B12" s="9" t="s">
        <v>82</v>
      </c>
      <c r="C12" s="9" t="s">
        <v>83</v>
      </c>
      <c r="D12" s="10">
        <v>120</v>
      </c>
      <c r="E12" s="10">
        <v>120</v>
      </c>
      <c r="F12" s="10">
        <v>120</v>
      </c>
      <c r="G12" s="11">
        <v>40316</v>
      </c>
      <c r="H12" s="11">
        <v>40229</v>
      </c>
      <c r="I12" s="9" t="s">
        <v>43</v>
      </c>
      <c r="J12" s="8" t="s">
        <v>84</v>
      </c>
      <c r="K12" s="12" t="s">
        <v>85</v>
      </c>
      <c r="L12" s="13">
        <v>668334422</v>
      </c>
      <c r="M12" s="10" t="s">
        <v>86</v>
      </c>
      <c r="N12" s="10" t="s">
        <v>87</v>
      </c>
      <c r="O12" s="10" t="s">
        <v>32</v>
      </c>
      <c r="P12" s="14">
        <v>16</v>
      </c>
      <c r="Q12" s="16"/>
      <c r="R12" s="50"/>
      <c r="S12" s="50"/>
      <c r="T12" s="50"/>
      <c r="U12" s="50"/>
      <c r="V12" s="50"/>
      <c r="W12" s="50"/>
      <c r="X12" s="50"/>
      <c r="Y12" s="50"/>
      <c r="Z12" s="50"/>
    </row>
    <row r="13" spans="1:26" ht="12.75" customHeight="1">
      <c r="A13" s="8">
        <v>12</v>
      </c>
      <c r="B13" s="9" t="s">
        <v>88</v>
      </c>
      <c r="C13" s="9" t="s">
        <v>89</v>
      </c>
      <c r="D13" s="10">
        <v>120</v>
      </c>
      <c r="E13" s="10">
        <v>120</v>
      </c>
      <c r="F13" s="10">
        <v>120</v>
      </c>
      <c r="G13" s="11">
        <v>40316</v>
      </c>
      <c r="H13" s="11">
        <v>40229</v>
      </c>
      <c r="I13" s="9" t="s">
        <v>43</v>
      </c>
      <c r="J13" s="26" t="s">
        <v>90</v>
      </c>
      <c r="K13" s="10" t="s">
        <v>91</v>
      </c>
      <c r="L13" s="13">
        <v>500802469</v>
      </c>
      <c r="M13" s="10" t="s">
        <v>92</v>
      </c>
      <c r="N13" s="10" t="s">
        <v>93</v>
      </c>
      <c r="O13" s="10" t="s">
        <v>32</v>
      </c>
      <c r="P13" s="14">
        <v>10</v>
      </c>
      <c r="Q13" s="16"/>
      <c r="R13" s="50"/>
      <c r="S13" s="50"/>
      <c r="T13" s="50"/>
      <c r="U13" s="50"/>
      <c r="V13" s="50"/>
      <c r="W13" s="50"/>
      <c r="X13" s="50"/>
      <c r="Y13" s="50"/>
      <c r="Z13" s="50"/>
    </row>
    <row r="14" spans="1:26" ht="11.25" customHeight="1">
      <c r="A14" s="8">
        <v>13</v>
      </c>
      <c r="B14" s="9" t="s">
        <v>94</v>
      </c>
      <c r="C14" s="9" t="s">
        <v>95</v>
      </c>
      <c r="D14" s="10">
        <v>60</v>
      </c>
      <c r="E14" s="10">
        <v>60</v>
      </c>
      <c r="F14" s="10">
        <v>120</v>
      </c>
      <c r="G14" s="11">
        <v>40316</v>
      </c>
      <c r="H14" s="11">
        <v>40229</v>
      </c>
      <c r="I14" s="9" t="s">
        <v>43</v>
      </c>
      <c r="J14" s="12" t="s">
        <v>96</v>
      </c>
      <c r="K14" s="24" t="s">
        <v>97</v>
      </c>
      <c r="L14" s="13">
        <v>514474608</v>
      </c>
      <c r="M14" s="10" t="s">
        <v>98</v>
      </c>
      <c r="N14" s="10" t="s">
        <v>99</v>
      </c>
      <c r="O14" s="10" t="s">
        <v>100</v>
      </c>
      <c r="P14" s="14">
        <v>9</v>
      </c>
      <c r="Q14" s="10"/>
      <c r="R14" s="50"/>
      <c r="S14" s="50"/>
      <c r="T14" s="50"/>
      <c r="U14" s="50"/>
      <c r="V14" s="50"/>
      <c r="W14" s="50"/>
      <c r="X14" s="50"/>
      <c r="Y14" s="50"/>
      <c r="Z14" s="50"/>
    </row>
    <row r="15" spans="1:26" ht="12.75" customHeight="1">
      <c r="A15" s="8">
        <v>14</v>
      </c>
      <c r="B15" s="9" t="s">
        <v>101</v>
      </c>
      <c r="C15" s="9" t="s">
        <v>102</v>
      </c>
      <c r="D15" s="10">
        <v>120</v>
      </c>
      <c r="E15" s="10">
        <v>120</v>
      </c>
      <c r="F15" s="10">
        <v>120</v>
      </c>
      <c r="G15" s="11">
        <v>40316</v>
      </c>
      <c r="H15" s="11">
        <v>40229</v>
      </c>
      <c r="I15" s="9" t="s">
        <v>43</v>
      </c>
      <c r="J15" s="27" t="s">
        <v>103</v>
      </c>
      <c r="K15" s="12" t="s">
        <v>104</v>
      </c>
      <c r="L15" s="13">
        <v>501228703</v>
      </c>
      <c r="M15" s="10" t="s">
        <v>105</v>
      </c>
      <c r="N15" s="8" t="s">
        <v>106</v>
      </c>
      <c r="O15" s="10" t="s">
        <v>107</v>
      </c>
      <c r="P15" s="14">
        <v>21</v>
      </c>
      <c r="Q15" s="16"/>
      <c r="R15" s="50"/>
      <c r="S15" s="50"/>
      <c r="T15" s="50"/>
      <c r="U15" s="50"/>
      <c r="V15" s="50"/>
      <c r="W15" s="50"/>
      <c r="X15" s="50"/>
      <c r="Y15" s="50"/>
      <c r="Z15" s="50"/>
    </row>
    <row r="16" spans="1:26" ht="13.5" customHeight="1">
      <c r="A16" s="8">
        <v>15</v>
      </c>
      <c r="B16" s="9" t="s">
        <v>108</v>
      </c>
      <c r="C16" s="9" t="s">
        <v>109</v>
      </c>
      <c r="D16" s="10">
        <v>120</v>
      </c>
      <c r="E16" s="10">
        <v>120</v>
      </c>
      <c r="F16" s="10">
        <v>120</v>
      </c>
      <c r="G16" s="11">
        <v>40316</v>
      </c>
      <c r="H16" s="11">
        <v>40229</v>
      </c>
      <c r="I16" s="9" t="s">
        <v>170</v>
      </c>
      <c r="J16" s="12" t="s">
        <v>111</v>
      </c>
      <c r="K16" s="12" t="s">
        <v>112</v>
      </c>
      <c r="L16" s="13">
        <v>721696982</v>
      </c>
      <c r="M16" s="10" t="s">
        <v>113</v>
      </c>
      <c r="N16" s="8" t="s">
        <v>114</v>
      </c>
      <c r="O16" s="10" t="s">
        <v>115</v>
      </c>
      <c r="P16" s="14">
        <v>26</v>
      </c>
      <c r="Q16" s="16"/>
      <c r="R16" s="50"/>
      <c r="S16" s="50"/>
      <c r="T16" s="50"/>
      <c r="U16" s="50"/>
      <c r="V16" s="50"/>
      <c r="W16" s="50"/>
      <c r="X16" s="50"/>
      <c r="Y16" s="50"/>
      <c r="Z16" s="50"/>
    </row>
    <row r="17" spans="1:26" ht="11.25" customHeight="1">
      <c r="A17" s="8">
        <v>16</v>
      </c>
      <c r="B17" s="9" t="s">
        <v>141</v>
      </c>
      <c r="C17" s="9" t="s">
        <v>142</v>
      </c>
      <c r="D17" s="10">
        <v>120</v>
      </c>
      <c r="E17" s="10">
        <v>120</v>
      </c>
      <c r="F17" s="10">
        <v>0</v>
      </c>
      <c r="G17" s="11">
        <v>40316</v>
      </c>
      <c r="H17" s="11">
        <v>40229</v>
      </c>
      <c r="I17" s="9" t="s">
        <v>143</v>
      </c>
      <c r="J17" s="12" t="s">
        <v>144</v>
      </c>
      <c r="K17" s="12" t="s">
        <v>145</v>
      </c>
      <c r="L17" s="10" t="s">
        <v>146</v>
      </c>
      <c r="M17" s="10" t="s">
        <v>147</v>
      </c>
      <c r="N17" s="8" t="s">
        <v>148</v>
      </c>
      <c r="O17" s="10" t="s">
        <v>32</v>
      </c>
      <c r="P17" s="14">
        <v>11</v>
      </c>
      <c r="Q17" s="10"/>
      <c r="R17" s="7"/>
      <c r="S17" s="7"/>
      <c r="T17" s="7"/>
      <c r="U17" s="7"/>
      <c r="V17" s="7"/>
      <c r="W17" s="7"/>
      <c r="X17" s="7"/>
      <c r="Y17" s="7"/>
      <c r="Z17" s="7"/>
    </row>
    <row r="18" spans="1:26" ht="11.25" customHeight="1">
      <c r="A18" s="8">
        <v>17</v>
      </c>
      <c r="B18" s="9" t="s">
        <v>48</v>
      </c>
      <c r="C18" s="9" t="s">
        <v>149</v>
      </c>
      <c r="D18" s="10">
        <v>120</v>
      </c>
      <c r="E18" s="10">
        <v>120</v>
      </c>
      <c r="F18" s="10">
        <v>0</v>
      </c>
      <c r="G18" s="11">
        <v>40316</v>
      </c>
      <c r="H18" s="11">
        <v>40229</v>
      </c>
      <c r="I18" s="9" t="s">
        <v>150</v>
      </c>
      <c r="J18" s="12" t="s">
        <v>151</v>
      </c>
      <c r="K18" s="12" t="s">
        <v>152</v>
      </c>
      <c r="L18" s="10" t="s">
        <v>153</v>
      </c>
      <c r="M18" s="10" t="s">
        <v>154</v>
      </c>
      <c r="N18" s="8" t="s">
        <v>155</v>
      </c>
      <c r="O18" s="10" t="s">
        <v>156</v>
      </c>
      <c r="P18" s="14">
        <v>24</v>
      </c>
      <c r="Q18" s="10"/>
      <c r="R18" s="7"/>
      <c r="S18" s="7"/>
      <c r="T18" s="7"/>
      <c r="U18" s="7"/>
      <c r="V18" s="7"/>
      <c r="W18" s="7"/>
      <c r="X18" s="7"/>
      <c r="Y18" s="7"/>
      <c r="Z18" s="7"/>
    </row>
    <row r="19" spans="1:26" ht="11.25" customHeight="1">
      <c r="A19" s="8">
        <v>18</v>
      </c>
      <c r="B19" s="9" t="s">
        <v>127</v>
      </c>
      <c r="C19" s="9" t="s">
        <v>157</v>
      </c>
      <c r="D19" s="10">
        <v>120</v>
      </c>
      <c r="E19" s="10">
        <v>120</v>
      </c>
      <c r="F19" s="10">
        <v>0</v>
      </c>
      <c r="G19" s="11">
        <v>40316</v>
      </c>
      <c r="H19" s="11">
        <v>40229</v>
      </c>
      <c r="I19" s="9" t="s">
        <v>70</v>
      </c>
      <c r="J19" s="12" t="s">
        <v>158</v>
      </c>
      <c r="K19" s="12" t="s">
        <v>159</v>
      </c>
      <c r="L19" s="10" t="s">
        <v>160</v>
      </c>
      <c r="M19" s="10" t="s">
        <v>161</v>
      </c>
      <c r="N19" s="8" t="s">
        <v>162</v>
      </c>
      <c r="O19" s="10" t="s">
        <v>163</v>
      </c>
      <c r="P19" s="14">
        <v>23</v>
      </c>
      <c r="Q19" s="10"/>
      <c r="R19" s="7"/>
      <c r="S19" s="7"/>
      <c r="T19" s="7"/>
      <c r="U19" s="7"/>
      <c r="V19" s="7"/>
      <c r="W19" s="7"/>
      <c r="X19" s="7"/>
      <c r="Y19" s="7"/>
      <c r="Z19" s="7"/>
    </row>
    <row r="20" spans="1:26" ht="11.25" customHeight="1">
      <c r="A20" s="8">
        <v>19</v>
      </c>
      <c r="B20" s="9" t="s">
        <v>127</v>
      </c>
      <c r="C20" s="9" t="s">
        <v>164</v>
      </c>
      <c r="D20" s="10">
        <v>60</v>
      </c>
      <c r="E20" s="10">
        <v>60</v>
      </c>
      <c r="F20" s="10">
        <v>0</v>
      </c>
      <c r="G20" s="11">
        <v>40316</v>
      </c>
      <c r="H20" s="11">
        <v>40229</v>
      </c>
      <c r="I20" s="17" t="s">
        <v>43</v>
      </c>
      <c r="J20" s="12" t="s">
        <v>165</v>
      </c>
      <c r="K20" s="12" t="s">
        <v>159</v>
      </c>
      <c r="L20" s="10" t="s">
        <v>166</v>
      </c>
      <c r="M20" s="10" t="s">
        <v>167</v>
      </c>
      <c r="N20" s="8" t="s">
        <v>168</v>
      </c>
      <c r="O20" s="10" t="s">
        <v>32</v>
      </c>
      <c r="P20" s="14">
        <v>32</v>
      </c>
      <c r="Q20" s="10"/>
      <c r="R20" s="7"/>
      <c r="S20" s="7"/>
      <c r="T20" s="7"/>
      <c r="U20" s="7"/>
      <c r="V20" s="7"/>
      <c r="W20" s="7"/>
      <c r="X20" s="7"/>
      <c r="Y20" s="7"/>
      <c r="Z20" s="7"/>
    </row>
    <row r="21" spans="1:26" ht="12.75" customHeight="1">
      <c r="A21" s="8">
        <v>20</v>
      </c>
      <c r="B21" s="9" t="s">
        <v>141</v>
      </c>
      <c r="C21" s="9" t="s">
        <v>169</v>
      </c>
      <c r="D21" s="10">
        <v>30</v>
      </c>
      <c r="E21" s="10">
        <v>120</v>
      </c>
      <c r="F21" s="10">
        <v>120</v>
      </c>
      <c r="G21" s="11">
        <v>40459</v>
      </c>
      <c r="H21" s="19">
        <v>40460</v>
      </c>
      <c r="I21" s="9" t="s">
        <v>170</v>
      </c>
      <c r="J21" s="36" t="s">
        <v>171</v>
      </c>
      <c r="K21" s="12" t="s">
        <v>172</v>
      </c>
      <c r="L21" s="13">
        <v>793406015</v>
      </c>
      <c r="M21" s="10" t="s">
        <v>173</v>
      </c>
      <c r="N21" s="8" t="s">
        <v>174</v>
      </c>
      <c r="O21" s="10" t="s">
        <v>32</v>
      </c>
      <c r="P21" s="14">
        <v>5</v>
      </c>
      <c r="Q21" s="16"/>
      <c r="R21" s="50"/>
      <c r="S21" s="50"/>
      <c r="T21" s="50"/>
      <c r="U21" s="50"/>
      <c r="V21" s="53"/>
      <c r="W21" s="53"/>
      <c r="X21" s="53"/>
      <c r="Y21" s="53"/>
      <c r="Z21" s="53"/>
    </row>
    <row r="22" spans="1:26" ht="12.75" customHeight="1">
      <c r="A22" s="8">
        <v>21</v>
      </c>
      <c r="B22" s="9" t="s">
        <v>188</v>
      </c>
      <c r="C22" s="9" t="s">
        <v>189</v>
      </c>
      <c r="D22" s="10">
        <v>30</v>
      </c>
      <c r="E22" s="10">
        <v>90</v>
      </c>
      <c r="F22" s="10">
        <v>0</v>
      </c>
      <c r="G22" s="11">
        <v>40460</v>
      </c>
      <c r="H22" s="11">
        <v>40466</v>
      </c>
      <c r="I22" s="9" t="s">
        <v>170</v>
      </c>
      <c r="J22" s="12" t="s">
        <v>190</v>
      </c>
      <c r="K22" s="12" t="s">
        <v>191</v>
      </c>
      <c r="L22" s="10" t="s">
        <v>192</v>
      </c>
      <c r="M22" s="10" t="s">
        <v>32</v>
      </c>
      <c r="N22" s="8" t="s">
        <v>193</v>
      </c>
      <c r="O22" s="10" t="s">
        <v>32</v>
      </c>
      <c r="P22" s="14">
        <v>36</v>
      </c>
      <c r="Q22" s="10"/>
      <c r="R22" s="7"/>
      <c r="S22" s="7"/>
      <c r="T22" s="7"/>
      <c r="U22" s="7"/>
      <c r="V22" s="7"/>
      <c r="W22" s="7"/>
      <c r="X22" s="7"/>
      <c r="Y22" s="7"/>
      <c r="Z22" s="7"/>
    </row>
    <row r="23" spans="1:26" ht="12.75" customHeight="1">
      <c r="A23" s="8">
        <v>22</v>
      </c>
      <c r="B23" s="9" t="s">
        <v>194</v>
      </c>
      <c r="C23" s="9" t="s">
        <v>195</v>
      </c>
      <c r="D23" s="10">
        <v>120</v>
      </c>
      <c r="E23" s="10">
        <v>120</v>
      </c>
      <c r="F23" s="10">
        <v>120</v>
      </c>
      <c r="G23" s="11">
        <v>40460</v>
      </c>
      <c r="H23" s="11">
        <v>40468</v>
      </c>
      <c r="I23" s="9" t="s">
        <v>170</v>
      </c>
      <c r="J23" s="12" t="s">
        <v>196</v>
      </c>
      <c r="K23" s="12" t="s">
        <v>191</v>
      </c>
      <c r="L23" s="13">
        <v>508916020</v>
      </c>
      <c r="M23" s="10" t="s">
        <v>32</v>
      </c>
      <c r="N23" s="8" t="s">
        <v>197</v>
      </c>
      <c r="O23" s="10" t="s">
        <v>198</v>
      </c>
      <c r="P23" s="14">
        <v>15</v>
      </c>
      <c r="Q23" s="16"/>
      <c r="R23" s="50"/>
      <c r="S23" s="50"/>
      <c r="T23" s="50"/>
      <c r="U23" s="50"/>
      <c r="V23" s="53"/>
      <c r="W23" s="53"/>
      <c r="X23" s="53"/>
      <c r="Y23" s="53"/>
      <c r="Z23" s="53"/>
    </row>
    <row r="24" spans="1:26" ht="11.25" customHeight="1">
      <c r="A24" s="8">
        <v>23</v>
      </c>
      <c r="B24" s="9" t="s">
        <v>55</v>
      </c>
      <c r="C24" s="9" t="s">
        <v>207</v>
      </c>
      <c r="D24" s="41"/>
      <c r="E24" s="10">
        <v>120</v>
      </c>
      <c r="F24" s="10">
        <v>120</v>
      </c>
      <c r="G24" s="11">
        <v>40460</v>
      </c>
      <c r="H24" s="11">
        <v>40630</v>
      </c>
      <c r="I24" s="9" t="s">
        <v>170</v>
      </c>
      <c r="J24" s="12" t="s">
        <v>208</v>
      </c>
      <c r="K24" s="12" t="s">
        <v>209</v>
      </c>
      <c r="L24" s="13">
        <v>601672777</v>
      </c>
      <c r="M24" s="10" t="s">
        <v>210</v>
      </c>
      <c r="N24" s="43" t="s">
        <v>211</v>
      </c>
      <c r="O24" s="10">
        <v>943404489</v>
      </c>
      <c r="P24" s="14">
        <v>37</v>
      </c>
      <c r="Q24" s="16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1.25" customHeight="1">
      <c r="A25" s="8">
        <v>24</v>
      </c>
      <c r="B25" s="9" t="s">
        <v>217</v>
      </c>
      <c r="C25" s="9" t="s">
        <v>218</v>
      </c>
      <c r="D25" s="41"/>
      <c r="E25" s="10">
        <v>60</v>
      </c>
      <c r="F25" s="10">
        <v>0</v>
      </c>
      <c r="G25" s="44">
        <v>40638</v>
      </c>
      <c r="H25" s="11">
        <v>40644</v>
      </c>
      <c r="I25" s="9" t="s">
        <v>170</v>
      </c>
      <c r="J25" s="12" t="s">
        <v>219</v>
      </c>
      <c r="K25" s="12" t="s">
        <v>220</v>
      </c>
      <c r="L25" s="8">
        <v>514159328</v>
      </c>
      <c r="M25" s="8" t="s">
        <v>221</v>
      </c>
      <c r="N25" s="43" t="s">
        <v>222</v>
      </c>
      <c r="O25" s="10" t="s">
        <v>32</v>
      </c>
      <c r="P25" s="14">
        <v>18</v>
      </c>
      <c r="Q25" s="10"/>
      <c r="R25" s="7"/>
      <c r="S25" s="7"/>
      <c r="T25" s="7"/>
      <c r="U25" s="7"/>
      <c r="V25" s="7"/>
      <c r="W25" s="7"/>
      <c r="X25" s="7"/>
      <c r="Y25" s="7"/>
      <c r="Z25" s="7"/>
    </row>
    <row r="26" spans="1:26" ht="11.25" customHeight="1">
      <c r="A26" s="8">
        <v>25</v>
      </c>
      <c r="B26" s="9" t="s">
        <v>188</v>
      </c>
      <c r="C26" s="9" t="s">
        <v>223</v>
      </c>
      <c r="D26" s="41"/>
      <c r="E26" s="10">
        <v>120</v>
      </c>
      <c r="F26" s="10">
        <v>120</v>
      </c>
      <c r="G26" s="11">
        <v>40530</v>
      </c>
      <c r="H26" s="11">
        <v>40676</v>
      </c>
      <c r="I26" s="9" t="s">
        <v>170</v>
      </c>
      <c r="J26" s="8" t="s">
        <v>224</v>
      </c>
      <c r="K26" s="12" t="s">
        <v>225</v>
      </c>
      <c r="L26" s="13">
        <v>793258511</v>
      </c>
      <c r="M26" s="10" t="s">
        <v>226</v>
      </c>
      <c r="N26" s="45" t="s">
        <v>227</v>
      </c>
      <c r="O26" s="10">
        <v>413003499</v>
      </c>
      <c r="P26" s="14">
        <v>22</v>
      </c>
      <c r="Q26" s="10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1.25" customHeight="1">
      <c r="A27" s="8">
        <v>26</v>
      </c>
      <c r="B27" s="9" t="s">
        <v>228</v>
      </c>
      <c r="C27" s="9" t="s">
        <v>229</v>
      </c>
      <c r="D27" s="46"/>
      <c r="E27" s="10">
        <v>30</v>
      </c>
      <c r="F27" s="10">
        <v>60</v>
      </c>
      <c r="G27" s="11">
        <v>40682</v>
      </c>
      <c r="H27" s="11">
        <v>40694</v>
      </c>
      <c r="I27" s="9" t="s">
        <v>170</v>
      </c>
      <c r="J27" s="8" t="s">
        <v>230</v>
      </c>
      <c r="K27" s="12" t="s">
        <v>231</v>
      </c>
      <c r="L27" s="10" t="s">
        <v>232</v>
      </c>
      <c r="M27" s="10"/>
      <c r="N27" s="45" t="s">
        <v>233</v>
      </c>
      <c r="O27" s="10"/>
      <c r="P27" s="14">
        <v>42</v>
      </c>
      <c r="Q27" s="16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1.25" customHeight="1">
      <c r="A28" s="8">
        <v>27</v>
      </c>
      <c r="B28" s="9" t="s">
        <v>194</v>
      </c>
      <c r="C28" s="9" t="s">
        <v>234</v>
      </c>
      <c r="D28" s="46"/>
      <c r="E28" s="10">
        <v>30</v>
      </c>
      <c r="F28" s="10">
        <v>60</v>
      </c>
      <c r="G28" s="11">
        <v>40698</v>
      </c>
      <c r="H28" s="11">
        <v>40707</v>
      </c>
      <c r="I28" s="9" t="s">
        <v>170</v>
      </c>
      <c r="J28" s="8" t="s">
        <v>235</v>
      </c>
      <c r="K28" s="12" t="s">
        <v>236</v>
      </c>
      <c r="L28" s="10" t="s">
        <v>237</v>
      </c>
      <c r="M28" s="10"/>
      <c r="N28" s="45" t="s">
        <v>238</v>
      </c>
      <c r="O28" s="10"/>
      <c r="P28" s="14">
        <v>45</v>
      </c>
      <c r="Q28" s="16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1.25" customHeight="1">
      <c r="A29" s="8">
        <v>28</v>
      </c>
      <c r="B29" s="9" t="s">
        <v>239</v>
      </c>
      <c r="C29" s="9" t="s">
        <v>240</v>
      </c>
      <c r="D29" s="46"/>
      <c r="E29" s="10">
        <v>80</v>
      </c>
      <c r="F29" s="10">
        <v>0</v>
      </c>
      <c r="G29" s="44">
        <v>40698</v>
      </c>
      <c r="H29" s="11">
        <v>40725</v>
      </c>
      <c r="I29" s="9" t="s">
        <v>170</v>
      </c>
      <c r="J29" s="8" t="s">
        <v>241</v>
      </c>
      <c r="K29" s="12" t="s">
        <v>242</v>
      </c>
      <c r="L29" s="10" t="s">
        <v>243</v>
      </c>
      <c r="M29" s="10" t="s">
        <v>244</v>
      </c>
      <c r="N29" s="45" t="s">
        <v>245</v>
      </c>
      <c r="O29" s="10"/>
      <c r="P29" s="14">
        <v>46</v>
      </c>
      <c r="Q29" s="10"/>
      <c r="R29" s="7"/>
      <c r="S29" s="7"/>
      <c r="T29" s="7"/>
      <c r="U29" s="7"/>
      <c r="V29" s="7"/>
      <c r="W29" s="7"/>
      <c r="X29" s="7"/>
      <c r="Y29" s="7"/>
      <c r="Z29" s="7"/>
    </row>
    <row r="30" spans="1:26" ht="11.25" customHeight="1">
      <c r="A30" s="8">
        <v>29</v>
      </c>
      <c r="B30" s="9" t="s">
        <v>188</v>
      </c>
      <c r="C30" s="9" t="s">
        <v>246</v>
      </c>
      <c r="D30" s="46"/>
      <c r="E30" s="10">
        <v>70</v>
      </c>
      <c r="F30" s="10">
        <v>120</v>
      </c>
      <c r="G30" s="11">
        <v>40737</v>
      </c>
      <c r="H30" s="11">
        <v>40731</v>
      </c>
      <c r="I30" s="9" t="s">
        <v>170</v>
      </c>
      <c r="J30" s="8" t="s">
        <v>247</v>
      </c>
      <c r="K30" s="12" t="s">
        <v>248</v>
      </c>
      <c r="L30" s="10" t="s">
        <v>249</v>
      </c>
      <c r="M30" s="10"/>
      <c r="N30" s="45" t="s">
        <v>250</v>
      </c>
      <c r="O30" s="10"/>
      <c r="P30" s="14">
        <v>43</v>
      </c>
      <c r="Q30" s="16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1.25" customHeight="1">
      <c r="A31" s="8">
        <v>30</v>
      </c>
      <c r="B31" s="9" t="s">
        <v>251</v>
      </c>
      <c r="C31" s="9" t="s">
        <v>252</v>
      </c>
      <c r="D31" s="46"/>
      <c r="E31" s="10">
        <v>30</v>
      </c>
      <c r="F31" s="10">
        <v>60</v>
      </c>
      <c r="G31" s="11">
        <v>40695</v>
      </c>
      <c r="H31" s="11">
        <v>40767</v>
      </c>
      <c r="I31" s="9" t="s">
        <v>170</v>
      </c>
      <c r="J31" s="8" t="s">
        <v>253</v>
      </c>
      <c r="K31" s="12" t="s">
        <v>254</v>
      </c>
      <c r="L31" s="10" t="s">
        <v>255</v>
      </c>
      <c r="M31" s="10"/>
      <c r="N31" s="45" t="s">
        <v>256</v>
      </c>
      <c r="O31" s="10"/>
      <c r="P31" s="14">
        <v>54</v>
      </c>
      <c r="Q31" s="16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1.25" customHeight="1">
      <c r="A32" s="8">
        <v>31</v>
      </c>
      <c r="B32" s="9" t="s">
        <v>251</v>
      </c>
      <c r="C32" s="9" t="s">
        <v>257</v>
      </c>
      <c r="D32" s="46"/>
      <c r="E32" s="10">
        <v>30</v>
      </c>
      <c r="F32" s="10">
        <v>60</v>
      </c>
      <c r="G32" s="11">
        <v>40708</v>
      </c>
      <c r="H32" s="11">
        <v>40767</v>
      </c>
      <c r="I32" s="9" t="s">
        <v>170</v>
      </c>
      <c r="J32" s="8" t="s">
        <v>258</v>
      </c>
      <c r="K32" s="12" t="s">
        <v>259</v>
      </c>
      <c r="L32" s="10" t="s">
        <v>260</v>
      </c>
      <c r="M32" s="10"/>
      <c r="N32" s="45" t="s">
        <v>261</v>
      </c>
      <c r="O32" s="10"/>
      <c r="P32" s="14">
        <v>55</v>
      </c>
      <c r="Q32" s="10"/>
      <c r="R32" s="53"/>
      <c r="S32" s="53"/>
      <c r="T32" s="53"/>
      <c r="U32" s="53"/>
      <c r="V32" s="53"/>
      <c r="W32" s="53"/>
      <c r="X32" s="53"/>
      <c r="Y32" s="53"/>
      <c r="Z32" s="53"/>
    </row>
    <row r="33" spans="1:26" ht="11.25" customHeight="1">
      <c r="A33" s="8">
        <v>32</v>
      </c>
      <c r="B33" s="9" t="s">
        <v>262</v>
      </c>
      <c r="C33" s="9" t="s">
        <v>263</v>
      </c>
      <c r="D33" s="46"/>
      <c r="E33" s="10">
        <v>30</v>
      </c>
      <c r="F33" s="10">
        <v>60</v>
      </c>
      <c r="G33" s="11">
        <v>40703</v>
      </c>
      <c r="H33" s="11">
        <v>40767</v>
      </c>
      <c r="I33" s="9" t="s">
        <v>170</v>
      </c>
      <c r="J33" s="8" t="s">
        <v>264</v>
      </c>
      <c r="K33" s="12" t="s">
        <v>265</v>
      </c>
      <c r="L33" s="10" t="s">
        <v>266</v>
      </c>
      <c r="M33" s="10"/>
      <c r="N33" s="45" t="s">
        <v>267</v>
      </c>
      <c r="O33" s="10">
        <v>856636855</v>
      </c>
      <c r="P33" s="14">
        <v>56</v>
      </c>
      <c r="Q33" s="16"/>
      <c r="R33" s="53"/>
      <c r="S33" s="53"/>
      <c r="T33" s="53"/>
      <c r="U33" s="53"/>
      <c r="V33" s="53"/>
      <c r="W33" s="53"/>
      <c r="X33" s="53"/>
      <c r="Y33" s="53"/>
      <c r="Z33" s="53"/>
    </row>
    <row r="34" spans="1:26" ht="11.25" customHeight="1">
      <c r="A34" s="8">
        <v>33</v>
      </c>
      <c r="B34" s="9" t="s">
        <v>268</v>
      </c>
      <c r="C34" s="9" t="s">
        <v>269</v>
      </c>
      <c r="D34" s="46"/>
      <c r="E34" s="10">
        <v>30</v>
      </c>
      <c r="F34" s="10">
        <v>60</v>
      </c>
      <c r="G34" s="11">
        <v>40709</v>
      </c>
      <c r="H34" s="11">
        <v>40767</v>
      </c>
      <c r="I34" s="9" t="s">
        <v>170</v>
      </c>
      <c r="J34" s="8" t="s">
        <v>270</v>
      </c>
      <c r="K34" s="12" t="s">
        <v>271</v>
      </c>
      <c r="L34" s="10" t="s">
        <v>272</v>
      </c>
      <c r="M34" s="10"/>
      <c r="N34" s="45" t="s">
        <v>273</v>
      </c>
      <c r="O34" s="10"/>
      <c r="P34" s="14">
        <v>57</v>
      </c>
      <c r="Q34" s="16"/>
      <c r="R34" s="53"/>
      <c r="S34" s="53"/>
      <c r="T34" s="53"/>
      <c r="U34" s="53"/>
      <c r="V34" s="53"/>
      <c r="W34" s="53"/>
      <c r="X34" s="53"/>
      <c r="Y34" s="53"/>
      <c r="Z34" s="53"/>
    </row>
    <row r="35" spans="1:26" ht="11.25" customHeight="1">
      <c r="A35" s="8">
        <v>34</v>
      </c>
      <c r="B35" s="9" t="s">
        <v>21</v>
      </c>
      <c r="C35" s="9" t="s">
        <v>274</v>
      </c>
      <c r="D35" s="46"/>
      <c r="E35" s="10">
        <v>30</v>
      </c>
      <c r="F35" s="10">
        <v>60</v>
      </c>
      <c r="G35" s="11">
        <v>40703</v>
      </c>
      <c r="H35" s="11">
        <v>40781</v>
      </c>
      <c r="I35" s="9" t="s">
        <v>170</v>
      </c>
      <c r="J35" s="8" t="s">
        <v>275</v>
      </c>
      <c r="K35" s="12" t="s">
        <v>276</v>
      </c>
      <c r="L35" s="10" t="s">
        <v>277</v>
      </c>
      <c r="M35" s="10"/>
      <c r="N35" s="45" t="s">
        <v>278</v>
      </c>
      <c r="O35" s="10"/>
      <c r="P35" s="14">
        <v>47</v>
      </c>
      <c r="Q35" s="16"/>
      <c r="R35" s="53"/>
      <c r="S35" s="53"/>
      <c r="T35" s="53"/>
      <c r="U35" s="53"/>
      <c r="V35" s="53"/>
      <c r="W35" s="53"/>
      <c r="X35" s="53"/>
      <c r="Y35" s="53"/>
      <c r="Z35" s="53"/>
    </row>
    <row r="36" spans="1:26" ht="11.25" customHeight="1">
      <c r="A36" s="8">
        <v>35</v>
      </c>
      <c r="B36" s="9" t="s">
        <v>279</v>
      </c>
      <c r="C36" s="9" t="s">
        <v>280</v>
      </c>
      <c r="D36" s="46"/>
      <c r="E36" s="10">
        <v>30</v>
      </c>
      <c r="F36" s="10">
        <v>60</v>
      </c>
      <c r="G36" s="11">
        <v>40704</v>
      </c>
      <c r="H36" s="11">
        <v>40781</v>
      </c>
      <c r="I36" s="9" t="s">
        <v>170</v>
      </c>
      <c r="J36" s="8" t="s">
        <v>281</v>
      </c>
      <c r="K36" s="12" t="s">
        <v>17</v>
      </c>
      <c r="L36" s="10" t="s">
        <v>282</v>
      </c>
      <c r="M36" s="10"/>
      <c r="N36" s="45" t="s">
        <v>283</v>
      </c>
      <c r="O36" s="10"/>
      <c r="P36" s="14">
        <v>48</v>
      </c>
      <c r="Q36" s="16"/>
      <c r="R36" s="53"/>
      <c r="S36" s="53"/>
      <c r="T36" s="53"/>
      <c r="U36" s="53"/>
      <c r="V36" s="53"/>
      <c r="W36" s="53"/>
      <c r="X36" s="53"/>
      <c r="Y36" s="53"/>
      <c r="Z36" s="53"/>
    </row>
    <row r="37" spans="1:26" ht="11.25" customHeight="1">
      <c r="A37" s="8">
        <v>36</v>
      </c>
      <c r="B37" s="9" t="s">
        <v>13</v>
      </c>
      <c r="C37" s="9" t="s">
        <v>284</v>
      </c>
      <c r="D37" s="46"/>
      <c r="E37" s="10">
        <v>30</v>
      </c>
      <c r="F37" s="10">
        <v>60</v>
      </c>
      <c r="G37" s="11">
        <v>40695</v>
      </c>
      <c r="H37" s="11">
        <v>40781</v>
      </c>
      <c r="I37" s="9" t="s">
        <v>170</v>
      </c>
      <c r="J37" s="47" t="s">
        <v>285</v>
      </c>
      <c r="K37" s="48" t="s">
        <v>276</v>
      </c>
      <c r="L37" s="26" t="s">
        <v>286</v>
      </c>
      <c r="M37" s="10"/>
      <c r="N37" s="49" t="s">
        <v>287</v>
      </c>
      <c r="O37" s="10"/>
      <c r="P37" s="14">
        <v>50</v>
      </c>
      <c r="Q37" s="16"/>
      <c r="R37" s="53"/>
      <c r="S37" s="53"/>
      <c r="T37" s="53"/>
      <c r="U37" s="53"/>
      <c r="V37" s="53"/>
      <c r="W37" s="53"/>
      <c r="X37" s="53"/>
      <c r="Y37" s="53"/>
      <c r="Z37" s="53"/>
    </row>
    <row r="38" spans="1:26" ht="11.25" customHeight="1">
      <c r="A38" s="8">
        <v>37</v>
      </c>
      <c r="B38" s="9" t="s">
        <v>88</v>
      </c>
      <c r="C38" s="9" t="s">
        <v>288</v>
      </c>
      <c r="D38" s="46"/>
      <c r="E38" s="10">
        <v>30</v>
      </c>
      <c r="F38" s="10">
        <v>0</v>
      </c>
      <c r="G38" s="44">
        <v>40704</v>
      </c>
      <c r="H38" s="11">
        <v>40781</v>
      </c>
      <c r="I38" s="9" t="s">
        <v>170</v>
      </c>
      <c r="J38" s="8" t="s">
        <v>289</v>
      </c>
      <c r="K38" s="12" t="s">
        <v>276</v>
      </c>
      <c r="L38" s="10">
        <v>600177401</v>
      </c>
      <c r="M38" s="10"/>
      <c r="N38" s="45"/>
      <c r="O38" s="10"/>
      <c r="P38" s="14">
        <v>40</v>
      </c>
      <c r="Q38" s="10"/>
      <c r="R38" s="7"/>
      <c r="S38" s="7"/>
      <c r="T38" s="7"/>
      <c r="U38" s="7"/>
      <c r="V38" s="7"/>
      <c r="W38" s="7"/>
      <c r="X38" s="7"/>
      <c r="Y38" s="7"/>
      <c r="Z38" s="7"/>
    </row>
    <row r="39" spans="1:26" ht="12.75" customHeight="1">
      <c r="A39" s="8">
        <v>38</v>
      </c>
      <c r="B39" s="9" t="s">
        <v>290</v>
      </c>
      <c r="C39" s="9" t="s">
        <v>291</v>
      </c>
      <c r="D39" s="46"/>
      <c r="E39" s="10">
        <v>30</v>
      </c>
      <c r="F39" s="10">
        <v>0</v>
      </c>
      <c r="G39" s="44">
        <v>40704</v>
      </c>
      <c r="H39" s="11">
        <v>40781</v>
      </c>
      <c r="I39" s="9" t="s">
        <v>170</v>
      </c>
      <c r="J39" s="8" t="s">
        <v>292</v>
      </c>
      <c r="K39" s="12" t="s">
        <v>293</v>
      </c>
      <c r="L39" s="10" t="s">
        <v>294</v>
      </c>
      <c r="M39" s="10"/>
      <c r="N39" s="45" t="s">
        <v>295</v>
      </c>
      <c r="O39" s="10"/>
      <c r="P39" s="14">
        <v>49</v>
      </c>
      <c r="Q39" s="10"/>
      <c r="R39" s="7"/>
      <c r="S39" s="7"/>
      <c r="T39" s="7"/>
      <c r="U39" s="7"/>
      <c r="V39" s="7"/>
      <c r="W39" s="7"/>
      <c r="X39" s="7"/>
      <c r="Y39" s="7"/>
      <c r="Z39" s="7"/>
    </row>
    <row r="40" spans="1:26" ht="12.75" customHeight="1">
      <c r="A40" s="8">
        <v>39</v>
      </c>
      <c r="B40" s="9" t="s">
        <v>296</v>
      </c>
      <c r="C40" s="9" t="s">
        <v>297</v>
      </c>
      <c r="D40" s="46"/>
      <c r="E40" s="10">
        <v>30</v>
      </c>
      <c r="F40" s="10">
        <v>0</v>
      </c>
      <c r="G40" s="44">
        <v>40703</v>
      </c>
      <c r="H40" s="11">
        <v>40781</v>
      </c>
      <c r="I40" s="9" t="s">
        <v>170</v>
      </c>
      <c r="J40" s="8" t="s">
        <v>298</v>
      </c>
      <c r="K40" s="12" t="s">
        <v>276</v>
      </c>
      <c r="L40" s="10" t="s">
        <v>299</v>
      </c>
      <c r="M40" s="10"/>
      <c r="N40" s="45"/>
      <c r="O40" s="10"/>
      <c r="P40" s="14">
        <v>51</v>
      </c>
      <c r="Q40" s="10"/>
      <c r="R40" s="7"/>
      <c r="S40" s="7"/>
      <c r="T40" s="7"/>
      <c r="U40" s="7"/>
      <c r="V40" s="7"/>
      <c r="W40" s="7"/>
      <c r="X40" s="7"/>
      <c r="Y40" s="7"/>
      <c r="Z40" s="7"/>
    </row>
    <row r="41" spans="1:26" ht="12.75" customHeight="1">
      <c r="A41" s="8">
        <v>40</v>
      </c>
      <c r="B41" s="9" t="s">
        <v>300</v>
      </c>
      <c r="C41" s="9" t="s">
        <v>301</v>
      </c>
      <c r="D41" s="46"/>
      <c r="E41" s="10">
        <v>30</v>
      </c>
      <c r="F41" s="10">
        <v>0</v>
      </c>
      <c r="G41" s="44">
        <v>40708</v>
      </c>
      <c r="H41" s="11">
        <v>40781</v>
      </c>
      <c r="I41" s="9" t="s">
        <v>170</v>
      </c>
      <c r="J41" s="8" t="s">
        <v>302</v>
      </c>
      <c r="K41" s="12" t="s">
        <v>276</v>
      </c>
      <c r="L41" s="10" t="s">
        <v>303</v>
      </c>
      <c r="M41" s="10"/>
      <c r="N41" s="45" t="s">
        <v>304</v>
      </c>
      <c r="O41" s="10"/>
      <c r="P41" s="14">
        <v>52</v>
      </c>
      <c r="Q41" s="10"/>
      <c r="R41" s="7"/>
      <c r="S41" s="7"/>
      <c r="T41" s="7"/>
      <c r="U41" s="7"/>
      <c r="V41" s="7"/>
      <c r="W41" s="7"/>
      <c r="X41" s="7"/>
      <c r="Y41" s="7"/>
      <c r="Z41" s="7"/>
    </row>
    <row r="42" spans="1:26" ht="12.75" customHeight="1">
      <c r="A42" s="8">
        <v>41</v>
      </c>
      <c r="B42" s="9" t="s">
        <v>239</v>
      </c>
      <c r="C42" s="9" t="s">
        <v>305</v>
      </c>
      <c r="D42" s="46"/>
      <c r="E42" s="10">
        <v>30</v>
      </c>
      <c r="F42" s="10">
        <v>0</v>
      </c>
      <c r="G42" s="44">
        <v>40748</v>
      </c>
      <c r="H42" s="11">
        <v>40788</v>
      </c>
      <c r="I42" s="9" t="s">
        <v>170</v>
      </c>
      <c r="J42" s="8" t="s">
        <v>306</v>
      </c>
      <c r="K42" s="12" t="s">
        <v>307</v>
      </c>
      <c r="L42" s="10">
        <v>511154621</v>
      </c>
      <c r="M42" s="10" t="s">
        <v>308</v>
      </c>
      <c r="N42" s="45" t="s">
        <v>309</v>
      </c>
      <c r="O42" s="10"/>
      <c r="P42" s="14">
        <v>60</v>
      </c>
      <c r="Q42" s="10"/>
      <c r="R42" s="7"/>
      <c r="S42" s="7"/>
      <c r="T42" s="7"/>
      <c r="U42" s="7"/>
      <c r="V42" s="7"/>
      <c r="W42" s="7"/>
      <c r="X42" s="7"/>
      <c r="Y42" s="7"/>
      <c r="Z42" s="7"/>
    </row>
    <row r="43" spans="1:26" ht="12.75" customHeight="1">
      <c r="A43" s="8">
        <v>42</v>
      </c>
      <c r="B43" s="9" t="s">
        <v>122</v>
      </c>
      <c r="C43" s="9" t="s">
        <v>310</v>
      </c>
      <c r="D43" s="46"/>
      <c r="E43" s="10">
        <v>30</v>
      </c>
      <c r="F43" s="10">
        <v>0</v>
      </c>
      <c r="G43" s="44">
        <v>40704</v>
      </c>
      <c r="H43" s="11">
        <v>40795</v>
      </c>
      <c r="I43" s="9" t="s">
        <v>170</v>
      </c>
      <c r="J43" s="8" t="s">
        <v>311</v>
      </c>
      <c r="K43" s="12" t="s">
        <v>312</v>
      </c>
      <c r="L43" s="10" t="s">
        <v>313</v>
      </c>
      <c r="M43" s="10"/>
      <c r="N43" s="45" t="s">
        <v>314</v>
      </c>
      <c r="O43" s="10"/>
      <c r="P43" s="14">
        <v>53</v>
      </c>
      <c r="Q43" s="10"/>
      <c r="R43" s="7"/>
      <c r="S43" s="7"/>
      <c r="T43" s="7"/>
      <c r="U43" s="7"/>
      <c r="V43" s="7"/>
      <c r="W43" s="7"/>
      <c r="X43" s="7"/>
      <c r="Y43" s="7"/>
      <c r="Z43" s="7"/>
    </row>
    <row r="44" spans="1:26" ht="12.75" customHeight="1">
      <c r="A44" s="8">
        <v>43</v>
      </c>
      <c r="B44" s="9" t="s">
        <v>315</v>
      </c>
      <c r="C44" s="9" t="s">
        <v>316</v>
      </c>
      <c r="D44" s="46"/>
      <c r="E44" s="10">
        <v>40</v>
      </c>
      <c r="F44" s="10">
        <v>120</v>
      </c>
      <c r="G44" s="11">
        <v>40812</v>
      </c>
      <c r="H44" s="11">
        <v>40812</v>
      </c>
      <c r="I44" s="9" t="s">
        <v>170</v>
      </c>
      <c r="J44" s="8" t="s">
        <v>317</v>
      </c>
      <c r="K44" s="12" t="s">
        <v>191</v>
      </c>
      <c r="L44" s="13">
        <v>886820739</v>
      </c>
      <c r="M44" s="10"/>
      <c r="N44" s="45" t="s">
        <v>318</v>
      </c>
      <c r="O44" s="10"/>
      <c r="P44" s="14">
        <v>63</v>
      </c>
      <c r="Q44" s="16"/>
      <c r="R44" s="53"/>
      <c r="S44" s="53"/>
      <c r="T44" s="53"/>
      <c r="U44" s="53"/>
      <c r="V44" s="53"/>
      <c r="W44" s="53"/>
      <c r="X44" s="53"/>
      <c r="Y44" s="53"/>
      <c r="Z44" s="53"/>
    </row>
    <row r="45" spans="1:26" ht="12.75" customHeight="1">
      <c r="A45" s="8">
        <v>44</v>
      </c>
      <c r="B45" s="9" t="s">
        <v>35</v>
      </c>
      <c r="C45" s="9" t="s">
        <v>319</v>
      </c>
      <c r="D45" s="46"/>
      <c r="E45" s="10">
        <v>120</v>
      </c>
      <c r="F45" s="10">
        <v>120</v>
      </c>
      <c r="G45" s="11">
        <v>40814</v>
      </c>
      <c r="H45" s="11">
        <v>40815</v>
      </c>
      <c r="I45" s="9" t="s">
        <v>170</v>
      </c>
      <c r="J45" s="8" t="s">
        <v>320</v>
      </c>
      <c r="K45" s="12" t="s">
        <v>321</v>
      </c>
      <c r="L45" s="10" t="s">
        <v>322</v>
      </c>
      <c r="M45" s="10" t="s">
        <v>323</v>
      </c>
      <c r="N45" s="45" t="s">
        <v>324</v>
      </c>
      <c r="O45" s="10"/>
      <c r="P45" s="14">
        <v>64</v>
      </c>
      <c r="Q45" s="16"/>
      <c r="R45" s="53"/>
      <c r="S45" s="53"/>
      <c r="T45" s="53"/>
      <c r="U45" s="53"/>
      <c r="V45" s="53"/>
      <c r="W45" s="53"/>
      <c r="X45" s="53"/>
      <c r="Y45" s="53"/>
      <c r="Z45" s="53"/>
    </row>
    <row r="46" spans="1:26" ht="12.75" customHeight="1">
      <c r="A46" s="8">
        <v>45</v>
      </c>
      <c r="B46" s="9" t="s">
        <v>325</v>
      </c>
      <c r="C46" s="9" t="s">
        <v>326</v>
      </c>
      <c r="D46" s="46"/>
      <c r="E46" s="10">
        <v>40</v>
      </c>
      <c r="F46" s="10">
        <v>120</v>
      </c>
      <c r="G46" s="11">
        <v>40800</v>
      </c>
      <c r="H46" s="11">
        <v>40834</v>
      </c>
      <c r="I46" s="9" t="s">
        <v>170</v>
      </c>
      <c r="J46" s="8" t="s">
        <v>327</v>
      </c>
      <c r="K46" s="12" t="s">
        <v>328</v>
      </c>
      <c r="L46" s="10" t="s">
        <v>329</v>
      </c>
      <c r="M46" s="10"/>
      <c r="N46" s="45" t="s">
        <v>330</v>
      </c>
      <c r="O46" s="10"/>
      <c r="P46" s="14">
        <v>41</v>
      </c>
      <c r="Q46" s="10"/>
      <c r="R46" s="53"/>
      <c r="S46" s="53"/>
      <c r="T46" s="53"/>
      <c r="U46" s="53"/>
      <c r="V46" s="53"/>
      <c r="W46" s="53"/>
      <c r="X46" s="53"/>
      <c r="Y46" s="53"/>
      <c r="Z46" s="53"/>
    </row>
    <row r="47" spans="1:26" ht="11.25" customHeight="1">
      <c r="A47" s="8">
        <v>46</v>
      </c>
      <c r="B47" s="9" t="s">
        <v>217</v>
      </c>
      <c r="C47" s="9" t="s">
        <v>116</v>
      </c>
      <c r="D47" s="46"/>
      <c r="E47" s="10">
        <v>20</v>
      </c>
      <c r="F47" s="10">
        <v>100</v>
      </c>
      <c r="G47" s="11">
        <v>40847</v>
      </c>
      <c r="H47" s="11" t="s">
        <v>331</v>
      </c>
      <c r="I47" s="9" t="s">
        <v>170</v>
      </c>
      <c r="J47" s="8" t="s">
        <v>332</v>
      </c>
      <c r="K47" s="12" t="s">
        <v>333</v>
      </c>
      <c r="L47" s="13">
        <v>504377500</v>
      </c>
      <c r="M47" s="10"/>
      <c r="N47" s="45" t="s">
        <v>334</v>
      </c>
      <c r="O47" s="10"/>
      <c r="P47" s="14">
        <v>61</v>
      </c>
      <c r="Q47" s="16"/>
      <c r="R47" s="53"/>
      <c r="S47" s="53"/>
      <c r="T47" s="53"/>
      <c r="U47" s="53"/>
      <c r="V47" s="53"/>
      <c r="W47" s="53"/>
      <c r="X47" s="53"/>
      <c r="Y47" s="53"/>
      <c r="Z47" s="53"/>
    </row>
    <row r="48" spans="1:26" ht="12.75" customHeight="1">
      <c r="A48" s="8">
        <v>47</v>
      </c>
      <c r="B48" s="9" t="s">
        <v>335</v>
      </c>
      <c r="C48" s="9" t="s">
        <v>336</v>
      </c>
      <c r="D48" s="46"/>
      <c r="E48" s="46"/>
      <c r="F48" s="10">
        <v>50</v>
      </c>
      <c r="G48" s="11">
        <v>40930</v>
      </c>
      <c r="H48" s="11">
        <v>40948</v>
      </c>
      <c r="I48" s="9" t="s">
        <v>170</v>
      </c>
      <c r="J48" s="10" t="s">
        <v>337</v>
      </c>
      <c r="K48" s="10" t="s">
        <v>338</v>
      </c>
      <c r="L48" s="13">
        <v>510546591</v>
      </c>
      <c r="M48" s="10"/>
      <c r="N48" s="54" t="s">
        <v>339</v>
      </c>
      <c r="O48" s="10"/>
      <c r="P48" s="14">
        <v>65</v>
      </c>
      <c r="Q48" s="16"/>
      <c r="R48" s="53"/>
      <c r="S48" s="53"/>
      <c r="T48" s="53"/>
      <c r="U48" s="53"/>
      <c r="V48" s="53"/>
      <c r="W48" s="53"/>
      <c r="X48" s="53"/>
      <c r="Y48" s="53"/>
      <c r="Z48" s="53"/>
    </row>
    <row r="49" spans="1:26" ht="11.25" customHeight="1">
      <c r="A49" s="8">
        <v>48</v>
      </c>
      <c r="B49" s="9" t="s">
        <v>340</v>
      </c>
      <c r="C49" s="9" t="s">
        <v>341</v>
      </c>
      <c r="D49" s="46"/>
      <c r="E49" s="46"/>
      <c r="F49" s="10">
        <v>120</v>
      </c>
      <c r="G49" s="11">
        <v>40949</v>
      </c>
      <c r="H49" s="11">
        <v>40953</v>
      </c>
      <c r="I49" s="28" t="s">
        <v>170</v>
      </c>
      <c r="J49" s="10" t="s">
        <v>342</v>
      </c>
      <c r="K49" s="10" t="s">
        <v>343</v>
      </c>
      <c r="L49" s="13">
        <v>660749160</v>
      </c>
      <c r="M49" s="55"/>
      <c r="N49" s="54" t="s">
        <v>344</v>
      </c>
      <c r="O49" s="56"/>
      <c r="P49" s="14">
        <v>67</v>
      </c>
      <c r="Q49" s="16"/>
      <c r="R49" s="53"/>
      <c r="S49" s="53"/>
      <c r="T49" s="53"/>
      <c r="U49" s="53"/>
      <c r="V49" s="53"/>
      <c r="W49" s="53"/>
      <c r="X49" s="53"/>
      <c r="Y49" s="53"/>
      <c r="Z49" s="53"/>
    </row>
    <row r="50" spans="1:26" ht="11.25" customHeight="1">
      <c r="A50" s="8">
        <v>49</v>
      </c>
      <c r="B50" s="9" t="s">
        <v>345</v>
      </c>
      <c r="C50" s="9" t="s">
        <v>346</v>
      </c>
      <c r="D50" s="46"/>
      <c r="E50" s="46"/>
      <c r="F50" s="10">
        <v>60</v>
      </c>
      <c r="G50" s="11">
        <v>40702</v>
      </c>
      <c r="H50" s="11">
        <v>40955</v>
      </c>
      <c r="I50" s="28" t="s">
        <v>347</v>
      </c>
      <c r="J50" s="8" t="s">
        <v>348</v>
      </c>
      <c r="K50" s="12" t="s">
        <v>349</v>
      </c>
      <c r="L50" s="10" t="s">
        <v>350</v>
      </c>
      <c r="M50" s="55"/>
      <c r="N50" s="45" t="s">
        <v>351</v>
      </c>
      <c r="O50" s="56"/>
      <c r="P50" s="14">
        <v>44</v>
      </c>
      <c r="Q50" s="16"/>
      <c r="R50" s="53"/>
      <c r="S50" s="53"/>
      <c r="T50" s="53"/>
      <c r="U50" s="53"/>
      <c r="V50" s="53"/>
      <c r="W50" s="53"/>
      <c r="X50" s="53"/>
      <c r="Y50" s="53"/>
      <c r="Z50" s="53"/>
    </row>
    <row r="51" spans="1:26" ht="11.25" customHeight="1">
      <c r="A51" s="8">
        <v>50</v>
      </c>
      <c r="B51" s="9" t="s">
        <v>42</v>
      </c>
      <c r="C51" s="9" t="s">
        <v>352</v>
      </c>
      <c r="D51" s="46"/>
      <c r="E51" s="46"/>
      <c r="F51" s="10">
        <v>110</v>
      </c>
      <c r="G51" s="11">
        <v>40945</v>
      </c>
      <c r="H51" s="11">
        <v>40961</v>
      </c>
      <c r="I51" s="28" t="s">
        <v>170</v>
      </c>
      <c r="J51" s="10" t="s">
        <v>353</v>
      </c>
      <c r="K51" s="10" t="s">
        <v>354</v>
      </c>
      <c r="L51" s="13">
        <v>608692900</v>
      </c>
      <c r="M51" s="55"/>
      <c r="N51" s="54" t="s">
        <v>355</v>
      </c>
      <c r="O51" s="56"/>
      <c r="P51" s="14">
        <v>66</v>
      </c>
      <c r="Q51" s="16"/>
      <c r="R51" s="53"/>
      <c r="S51" s="53"/>
      <c r="T51" s="53"/>
      <c r="U51" s="53"/>
      <c r="V51" s="53"/>
      <c r="W51" s="53"/>
      <c r="X51" s="53"/>
      <c r="Y51" s="53"/>
      <c r="Z51" s="53"/>
    </row>
    <row r="52" spans="1:26" ht="11.25" customHeight="1">
      <c r="A52" s="8">
        <v>51</v>
      </c>
      <c r="B52" s="9" t="s">
        <v>356</v>
      </c>
      <c r="C52" s="9" t="s">
        <v>357</v>
      </c>
      <c r="D52" s="46"/>
      <c r="E52" s="46"/>
      <c r="F52" s="10">
        <v>100</v>
      </c>
      <c r="G52" s="11">
        <v>41145</v>
      </c>
      <c r="H52" s="11">
        <v>40974</v>
      </c>
      <c r="I52" s="28" t="s">
        <v>170</v>
      </c>
      <c r="J52" s="8" t="s">
        <v>358</v>
      </c>
      <c r="K52" s="8" t="s">
        <v>359</v>
      </c>
      <c r="L52" s="13">
        <v>698686932</v>
      </c>
      <c r="M52" s="55"/>
      <c r="N52" s="43" t="s">
        <v>360</v>
      </c>
      <c r="O52" s="56"/>
      <c r="P52" s="14">
        <v>62</v>
      </c>
      <c r="Q52" s="16"/>
      <c r="R52" s="53"/>
      <c r="S52" s="53"/>
      <c r="T52" s="53"/>
      <c r="U52" s="53"/>
      <c r="V52" s="53"/>
      <c r="W52" s="53"/>
      <c r="X52" s="53"/>
      <c r="Y52" s="53"/>
      <c r="Z52" s="53"/>
    </row>
    <row r="53" spans="1:26" ht="11.25" customHeight="1">
      <c r="A53" s="8">
        <v>52</v>
      </c>
      <c r="B53" s="9" t="s">
        <v>361</v>
      </c>
      <c r="C53" s="9" t="s">
        <v>362</v>
      </c>
      <c r="D53" s="46"/>
      <c r="E53" s="46"/>
      <c r="F53" s="10">
        <v>50</v>
      </c>
      <c r="G53" s="11">
        <v>40630</v>
      </c>
      <c r="H53" s="11">
        <v>40977</v>
      </c>
      <c r="I53" s="28" t="s">
        <v>170</v>
      </c>
      <c r="J53" s="8" t="s">
        <v>363</v>
      </c>
      <c r="K53" s="12" t="s">
        <v>364</v>
      </c>
      <c r="L53" s="13">
        <v>781470506</v>
      </c>
      <c r="M53" s="55" t="s">
        <v>365</v>
      </c>
      <c r="N53" s="49" t="s">
        <v>366</v>
      </c>
      <c r="O53" s="56"/>
      <c r="P53" s="14">
        <v>58</v>
      </c>
      <c r="Q53" s="16"/>
      <c r="R53" s="53"/>
      <c r="S53" s="53"/>
      <c r="T53" s="53"/>
      <c r="U53" s="53"/>
      <c r="V53" s="53"/>
      <c r="W53" s="53"/>
      <c r="X53" s="53"/>
      <c r="Y53" s="53"/>
      <c r="Z53" s="53"/>
    </row>
    <row r="54" spans="1:26" ht="11.25" customHeight="1">
      <c r="A54" s="8">
        <v>53</v>
      </c>
      <c r="B54" s="9" t="s">
        <v>13</v>
      </c>
      <c r="C54" s="9" t="s">
        <v>367</v>
      </c>
      <c r="D54" s="46"/>
      <c r="E54" s="46"/>
      <c r="F54" s="10">
        <v>100</v>
      </c>
      <c r="G54" s="11">
        <v>40942</v>
      </c>
      <c r="H54" s="11">
        <v>40981</v>
      </c>
      <c r="I54" s="28" t="s">
        <v>170</v>
      </c>
      <c r="J54" s="10" t="s">
        <v>368</v>
      </c>
      <c r="K54" s="57" t="s">
        <v>369</v>
      </c>
      <c r="L54" s="13">
        <v>505212244</v>
      </c>
      <c r="M54" s="58"/>
      <c r="N54" s="54" t="s">
        <v>370</v>
      </c>
      <c r="O54" s="56"/>
      <c r="P54" s="14">
        <v>69</v>
      </c>
      <c r="Q54" s="16"/>
      <c r="R54" s="53"/>
      <c r="S54" s="53"/>
      <c r="T54" s="53"/>
      <c r="U54" s="53"/>
      <c r="V54" s="53"/>
      <c r="W54" s="53"/>
      <c r="X54" s="53"/>
      <c r="Y54" s="53"/>
      <c r="Z54" s="53"/>
    </row>
    <row r="55" spans="1:26" ht="11.25" customHeight="1">
      <c r="A55" s="8">
        <v>54</v>
      </c>
      <c r="B55" s="17" t="s">
        <v>371</v>
      </c>
      <c r="C55" s="17" t="s">
        <v>372</v>
      </c>
      <c r="D55" s="59"/>
      <c r="E55" s="59"/>
      <c r="F55" s="26">
        <v>50</v>
      </c>
      <c r="G55" s="60">
        <v>40952</v>
      </c>
      <c r="H55" s="60">
        <v>40984</v>
      </c>
      <c r="I55" s="61" t="s">
        <v>170</v>
      </c>
      <c r="J55" s="26" t="s">
        <v>373</v>
      </c>
      <c r="K55" s="26" t="s">
        <v>374</v>
      </c>
      <c r="L55" s="62">
        <v>601889272</v>
      </c>
      <c r="M55" s="63"/>
      <c r="N55" s="54" t="s">
        <v>375</v>
      </c>
      <c r="O55" s="64"/>
      <c r="P55" s="65">
        <v>68</v>
      </c>
      <c r="Q55" s="66"/>
      <c r="R55" s="53"/>
      <c r="S55" s="53"/>
      <c r="T55" s="53"/>
      <c r="U55" s="53"/>
      <c r="V55" s="53"/>
      <c r="W55" s="53"/>
      <c r="X55" s="53"/>
      <c r="Y55" s="53"/>
      <c r="Z55" s="53"/>
    </row>
    <row r="56" spans="1:26" ht="11.25" customHeight="1">
      <c r="A56" s="8">
        <v>55</v>
      </c>
      <c r="B56" s="9" t="s">
        <v>376</v>
      </c>
      <c r="C56" s="9" t="s">
        <v>377</v>
      </c>
      <c r="D56" s="46"/>
      <c r="E56" s="46"/>
      <c r="F56" s="8">
        <v>50</v>
      </c>
      <c r="G56" s="67">
        <v>41011</v>
      </c>
      <c r="H56" s="67">
        <v>41011</v>
      </c>
      <c r="I56" s="8" t="s">
        <v>378</v>
      </c>
      <c r="J56" s="8" t="s">
        <v>379</v>
      </c>
      <c r="K56" s="8" t="s">
        <v>380</v>
      </c>
      <c r="L56" s="15">
        <v>662615739</v>
      </c>
      <c r="M56" s="68"/>
      <c r="N56" s="43" t="s">
        <v>381</v>
      </c>
      <c r="O56" s="69">
        <v>856760132</v>
      </c>
      <c r="P56" s="9">
        <v>70</v>
      </c>
      <c r="Q56" s="70"/>
      <c r="R56" s="53"/>
      <c r="S56" s="53"/>
      <c r="T56" s="53"/>
      <c r="U56" s="53"/>
      <c r="V56" s="53"/>
      <c r="W56" s="53"/>
      <c r="X56" s="53"/>
      <c r="Y56" s="53"/>
      <c r="Z56" s="53"/>
    </row>
    <row r="57" spans="1:26" ht="11.25" customHeight="1">
      <c r="A57" s="8">
        <v>56</v>
      </c>
      <c r="B57" s="9" t="s">
        <v>382</v>
      </c>
      <c r="C57" s="9" t="s">
        <v>383</v>
      </c>
      <c r="D57" s="46"/>
      <c r="E57" s="46"/>
      <c r="F57" s="8">
        <v>50</v>
      </c>
      <c r="G57" s="67">
        <v>41012</v>
      </c>
      <c r="H57" s="67">
        <v>41012</v>
      </c>
      <c r="I57" s="8" t="s">
        <v>378</v>
      </c>
      <c r="J57" s="8" t="s">
        <v>384</v>
      </c>
      <c r="K57" s="8" t="s">
        <v>385</v>
      </c>
      <c r="L57" s="15">
        <v>505289144</v>
      </c>
      <c r="M57" s="71" t="s">
        <v>386</v>
      </c>
      <c r="N57" s="43" t="s">
        <v>387</v>
      </c>
      <c r="O57" s="69">
        <v>856641224</v>
      </c>
      <c r="P57" s="9">
        <v>74</v>
      </c>
      <c r="Q57" s="70"/>
      <c r="R57" s="53"/>
      <c r="S57" s="53"/>
      <c r="T57" s="53"/>
      <c r="U57" s="53"/>
      <c r="V57" s="53"/>
      <c r="W57" s="53"/>
      <c r="X57" s="53"/>
      <c r="Y57" s="53"/>
      <c r="Z57" s="53"/>
    </row>
    <row r="58" spans="1:26" ht="11.25" customHeight="1">
      <c r="A58" s="8">
        <v>57</v>
      </c>
      <c r="B58" s="9" t="s">
        <v>388</v>
      </c>
      <c r="C58" s="9" t="s">
        <v>389</v>
      </c>
      <c r="D58" s="46"/>
      <c r="E58" s="46"/>
      <c r="F58" s="8">
        <v>45</v>
      </c>
      <c r="G58" s="67">
        <v>41012</v>
      </c>
      <c r="H58" s="67">
        <v>41012</v>
      </c>
      <c r="I58" s="9" t="s">
        <v>170</v>
      </c>
      <c r="J58" s="10" t="s">
        <v>390</v>
      </c>
      <c r="K58" s="10" t="s">
        <v>391</v>
      </c>
      <c r="L58" s="13">
        <v>513861604</v>
      </c>
      <c r="M58" s="71"/>
      <c r="N58" s="43" t="s">
        <v>392</v>
      </c>
      <c r="O58" s="72"/>
      <c r="P58" s="9">
        <v>72</v>
      </c>
      <c r="Q58" s="70"/>
      <c r="R58" s="53"/>
      <c r="S58" s="53"/>
      <c r="T58" s="53"/>
      <c r="U58" s="53"/>
      <c r="V58" s="53"/>
      <c r="W58" s="53"/>
      <c r="X58" s="53"/>
      <c r="Y58" s="53"/>
      <c r="Z58" s="53"/>
    </row>
    <row r="59" spans="1:26" ht="11.25" customHeight="1">
      <c r="A59" s="8">
        <v>58</v>
      </c>
      <c r="B59" s="43" t="s">
        <v>335</v>
      </c>
      <c r="C59" s="43" t="s">
        <v>393</v>
      </c>
      <c r="D59" s="73"/>
      <c r="E59" s="73"/>
      <c r="F59" s="8">
        <v>40</v>
      </c>
      <c r="G59" s="67">
        <v>41036</v>
      </c>
      <c r="H59" s="67">
        <v>41036</v>
      </c>
      <c r="I59" s="9" t="s">
        <v>170</v>
      </c>
      <c r="J59" s="8" t="s">
        <v>394</v>
      </c>
      <c r="K59" s="10" t="s">
        <v>395</v>
      </c>
      <c r="L59" s="13">
        <v>695378300</v>
      </c>
      <c r="M59" s="71"/>
      <c r="N59" s="43" t="s">
        <v>396</v>
      </c>
      <c r="O59" s="56">
        <v>227836176</v>
      </c>
      <c r="P59" s="9">
        <v>59</v>
      </c>
      <c r="Q59" s="70"/>
      <c r="R59" s="53"/>
      <c r="S59" s="53"/>
      <c r="T59" s="53"/>
      <c r="U59" s="53"/>
      <c r="V59" s="53"/>
      <c r="W59" s="53"/>
      <c r="X59" s="53"/>
      <c r="Y59" s="53"/>
      <c r="Z59" s="53"/>
    </row>
    <row r="60" spans="1:26" ht="11.25" customHeight="1">
      <c r="A60" s="8">
        <v>59</v>
      </c>
      <c r="B60" s="43" t="s">
        <v>356</v>
      </c>
      <c r="C60" s="43" t="s">
        <v>397</v>
      </c>
      <c r="D60" s="73"/>
      <c r="E60" s="73"/>
      <c r="F60" s="8">
        <v>60</v>
      </c>
      <c r="G60" s="67">
        <v>41106</v>
      </c>
      <c r="H60" s="67">
        <v>41106</v>
      </c>
      <c r="I60" s="9" t="s">
        <v>170</v>
      </c>
      <c r="J60" s="8" t="s">
        <v>398</v>
      </c>
      <c r="K60" s="8" t="s">
        <v>399</v>
      </c>
      <c r="L60" s="15">
        <v>503347117</v>
      </c>
      <c r="M60" s="68"/>
      <c r="N60" s="43" t="s">
        <v>400</v>
      </c>
      <c r="O60" s="72"/>
      <c r="P60" s="9">
        <v>60</v>
      </c>
      <c r="Q60" s="70"/>
      <c r="R60" s="53"/>
      <c r="S60" s="53"/>
      <c r="T60" s="53"/>
      <c r="U60" s="53"/>
      <c r="V60" s="53"/>
      <c r="W60" s="53"/>
      <c r="X60" s="53"/>
      <c r="Y60" s="53"/>
      <c r="Z60" s="53"/>
    </row>
    <row r="61" spans="1:26" ht="11.25" customHeight="1">
      <c r="A61" s="8">
        <v>60</v>
      </c>
      <c r="B61" s="74" t="s">
        <v>401</v>
      </c>
      <c r="C61" s="17" t="s">
        <v>402</v>
      </c>
      <c r="D61" s="59"/>
      <c r="E61" s="59"/>
      <c r="F61" s="47">
        <v>25</v>
      </c>
      <c r="G61" s="75">
        <v>41137</v>
      </c>
      <c r="H61" s="75">
        <v>41137</v>
      </c>
      <c r="I61" s="47" t="s">
        <v>378</v>
      </c>
      <c r="J61" s="47" t="s">
        <v>403</v>
      </c>
      <c r="K61" s="47" t="s">
        <v>404</v>
      </c>
      <c r="L61" s="76">
        <v>784918776</v>
      </c>
      <c r="M61" s="77" t="s">
        <v>405</v>
      </c>
      <c r="N61" s="74" t="s">
        <v>406</v>
      </c>
      <c r="O61" s="52"/>
      <c r="P61" s="17">
        <v>73</v>
      </c>
      <c r="Q61" s="26"/>
      <c r="R61" s="53"/>
      <c r="S61" s="53"/>
      <c r="T61" s="53"/>
      <c r="U61" s="53"/>
      <c r="V61" s="53"/>
      <c r="W61" s="53"/>
      <c r="X61" s="53"/>
      <c r="Y61" s="53"/>
      <c r="Z61" s="53"/>
    </row>
    <row r="62" spans="1:26" ht="11.25" customHeight="1">
      <c r="A62" s="8">
        <v>61</v>
      </c>
      <c r="B62" s="9" t="s">
        <v>407</v>
      </c>
      <c r="C62" s="9" t="s">
        <v>408</v>
      </c>
      <c r="D62" s="46"/>
      <c r="E62" s="46"/>
      <c r="F62" s="8">
        <v>40</v>
      </c>
      <c r="G62" s="67">
        <v>41165</v>
      </c>
      <c r="H62" s="67">
        <v>41172</v>
      </c>
      <c r="I62" s="9" t="s">
        <v>170</v>
      </c>
      <c r="J62" s="10" t="s">
        <v>409</v>
      </c>
      <c r="K62" s="10" t="s">
        <v>410</v>
      </c>
      <c r="L62" s="13">
        <v>669642888</v>
      </c>
      <c r="M62" s="8"/>
      <c r="N62" s="43" t="s">
        <v>411</v>
      </c>
      <c r="O62" s="8"/>
      <c r="P62" s="9">
        <v>75</v>
      </c>
      <c r="Q62" s="70"/>
      <c r="R62" s="78"/>
      <c r="S62" s="53"/>
      <c r="T62" s="53"/>
      <c r="U62" s="53"/>
      <c r="V62" s="53"/>
      <c r="W62" s="53"/>
      <c r="X62" s="53"/>
      <c r="Y62" s="53"/>
      <c r="Z62" s="53"/>
    </row>
    <row r="63" spans="1:26" ht="11.25" customHeight="1">
      <c r="A63" s="22"/>
      <c r="B63" s="79"/>
      <c r="C63" s="79"/>
      <c r="D63" s="79"/>
      <c r="E63" s="79"/>
      <c r="F63" s="57"/>
      <c r="G63" s="80"/>
      <c r="H63" s="80"/>
      <c r="I63" s="79"/>
      <c r="J63" s="22"/>
      <c r="K63" s="24"/>
      <c r="L63" s="81"/>
      <c r="M63" s="57"/>
      <c r="N63" s="82"/>
      <c r="O63" s="57"/>
      <c r="P63" s="83"/>
      <c r="Q63" s="29"/>
      <c r="R63" s="53"/>
      <c r="S63" s="53"/>
      <c r="T63" s="53"/>
      <c r="U63" s="53"/>
      <c r="V63" s="53"/>
      <c r="W63" s="53"/>
      <c r="X63" s="53"/>
      <c r="Y63" s="53"/>
      <c r="Z63" s="53"/>
    </row>
    <row r="64" spans="1:26" ht="15.75" customHeight="1"/>
    <row r="65" spans="15:15" ht="15.75" customHeight="1"/>
    <row r="66" spans="15:15" ht="15.75" customHeight="1"/>
    <row r="67" spans="15:15" ht="15.75" customHeight="1">
      <c r="O67" s="84"/>
    </row>
    <row r="68" spans="15:15" ht="15.75" customHeight="1"/>
    <row r="69" spans="15:15" ht="15.75" customHeight="1"/>
    <row r="70" spans="15:15" ht="15.75" customHeight="1"/>
    <row r="71" spans="15:15" ht="15.75" customHeight="1"/>
    <row r="72" spans="15:15" ht="15.75" customHeight="1"/>
    <row r="73" spans="15:15" ht="15.75" customHeight="1"/>
    <row r="74" spans="15:15" ht="15.75" customHeight="1"/>
    <row r="75" spans="15:15" ht="15.75" customHeight="1"/>
    <row r="76" spans="15:15" ht="15.75" customHeight="1"/>
    <row r="77" spans="15:15" ht="15.75" customHeight="1"/>
    <row r="78" spans="15:15" ht="15.75" customHeight="1"/>
    <row r="79" spans="15:15" ht="15.75" customHeight="1"/>
    <row r="80" spans="15:15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ef="N48" r:id="rId1" xr:uid="{00000000-0004-0000-0200-000000000000}"/>
    <hyperlink ref="N49" r:id="rId2" xr:uid="{00000000-0004-0000-0200-000001000000}"/>
    <hyperlink ref="N51" r:id="rId3" xr:uid="{00000000-0004-0000-0200-000002000000}"/>
    <hyperlink ref="N54" r:id="rId4" xr:uid="{00000000-0004-0000-0200-000003000000}"/>
    <hyperlink ref="N55" r:id="rId5" xr:uid="{00000000-0004-0000-0200-000004000000}"/>
  </hyperlinks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AL1000"/>
  <sheetViews>
    <sheetView workbookViewId="0"/>
  </sheetViews>
  <sheetFormatPr defaultColWidth="14.44140625" defaultRowHeight="15" customHeight="1"/>
  <cols>
    <col min="1" max="1" width="4.33203125" customWidth="1"/>
    <col min="2" max="2" width="11" customWidth="1"/>
    <col min="3" max="3" width="13" customWidth="1"/>
    <col min="4" max="4" width="7.44140625" customWidth="1"/>
    <col min="5" max="7" width="7.5546875" customWidth="1"/>
    <col min="8" max="9" width="14.109375" customWidth="1"/>
    <col min="10" max="10" width="24.33203125" customWidth="1"/>
    <col min="11" max="11" width="19" customWidth="1"/>
    <col min="12" max="12" width="16.6640625" customWidth="1"/>
    <col min="13" max="13" width="12.44140625" customWidth="1"/>
    <col min="14" max="14" width="14.6640625" customWidth="1"/>
    <col min="15" max="15" width="30.33203125" customWidth="1"/>
    <col min="16" max="16" width="13.44140625" customWidth="1"/>
    <col min="17" max="17" width="13.6640625" customWidth="1"/>
    <col min="18" max="18" width="12.44140625" customWidth="1"/>
    <col min="19" max="19" width="7.109375" customWidth="1"/>
    <col min="20" max="38" width="9.109375" customWidth="1"/>
  </cols>
  <sheetData>
    <row r="1" spans="1:38" ht="23.25" customHeight="1">
      <c r="A1" s="1" t="s">
        <v>0</v>
      </c>
      <c r="B1" s="2" t="s">
        <v>1</v>
      </c>
      <c r="C1" s="2" t="s">
        <v>2</v>
      </c>
      <c r="D1" s="2">
        <v>2010</v>
      </c>
      <c r="E1" s="2">
        <v>2011</v>
      </c>
      <c r="F1" s="3">
        <v>2012</v>
      </c>
      <c r="G1" s="3">
        <v>2013</v>
      </c>
      <c r="H1" s="4" t="s">
        <v>3</v>
      </c>
      <c r="I1" s="4" t="s">
        <v>199</v>
      </c>
      <c r="J1" s="85" t="s">
        <v>5</v>
      </c>
      <c r="K1" s="1" t="s">
        <v>6</v>
      </c>
      <c r="L1" s="1"/>
      <c r="M1" s="3" t="s">
        <v>7</v>
      </c>
      <c r="N1" s="3" t="s">
        <v>8</v>
      </c>
      <c r="O1" s="3" t="s">
        <v>9</v>
      </c>
      <c r="P1" s="3" t="s">
        <v>10</v>
      </c>
      <c r="Q1" s="86" t="s">
        <v>11</v>
      </c>
      <c r="R1" s="6" t="s">
        <v>12</v>
      </c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</row>
    <row r="2" spans="1:38" ht="14.4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0">
        <v>120</v>
      </c>
      <c r="G2" s="10">
        <v>50</v>
      </c>
      <c r="H2" s="11">
        <v>40316</v>
      </c>
      <c r="I2" s="11">
        <v>40229</v>
      </c>
      <c r="J2" s="43" t="s">
        <v>43</v>
      </c>
      <c r="K2" s="12" t="s">
        <v>16</v>
      </c>
      <c r="L2" s="12" t="s">
        <v>17</v>
      </c>
      <c r="M2" s="13">
        <v>502534510</v>
      </c>
      <c r="N2" s="10" t="s">
        <v>18</v>
      </c>
      <c r="O2" s="9" t="s">
        <v>19</v>
      </c>
      <c r="P2" s="10" t="s">
        <v>20</v>
      </c>
      <c r="Q2" s="45">
        <v>2</v>
      </c>
      <c r="R2" s="40" t="s">
        <v>200</v>
      </c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</row>
    <row r="3" spans="1:38" ht="11.25" customHeight="1">
      <c r="A3" s="8">
        <v>2</v>
      </c>
      <c r="B3" s="9" t="s">
        <v>21</v>
      </c>
      <c r="C3" s="9" t="s">
        <v>22</v>
      </c>
      <c r="D3" s="10">
        <v>120</v>
      </c>
      <c r="E3" s="10">
        <v>120</v>
      </c>
      <c r="F3" s="10">
        <v>120</v>
      </c>
      <c r="G3" s="10">
        <v>50</v>
      </c>
      <c r="H3" s="11">
        <v>40316</v>
      </c>
      <c r="I3" s="11">
        <v>40229</v>
      </c>
      <c r="J3" s="43" t="s">
        <v>23</v>
      </c>
      <c r="K3" s="12" t="s">
        <v>24</v>
      </c>
      <c r="L3" s="12" t="s">
        <v>25</v>
      </c>
      <c r="M3" s="15">
        <v>605230859</v>
      </c>
      <c r="N3" s="8" t="s">
        <v>26</v>
      </c>
      <c r="O3" s="9" t="s">
        <v>27</v>
      </c>
      <c r="P3" s="10" t="s">
        <v>28</v>
      </c>
      <c r="Q3" s="45">
        <v>3</v>
      </c>
      <c r="R3" s="40" t="s">
        <v>200</v>
      </c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</row>
    <row r="4" spans="1:38" ht="12.75" customHeight="1">
      <c r="A4" s="8">
        <v>3</v>
      </c>
      <c r="B4" s="9" t="s">
        <v>13</v>
      </c>
      <c r="C4" s="9" t="s">
        <v>29</v>
      </c>
      <c r="D4" s="10">
        <v>120</v>
      </c>
      <c r="E4" s="10">
        <v>120</v>
      </c>
      <c r="F4" s="10">
        <v>120</v>
      </c>
      <c r="G4" s="10">
        <v>100</v>
      </c>
      <c r="H4" s="11">
        <v>40316</v>
      </c>
      <c r="I4" s="11">
        <v>40229</v>
      </c>
      <c r="J4" s="43" t="s">
        <v>43</v>
      </c>
      <c r="K4" s="12" t="s">
        <v>30</v>
      </c>
      <c r="L4" s="12" t="s">
        <v>31</v>
      </c>
      <c r="M4" s="13">
        <v>791300469</v>
      </c>
      <c r="N4" s="10" t="s">
        <v>32</v>
      </c>
      <c r="O4" s="9" t="s">
        <v>33</v>
      </c>
      <c r="P4" s="10" t="s">
        <v>34</v>
      </c>
      <c r="Q4" s="45">
        <v>25</v>
      </c>
      <c r="R4" s="40" t="s">
        <v>200</v>
      </c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</row>
    <row r="5" spans="1:38" ht="11.25" customHeight="1">
      <c r="A5" s="8">
        <v>4</v>
      </c>
      <c r="B5" s="9" t="s">
        <v>35</v>
      </c>
      <c r="C5" s="9" t="s">
        <v>36</v>
      </c>
      <c r="D5" s="10">
        <v>120</v>
      </c>
      <c r="E5" s="10">
        <v>120</v>
      </c>
      <c r="F5" s="10">
        <v>120</v>
      </c>
      <c r="G5" s="10">
        <v>50</v>
      </c>
      <c r="H5" s="11">
        <v>40316</v>
      </c>
      <c r="I5" s="11">
        <v>40229</v>
      </c>
      <c r="J5" s="43" t="s">
        <v>43</v>
      </c>
      <c r="K5" s="12" t="s">
        <v>37</v>
      </c>
      <c r="L5" s="12" t="s">
        <v>38</v>
      </c>
      <c r="M5" s="13">
        <v>608666164</v>
      </c>
      <c r="N5" s="10" t="s">
        <v>39</v>
      </c>
      <c r="O5" s="9" t="s">
        <v>40</v>
      </c>
      <c r="P5" s="10" t="s">
        <v>41</v>
      </c>
      <c r="Q5" s="45">
        <v>4</v>
      </c>
      <c r="R5" s="40" t="s">
        <v>200</v>
      </c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</row>
    <row r="6" spans="1:38" ht="12.75" customHeight="1">
      <c r="A6" s="8">
        <v>5</v>
      </c>
      <c r="B6" s="9" t="s">
        <v>42</v>
      </c>
      <c r="C6" s="9" t="s">
        <v>36</v>
      </c>
      <c r="D6" s="10">
        <v>120</v>
      </c>
      <c r="E6" s="10">
        <v>120</v>
      </c>
      <c r="F6" s="10">
        <v>120</v>
      </c>
      <c r="G6" s="10">
        <v>50</v>
      </c>
      <c r="H6" s="11">
        <v>40316</v>
      </c>
      <c r="I6" s="11">
        <v>40229</v>
      </c>
      <c r="J6" s="43" t="s">
        <v>136</v>
      </c>
      <c r="K6" s="12" t="s">
        <v>44</v>
      </c>
      <c r="L6" s="12" t="s">
        <v>45</v>
      </c>
      <c r="M6" s="15">
        <v>608666170</v>
      </c>
      <c r="N6" s="8" t="s">
        <v>46</v>
      </c>
      <c r="O6" s="9" t="s">
        <v>47</v>
      </c>
      <c r="P6" s="10" t="s">
        <v>32</v>
      </c>
      <c r="Q6" s="45">
        <v>6</v>
      </c>
      <c r="R6" s="40" t="s">
        <v>412</v>
      </c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</row>
    <row r="7" spans="1:38" ht="12" customHeight="1">
      <c r="A7" s="8">
        <v>6</v>
      </c>
      <c r="B7" s="9" t="s">
        <v>48</v>
      </c>
      <c r="C7" s="9" t="s">
        <v>49</v>
      </c>
      <c r="D7" s="10">
        <v>120</v>
      </c>
      <c r="E7" s="10">
        <v>120</v>
      </c>
      <c r="F7" s="10">
        <v>120</v>
      </c>
      <c r="G7" s="10">
        <v>50</v>
      </c>
      <c r="H7" s="11">
        <v>40316</v>
      </c>
      <c r="I7" s="11">
        <v>40229</v>
      </c>
      <c r="J7" s="43" t="s">
        <v>50</v>
      </c>
      <c r="K7" s="12" t="s">
        <v>51</v>
      </c>
      <c r="L7" s="12" t="s">
        <v>52</v>
      </c>
      <c r="M7" s="13">
        <v>601997864</v>
      </c>
      <c r="N7" s="10" t="s">
        <v>32</v>
      </c>
      <c r="O7" s="14" t="s">
        <v>53</v>
      </c>
      <c r="P7" s="10" t="s">
        <v>54</v>
      </c>
      <c r="Q7" s="45">
        <v>33</v>
      </c>
      <c r="R7" s="16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</row>
    <row r="8" spans="1:38" ht="10.5" customHeight="1">
      <c r="A8" s="8">
        <v>7</v>
      </c>
      <c r="B8" s="9" t="s">
        <v>55</v>
      </c>
      <c r="C8" s="9" t="s">
        <v>56</v>
      </c>
      <c r="D8" s="10">
        <v>60</v>
      </c>
      <c r="E8" s="10">
        <v>60</v>
      </c>
      <c r="F8" s="10">
        <v>60</v>
      </c>
      <c r="G8" s="10">
        <v>50</v>
      </c>
      <c r="H8" s="11">
        <v>40316</v>
      </c>
      <c r="I8" s="11">
        <v>40229</v>
      </c>
      <c r="J8" s="74" t="s">
        <v>57</v>
      </c>
      <c r="K8" s="12" t="s">
        <v>58</v>
      </c>
      <c r="L8" s="12" t="s">
        <v>59</v>
      </c>
      <c r="M8" s="13">
        <v>508373904</v>
      </c>
      <c r="N8" s="10" t="s">
        <v>60</v>
      </c>
      <c r="O8" s="9" t="s">
        <v>61</v>
      </c>
      <c r="P8" s="10" t="s">
        <v>62</v>
      </c>
      <c r="Q8" s="45">
        <v>19</v>
      </c>
      <c r="R8" s="16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</row>
    <row r="9" spans="1:38" ht="12.75" customHeight="1">
      <c r="A9" s="8">
        <v>8</v>
      </c>
      <c r="B9" s="9" t="s">
        <v>55</v>
      </c>
      <c r="C9" s="9" t="s">
        <v>63</v>
      </c>
      <c r="D9" s="10">
        <v>120</v>
      </c>
      <c r="E9" s="10">
        <v>120</v>
      </c>
      <c r="F9" s="10">
        <v>120</v>
      </c>
      <c r="G9" s="10">
        <v>50</v>
      </c>
      <c r="H9" s="11">
        <v>40316</v>
      </c>
      <c r="I9" s="19">
        <v>40229</v>
      </c>
      <c r="J9" s="43" t="s">
        <v>15</v>
      </c>
      <c r="K9" s="52" t="s">
        <v>65</v>
      </c>
      <c r="L9" s="8" t="s">
        <v>66</v>
      </c>
      <c r="M9" s="15">
        <v>600118375</v>
      </c>
      <c r="N9" s="8" t="s">
        <v>67</v>
      </c>
      <c r="O9" s="79" t="s">
        <v>68</v>
      </c>
      <c r="P9" s="10" t="s">
        <v>32</v>
      </c>
      <c r="Q9" s="45">
        <v>8</v>
      </c>
      <c r="R9" s="16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</row>
    <row r="10" spans="1:38" ht="12" customHeight="1">
      <c r="A10" s="8">
        <v>9</v>
      </c>
      <c r="B10" s="9" t="s">
        <v>42</v>
      </c>
      <c r="C10" s="9" t="s">
        <v>69</v>
      </c>
      <c r="D10" s="10">
        <v>120</v>
      </c>
      <c r="E10" s="10">
        <v>120</v>
      </c>
      <c r="F10" s="10">
        <v>120</v>
      </c>
      <c r="G10" s="10">
        <v>50</v>
      </c>
      <c r="H10" s="11">
        <v>40316</v>
      </c>
      <c r="I10" s="11">
        <v>40229</v>
      </c>
      <c r="J10" s="68" t="s">
        <v>110</v>
      </c>
      <c r="K10" s="8" t="s">
        <v>71</v>
      </c>
      <c r="L10" s="24" t="s">
        <v>72</v>
      </c>
      <c r="M10" s="13">
        <v>603628256</v>
      </c>
      <c r="N10" s="10" t="s">
        <v>73</v>
      </c>
      <c r="O10" s="14" t="s">
        <v>74</v>
      </c>
      <c r="P10" s="10" t="s">
        <v>75</v>
      </c>
      <c r="Q10" s="45">
        <v>7</v>
      </c>
      <c r="R10" s="40" t="s">
        <v>200</v>
      </c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  <c r="AL10" s="87"/>
    </row>
    <row r="11" spans="1:38" ht="12.75" customHeight="1">
      <c r="A11" s="8">
        <v>10</v>
      </c>
      <c r="B11" s="9" t="s">
        <v>76</v>
      </c>
      <c r="C11" s="9" t="s">
        <v>77</v>
      </c>
      <c r="D11" s="10">
        <v>120</v>
      </c>
      <c r="E11" s="10">
        <v>120</v>
      </c>
      <c r="F11" s="10">
        <v>120</v>
      </c>
      <c r="G11" s="10">
        <v>0</v>
      </c>
      <c r="H11" s="11">
        <v>40316</v>
      </c>
      <c r="I11" s="11">
        <v>40229</v>
      </c>
      <c r="J11" s="43" t="s">
        <v>43</v>
      </c>
      <c r="K11" s="25" t="s">
        <v>78</v>
      </c>
      <c r="L11" s="12" t="s">
        <v>79</v>
      </c>
      <c r="M11" s="13">
        <v>604460697</v>
      </c>
      <c r="N11" s="10" t="s">
        <v>80</v>
      </c>
      <c r="O11" s="14" t="s">
        <v>81</v>
      </c>
      <c r="P11" s="10" t="s">
        <v>32</v>
      </c>
      <c r="Q11" s="45">
        <v>28</v>
      </c>
      <c r="R11" s="16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</row>
    <row r="12" spans="1:38" ht="13.5" customHeight="1">
      <c r="A12" s="8">
        <v>11</v>
      </c>
      <c r="B12" s="9" t="s">
        <v>82</v>
      </c>
      <c r="C12" s="9" t="s">
        <v>83</v>
      </c>
      <c r="D12" s="10">
        <v>120</v>
      </c>
      <c r="E12" s="10">
        <v>120</v>
      </c>
      <c r="F12" s="10">
        <v>120</v>
      </c>
      <c r="G12" s="10">
        <v>0</v>
      </c>
      <c r="H12" s="11">
        <v>40316</v>
      </c>
      <c r="I12" s="11">
        <v>40229</v>
      </c>
      <c r="J12" s="43" t="s">
        <v>43</v>
      </c>
      <c r="K12" s="8" t="s">
        <v>84</v>
      </c>
      <c r="L12" s="12" t="s">
        <v>85</v>
      </c>
      <c r="M12" s="13">
        <v>668334422</v>
      </c>
      <c r="N12" s="10" t="s">
        <v>86</v>
      </c>
      <c r="O12" s="14" t="s">
        <v>87</v>
      </c>
      <c r="P12" s="10" t="s">
        <v>32</v>
      </c>
      <c r="Q12" s="45">
        <v>16</v>
      </c>
      <c r="R12" s="16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</row>
    <row r="13" spans="1:38" ht="12.75" customHeight="1">
      <c r="A13" s="8">
        <v>12</v>
      </c>
      <c r="B13" s="9" t="s">
        <v>88</v>
      </c>
      <c r="C13" s="9" t="s">
        <v>89</v>
      </c>
      <c r="D13" s="10">
        <v>120</v>
      </c>
      <c r="E13" s="10">
        <v>120</v>
      </c>
      <c r="F13" s="10">
        <v>120</v>
      </c>
      <c r="G13" s="10">
        <v>50</v>
      </c>
      <c r="H13" s="11">
        <v>40316</v>
      </c>
      <c r="I13" s="11">
        <v>40229</v>
      </c>
      <c r="J13" s="43" t="s">
        <v>43</v>
      </c>
      <c r="K13" s="26" t="s">
        <v>90</v>
      </c>
      <c r="L13" s="10" t="s">
        <v>91</v>
      </c>
      <c r="M13" s="13">
        <v>500802469</v>
      </c>
      <c r="N13" s="10" t="s">
        <v>92</v>
      </c>
      <c r="O13" s="14" t="s">
        <v>93</v>
      </c>
      <c r="P13" s="10" t="s">
        <v>32</v>
      </c>
      <c r="Q13" s="45">
        <v>10</v>
      </c>
      <c r="R13" s="16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</row>
    <row r="14" spans="1:38" ht="11.25" customHeight="1">
      <c r="A14" s="8">
        <v>13</v>
      </c>
      <c r="B14" s="9" t="s">
        <v>94</v>
      </c>
      <c r="C14" s="9" t="s">
        <v>95</v>
      </c>
      <c r="D14" s="10">
        <v>60</v>
      </c>
      <c r="E14" s="10">
        <v>60</v>
      </c>
      <c r="F14" s="10">
        <v>120</v>
      </c>
      <c r="G14" s="10">
        <v>50</v>
      </c>
      <c r="H14" s="11">
        <v>40316</v>
      </c>
      <c r="I14" s="11">
        <v>40229</v>
      </c>
      <c r="J14" s="43" t="s">
        <v>150</v>
      </c>
      <c r="K14" s="12" t="s">
        <v>96</v>
      </c>
      <c r="L14" s="24" t="s">
        <v>97</v>
      </c>
      <c r="M14" s="13">
        <v>514474608</v>
      </c>
      <c r="N14" s="10" t="s">
        <v>98</v>
      </c>
      <c r="O14" s="14" t="s">
        <v>99</v>
      </c>
      <c r="P14" s="10" t="s">
        <v>100</v>
      </c>
      <c r="Q14" s="45">
        <v>9</v>
      </c>
      <c r="R14" s="40" t="s">
        <v>200</v>
      </c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</row>
    <row r="15" spans="1:38" ht="12.75" customHeight="1">
      <c r="A15" s="8">
        <v>14</v>
      </c>
      <c r="B15" s="9" t="s">
        <v>101</v>
      </c>
      <c r="C15" s="9" t="s">
        <v>102</v>
      </c>
      <c r="D15" s="10">
        <v>120</v>
      </c>
      <c r="E15" s="10">
        <v>120</v>
      </c>
      <c r="F15" s="10">
        <v>120</v>
      </c>
      <c r="G15" s="10">
        <v>120</v>
      </c>
      <c r="H15" s="11">
        <v>40316</v>
      </c>
      <c r="I15" s="11">
        <v>40229</v>
      </c>
      <c r="J15" s="43" t="s">
        <v>43</v>
      </c>
      <c r="K15" s="27" t="s">
        <v>103</v>
      </c>
      <c r="L15" s="12" t="s">
        <v>104</v>
      </c>
      <c r="M15" s="13">
        <v>501228703</v>
      </c>
      <c r="N15" s="10" t="s">
        <v>105</v>
      </c>
      <c r="O15" s="9" t="s">
        <v>106</v>
      </c>
      <c r="P15" s="10" t="s">
        <v>107</v>
      </c>
      <c r="Q15" s="45">
        <v>21</v>
      </c>
      <c r="R15" s="16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</row>
    <row r="16" spans="1:38" ht="13.5" customHeight="1">
      <c r="A16" s="8">
        <v>15</v>
      </c>
      <c r="B16" s="9" t="s">
        <v>108</v>
      </c>
      <c r="C16" s="9" t="s">
        <v>109</v>
      </c>
      <c r="D16" s="10">
        <v>120</v>
      </c>
      <c r="E16" s="10">
        <v>120</v>
      </c>
      <c r="F16" s="10">
        <v>120</v>
      </c>
      <c r="G16" s="10">
        <v>0</v>
      </c>
      <c r="H16" s="11">
        <v>40316</v>
      </c>
      <c r="I16" s="11">
        <v>40229</v>
      </c>
      <c r="J16" s="43" t="s">
        <v>43</v>
      </c>
      <c r="K16" s="12" t="s">
        <v>111</v>
      </c>
      <c r="L16" s="12" t="s">
        <v>112</v>
      </c>
      <c r="M16" s="13">
        <v>721696982</v>
      </c>
      <c r="N16" s="10" t="s">
        <v>113</v>
      </c>
      <c r="O16" s="9" t="s">
        <v>114</v>
      </c>
      <c r="P16" s="10" t="s">
        <v>115</v>
      </c>
      <c r="Q16" s="45">
        <v>26</v>
      </c>
      <c r="R16" s="16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</row>
    <row r="17" spans="1:38" ht="12.75" customHeight="1">
      <c r="A17" s="8">
        <v>16</v>
      </c>
      <c r="B17" s="9" t="s">
        <v>141</v>
      </c>
      <c r="C17" s="9" t="s">
        <v>169</v>
      </c>
      <c r="D17" s="10">
        <v>30</v>
      </c>
      <c r="E17" s="10">
        <v>120</v>
      </c>
      <c r="F17" s="10">
        <v>120</v>
      </c>
      <c r="G17" s="10">
        <v>50</v>
      </c>
      <c r="H17" s="11">
        <v>40459</v>
      </c>
      <c r="I17" s="19">
        <v>40460</v>
      </c>
      <c r="J17" s="43" t="s">
        <v>170</v>
      </c>
      <c r="K17" s="36" t="s">
        <v>171</v>
      </c>
      <c r="L17" s="12" t="s">
        <v>172</v>
      </c>
      <c r="M17" s="13">
        <v>793406015</v>
      </c>
      <c r="N17" s="10" t="s">
        <v>173</v>
      </c>
      <c r="O17" s="9" t="s">
        <v>174</v>
      </c>
      <c r="P17" s="10" t="s">
        <v>32</v>
      </c>
      <c r="Q17" s="45">
        <v>5</v>
      </c>
      <c r="R17" s="1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2.75" customHeight="1">
      <c r="A18" s="8">
        <v>17</v>
      </c>
      <c r="B18" s="9" t="s">
        <v>194</v>
      </c>
      <c r="C18" s="9" t="s">
        <v>195</v>
      </c>
      <c r="D18" s="10">
        <v>120</v>
      </c>
      <c r="E18" s="10">
        <v>120</v>
      </c>
      <c r="F18" s="10">
        <v>120</v>
      </c>
      <c r="G18" s="10">
        <v>120</v>
      </c>
      <c r="H18" s="11">
        <v>40460</v>
      </c>
      <c r="I18" s="11">
        <v>40468</v>
      </c>
      <c r="J18" s="43" t="s">
        <v>170</v>
      </c>
      <c r="K18" s="12" t="s">
        <v>196</v>
      </c>
      <c r="L18" s="12" t="s">
        <v>191</v>
      </c>
      <c r="M18" s="13">
        <v>508916020</v>
      </c>
      <c r="N18" s="10" t="s">
        <v>32</v>
      </c>
      <c r="O18" s="9" t="s">
        <v>197</v>
      </c>
      <c r="P18" s="10" t="s">
        <v>198</v>
      </c>
      <c r="Q18" s="45">
        <v>15</v>
      </c>
      <c r="R18" s="1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1.25" customHeight="1">
      <c r="A19" s="8">
        <v>18</v>
      </c>
      <c r="B19" s="9" t="s">
        <v>55</v>
      </c>
      <c r="C19" s="9" t="s">
        <v>207</v>
      </c>
      <c r="D19" s="41"/>
      <c r="E19" s="10">
        <v>120</v>
      </c>
      <c r="F19" s="10">
        <v>120</v>
      </c>
      <c r="G19" s="10">
        <v>50</v>
      </c>
      <c r="H19" s="11">
        <v>40460</v>
      </c>
      <c r="I19" s="11">
        <v>40630</v>
      </c>
      <c r="J19" s="43" t="s">
        <v>170</v>
      </c>
      <c r="K19" s="12" t="s">
        <v>208</v>
      </c>
      <c r="L19" s="12" t="s">
        <v>209</v>
      </c>
      <c r="M19" s="13">
        <v>601672777</v>
      </c>
      <c r="N19" s="10" t="s">
        <v>210</v>
      </c>
      <c r="O19" s="9" t="s">
        <v>211</v>
      </c>
      <c r="P19" s="10">
        <v>943404489</v>
      </c>
      <c r="Q19" s="45">
        <v>37</v>
      </c>
      <c r="R19" s="1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1.25" customHeight="1">
      <c r="A20" s="8">
        <v>19</v>
      </c>
      <c r="B20" s="9" t="s">
        <v>188</v>
      </c>
      <c r="C20" s="9" t="s">
        <v>223</v>
      </c>
      <c r="D20" s="41"/>
      <c r="E20" s="10">
        <v>120</v>
      </c>
      <c r="F20" s="10">
        <v>120</v>
      </c>
      <c r="G20" s="10">
        <v>50</v>
      </c>
      <c r="H20" s="11">
        <v>40530</v>
      </c>
      <c r="I20" s="11">
        <v>40676</v>
      </c>
      <c r="J20" s="51" t="s">
        <v>64</v>
      </c>
      <c r="K20" s="8" t="s">
        <v>224</v>
      </c>
      <c r="L20" s="12" t="s">
        <v>225</v>
      </c>
      <c r="M20" s="13">
        <v>793258511</v>
      </c>
      <c r="N20" s="10" t="s">
        <v>226</v>
      </c>
      <c r="O20" s="14" t="s">
        <v>227</v>
      </c>
      <c r="P20" s="10">
        <v>413003499</v>
      </c>
      <c r="Q20" s="45">
        <v>22</v>
      </c>
      <c r="R20" s="40" t="s">
        <v>200</v>
      </c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1.25" customHeight="1">
      <c r="A21" s="8">
        <v>20</v>
      </c>
      <c r="B21" s="9" t="s">
        <v>228</v>
      </c>
      <c r="C21" s="9" t="s">
        <v>229</v>
      </c>
      <c r="D21" s="46"/>
      <c r="E21" s="10">
        <v>30</v>
      </c>
      <c r="F21" s="10">
        <v>60</v>
      </c>
      <c r="G21" s="10">
        <v>0</v>
      </c>
      <c r="H21" s="11">
        <v>40682</v>
      </c>
      <c r="I21" s="11">
        <v>40694</v>
      </c>
      <c r="J21" s="43" t="s">
        <v>170</v>
      </c>
      <c r="K21" s="8" t="s">
        <v>230</v>
      </c>
      <c r="L21" s="12" t="s">
        <v>231</v>
      </c>
      <c r="M21" s="10" t="s">
        <v>232</v>
      </c>
      <c r="N21" s="10"/>
      <c r="O21" s="14" t="s">
        <v>233</v>
      </c>
      <c r="P21" s="10"/>
      <c r="Q21" s="45">
        <v>42</v>
      </c>
      <c r="R21" s="1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1.25" customHeight="1">
      <c r="A22" s="8">
        <v>21</v>
      </c>
      <c r="B22" s="9" t="s">
        <v>194</v>
      </c>
      <c r="C22" s="9" t="s">
        <v>234</v>
      </c>
      <c r="D22" s="46"/>
      <c r="E22" s="10">
        <v>30</v>
      </c>
      <c r="F22" s="10">
        <v>60</v>
      </c>
      <c r="G22" s="10">
        <v>50</v>
      </c>
      <c r="H22" s="11">
        <v>40698</v>
      </c>
      <c r="I22" s="11">
        <v>40707</v>
      </c>
      <c r="J22" s="43" t="s">
        <v>170</v>
      </c>
      <c r="K22" s="8" t="s">
        <v>235</v>
      </c>
      <c r="L22" s="12" t="s">
        <v>236</v>
      </c>
      <c r="M22" s="10" t="s">
        <v>237</v>
      </c>
      <c r="N22" s="10"/>
      <c r="O22" s="14" t="s">
        <v>238</v>
      </c>
      <c r="P22" s="10"/>
      <c r="Q22" s="45">
        <v>45</v>
      </c>
      <c r="R22" s="1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1.25" customHeight="1">
      <c r="A23" s="8">
        <v>22</v>
      </c>
      <c r="B23" s="9" t="s">
        <v>188</v>
      </c>
      <c r="C23" s="9" t="s">
        <v>246</v>
      </c>
      <c r="D23" s="46"/>
      <c r="E23" s="10">
        <v>70</v>
      </c>
      <c r="F23" s="10">
        <v>120</v>
      </c>
      <c r="G23" s="10">
        <v>50</v>
      </c>
      <c r="H23" s="11">
        <v>40737</v>
      </c>
      <c r="I23" s="11">
        <v>40731</v>
      </c>
      <c r="J23" s="43" t="s">
        <v>170</v>
      </c>
      <c r="K23" s="8" t="s">
        <v>247</v>
      </c>
      <c r="L23" s="12" t="s">
        <v>248</v>
      </c>
      <c r="M23" s="10" t="s">
        <v>249</v>
      </c>
      <c r="N23" s="10"/>
      <c r="O23" s="14" t="s">
        <v>250</v>
      </c>
      <c r="P23" s="10"/>
      <c r="Q23" s="45">
        <v>43</v>
      </c>
      <c r="R23" s="1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1.25" customHeight="1">
      <c r="A24" s="8">
        <v>23</v>
      </c>
      <c r="B24" s="9" t="s">
        <v>251</v>
      </c>
      <c r="C24" s="9" t="s">
        <v>252</v>
      </c>
      <c r="D24" s="46"/>
      <c r="E24" s="10">
        <v>30</v>
      </c>
      <c r="F24" s="10">
        <v>60</v>
      </c>
      <c r="G24" s="10">
        <v>0</v>
      </c>
      <c r="H24" s="11">
        <v>40695</v>
      </c>
      <c r="I24" s="11">
        <v>40767</v>
      </c>
      <c r="J24" s="43" t="s">
        <v>170</v>
      </c>
      <c r="K24" s="8" t="s">
        <v>253</v>
      </c>
      <c r="L24" s="12" t="s">
        <v>254</v>
      </c>
      <c r="M24" s="10" t="s">
        <v>255</v>
      </c>
      <c r="N24" s="10"/>
      <c r="O24" s="14" t="s">
        <v>256</v>
      </c>
      <c r="P24" s="10"/>
      <c r="Q24" s="45">
        <v>54</v>
      </c>
      <c r="R24" s="1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1.25" customHeight="1">
      <c r="A25" s="8">
        <v>24</v>
      </c>
      <c r="B25" s="9" t="s">
        <v>251</v>
      </c>
      <c r="C25" s="9" t="s">
        <v>257</v>
      </c>
      <c r="D25" s="46"/>
      <c r="E25" s="10">
        <v>30</v>
      </c>
      <c r="F25" s="10">
        <v>60</v>
      </c>
      <c r="G25" s="10">
        <v>0</v>
      </c>
      <c r="H25" s="11">
        <v>40708</v>
      </c>
      <c r="I25" s="11">
        <v>40767</v>
      </c>
      <c r="J25" s="43" t="s">
        <v>170</v>
      </c>
      <c r="K25" s="8" t="s">
        <v>258</v>
      </c>
      <c r="L25" s="12" t="s">
        <v>259</v>
      </c>
      <c r="M25" s="10" t="s">
        <v>260</v>
      </c>
      <c r="N25" s="10"/>
      <c r="O25" s="14" t="s">
        <v>261</v>
      </c>
      <c r="P25" s="10"/>
      <c r="Q25" s="45">
        <v>55</v>
      </c>
      <c r="R25" s="40" t="s">
        <v>200</v>
      </c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1.25" customHeight="1">
      <c r="A26" s="8">
        <v>25</v>
      </c>
      <c r="B26" s="9" t="s">
        <v>262</v>
      </c>
      <c r="C26" s="9" t="s">
        <v>263</v>
      </c>
      <c r="D26" s="46"/>
      <c r="E26" s="10">
        <v>30</v>
      </c>
      <c r="F26" s="10">
        <v>60</v>
      </c>
      <c r="G26" s="10">
        <v>0</v>
      </c>
      <c r="H26" s="11">
        <v>40703</v>
      </c>
      <c r="I26" s="11">
        <v>40767</v>
      </c>
      <c r="J26" s="43" t="s">
        <v>170</v>
      </c>
      <c r="K26" s="8" t="s">
        <v>264</v>
      </c>
      <c r="L26" s="12" t="s">
        <v>265</v>
      </c>
      <c r="M26" s="10" t="s">
        <v>266</v>
      </c>
      <c r="N26" s="10"/>
      <c r="O26" s="14" t="s">
        <v>267</v>
      </c>
      <c r="P26" s="10">
        <v>856636855</v>
      </c>
      <c r="Q26" s="45">
        <v>56</v>
      </c>
      <c r="R26" s="1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1.25" customHeight="1">
      <c r="A27" s="8">
        <v>26</v>
      </c>
      <c r="B27" s="9" t="s">
        <v>268</v>
      </c>
      <c r="C27" s="9" t="s">
        <v>269</v>
      </c>
      <c r="D27" s="46"/>
      <c r="E27" s="10">
        <v>30</v>
      </c>
      <c r="F27" s="10">
        <v>60</v>
      </c>
      <c r="G27" s="10">
        <v>0</v>
      </c>
      <c r="H27" s="11">
        <v>40709</v>
      </c>
      <c r="I27" s="11">
        <v>40767</v>
      </c>
      <c r="J27" s="43" t="s">
        <v>170</v>
      </c>
      <c r="K27" s="8" t="s">
        <v>270</v>
      </c>
      <c r="L27" s="12" t="s">
        <v>271</v>
      </c>
      <c r="M27" s="10" t="s">
        <v>272</v>
      </c>
      <c r="N27" s="10"/>
      <c r="O27" s="14" t="s">
        <v>273</v>
      </c>
      <c r="P27" s="10"/>
      <c r="Q27" s="45">
        <v>57</v>
      </c>
      <c r="R27" s="1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1.25" customHeight="1">
      <c r="A28" s="8">
        <v>27</v>
      </c>
      <c r="B28" s="9" t="s">
        <v>21</v>
      </c>
      <c r="C28" s="9" t="s">
        <v>274</v>
      </c>
      <c r="D28" s="46"/>
      <c r="E28" s="10">
        <v>30</v>
      </c>
      <c r="F28" s="10">
        <v>60</v>
      </c>
      <c r="G28" s="10">
        <v>0</v>
      </c>
      <c r="H28" s="11">
        <v>40703</v>
      </c>
      <c r="I28" s="11">
        <v>40781</v>
      </c>
      <c r="J28" s="43" t="s">
        <v>170</v>
      </c>
      <c r="K28" s="8" t="s">
        <v>275</v>
      </c>
      <c r="L28" s="12" t="s">
        <v>276</v>
      </c>
      <c r="M28" s="10" t="s">
        <v>277</v>
      </c>
      <c r="N28" s="10"/>
      <c r="O28" s="14" t="s">
        <v>278</v>
      </c>
      <c r="P28" s="10"/>
      <c r="Q28" s="45">
        <v>47</v>
      </c>
      <c r="R28" s="1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1.25" customHeight="1">
      <c r="A29" s="8">
        <v>28</v>
      </c>
      <c r="B29" s="9" t="s">
        <v>279</v>
      </c>
      <c r="C29" s="9" t="s">
        <v>280</v>
      </c>
      <c r="D29" s="46"/>
      <c r="E29" s="10">
        <v>30</v>
      </c>
      <c r="F29" s="10">
        <v>60</v>
      </c>
      <c r="G29" s="10">
        <v>0</v>
      </c>
      <c r="H29" s="11">
        <v>40704</v>
      </c>
      <c r="I29" s="11">
        <v>40781</v>
      </c>
      <c r="J29" s="43" t="s">
        <v>170</v>
      </c>
      <c r="K29" s="8" t="s">
        <v>281</v>
      </c>
      <c r="L29" s="12" t="s">
        <v>17</v>
      </c>
      <c r="M29" s="10" t="s">
        <v>282</v>
      </c>
      <c r="N29" s="10"/>
      <c r="O29" s="14" t="s">
        <v>283</v>
      </c>
      <c r="P29" s="10"/>
      <c r="Q29" s="45">
        <v>48</v>
      </c>
      <c r="R29" s="1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1.25" customHeight="1">
      <c r="A30" s="8">
        <v>29</v>
      </c>
      <c r="B30" s="9" t="s">
        <v>13</v>
      </c>
      <c r="C30" s="9" t="s">
        <v>284</v>
      </c>
      <c r="D30" s="46"/>
      <c r="E30" s="10">
        <v>30</v>
      </c>
      <c r="F30" s="10">
        <v>60</v>
      </c>
      <c r="G30" s="10">
        <v>0</v>
      </c>
      <c r="H30" s="11">
        <v>40695</v>
      </c>
      <c r="I30" s="11">
        <v>40781</v>
      </c>
      <c r="J30" s="43" t="s">
        <v>170</v>
      </c>
      <c r="K30" s="47" t="s">
        <v>285</v>
      </c>
      <c r="L30" s="48" t="s">
        <v>276</v>
      </c>
      <c r="M30" s="26" t="s">
        <v>286</v>
      </c>
      <c r="N30" s="10"/>
      <c r="O30" s="65" t="s">
        <v>287</v>
      </c>
      <c r="P30" s="10"/>
      <c r="Q30" s="45">
        <v>50</v>
      </c>
      <c r="R30" s="1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2.75" customHeight="1">
      <c r="A31" s="8">
        <v>30</v>
      </c>
      <c r="B31" s="9" t="s">
        <v>315</v>
      </c>
      <c r="C31" s="9" t="s">
        <v>316</v>
      </c>
      <c r="D31" s="46"/>
      <c r="E31" s="10">
        <v>40</v>
      </c>
      <c r="F31" s="10">
        <v>120</v>
      </c>
      <c r="G31" s="10">
        <v>0</v>
      </c>
      <c r="H31" s="11">
        <v>40812</v>
      </c>
      <c r="I31" s="11">
        <v>40812</v>
      </c>
      <c r="J31" s="43" t="s">
        <v>170</v>
      </c>
      <c r="K31" s="8" t="s">
        <v>317</v>
      </c>
      <c r="L31" s="12" t="s">
        <v>191</v>
      </c>
      <c r="M31" s="13">
        <v>886820739</v>
      </c>
      <c r="N31" s="10"/>
      <c r="O31" s="14" t="s">
        <v>318</v>
      </c>
      <c r="P31" s="10"/>
      <c r="Q31" s="45">
        <v>63</v>
      </c>
      <c r="R31" s="1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2.75" customHeight="1">
      <c r="A32" s="8">
        <v>31</v>
      </c>
      <c r="B32" s="9" t="s">
        <v>35</v>
      </c>
      <c r="C32" s="9" t="s">
        <v>319</v>
      </c>
      <c r="D32" s="46"/>
      <c r="E32" s="10">
        <v>120</v>
      </c>
      <c r="F32" s="10">
        <v>120</v>
      </c>
      <c r="G32" s="10">
        <v>50</v>
      </c>
      <c r="H32" s="11">
        <v>40814</v>
      </c>
      <c r="I32" s="11">
        <v>40815</v>
      </c>
      <c r="J32" s="43" t="s">
        <v>170</v>
      </c>
      <c r="K32" s="8" t="s">
        <v>320</v>
      </c>
      <c r="L32" s="12" t="s">
        <v>321</v>
      </c>
      <c r="M32" s="10" t="s">
        <v>322</v>
      </c>
      <c r="N32" s="10" t="s">
        <v>323</v>
      </c>
      <c r="O32" s="14" t="s">
        <v>324</v>
      </c>
      <c r="P32" s="10"/>
      <c r="Q32" s="45">
        <v>64</v>
      </c>
      <c r="R32" s="1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2.75" customHeight="1">
      <c r="A33" s="8">
        <v>32</v>
      </c>
      <c r="B33" s="9" t="s">
        <v>325</v>
      </c>
      <c r="C33" s="9" t="s">
        <v>326</v>
      </c>
      <c r="D33" s="46"/>
      <c r="E33" s="10">
        <v>40</v>
      </c>
      <c r="F33" s="10">
        <v>120</v>
      </c>
      <c r="G33" s="10">
        <v>0</v>
      </c>
      <c r="H33" s="11">
        <v>40800</v>
      </c>
      <c r="I33" s="11">
        <v>40834</v>
      </c>
      <c r="J33" s="43" t="s">
        <v>170</v>
      </c>
      <c r="K33" s="8" t="s">
        <v>327</v>
      </c>
      <c r="L33" s="12" t="s">
        <v>328</v>
      </c>
      <c r="M33" s="10" t="s">
        <v>329</v>
      </c>
      <c r="N33" s="10"/>
      <c r="O33" s="14" t="s">
        <v>330</v>
      </c>
      <c r="P33" s="10"/>
      <c r="Q33" s="45">
        <v>41</v>
      </c>
      <c r="R33" s="40" t="s">
        <v>200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2.75" customHeight="1">
      <c r="A34" s="8">
        <v>33</v>
      </c>
      <c r="B34" s="9" t="s">
        <v>217</v>
      </c>
      <c r="C34" s="9" t="s">
        <v>116</v>
      </c>
      <c r="D34" s="46"/>
      <c r="E34" s="10">
        <v>20</v>
      </c>
      <c r="F34" s="10">
        <v>100</v>
      </c>
      <c r="G34" s="10">
        <v>150</v>
      </c>
      <c r="H34" s="11">
        <v>40847</v>
      </c>
      <c r="I34" s="11" t="s">
        <v>331</v>
      </c>
      <c r="J34" s="43" t="s">
        <v>143</v>
      </c>
      <c r="K34" s="8" t="s">
        <v>332</v>
      </c>
      <c r="L34" s="12" t="s">
        <v>333</v>
      </c>
      <c r="M34" s="13">
        <v>504377500</v>
      </c>
      <c r="N34" s="10"/>
      <c r="O34" s="14" t="s">
        <v>334</v>
      </c>
      <c r="P34" s="10"/>
      <c r="Q34" s="45">
        <v>61</v>
      </c>
      <c r="R34" s="1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1.25" customHeight="1">
      <c r="A35" s="8">
        <v>34</v>
      </c>
      <c r="B35" s="9" t="s">
        <v>335</v>
      </c>
      <c r="C35" s="9" t="s">
        <v>336</v>
      </c>
      <c r="D35" s="46"/>
      <c r="E35" s="46"/>
      <c r="F35" s="10">
        <v>50</v>
      </c>
      <c r="G35" s="10">
        <v>0</v>
      </c>
      <c r="H35" s="11">
        <v>40930</v>
      </c>
      <c r="I35" s="11">
        <v>40948</v>
      </c>
      <c r="J35" s="43" t="s">
        <v>170</v>
      </c>
      <c r="K35" s="10" t="s">
        <v>337</v>
      </c>
      <c r="L35" s="10" t="s">
        <v>338</v>
      </c>
      <c r="M35" s="13">
        <v>510546591</v>
      </c>
      <c r="N35" s="10"/>
      <c r="O35" s="88" t="s">
        <v>339</v>
      </c>
      <c r="P35" s="10"/>
      <c r="Q35" s="45">
        <v>65</v>
      </c>
      <c r="R35" s="1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1.25" customHeight="1">
      <c r="A36" s="8">
        <v>35</v>
      </c>
      <c r="B36" s="9" t="s">
        <v>340</v>
      </c>
      <c r="C36" s="9" t="s">
        <v>341</v>
      </c>
      <c r="D36" s="46"/>
      <c r="E36" s="46"/>
      <c r="F36" s="10">
        <v>120</v>
      </c>
      <c r="G36" s="10">
        <v>50</v>
      </c>
      <c r="H36" s="11">
        <v>40949</v>
      </c>
      <c r="I36" s="11">
        <v>40953</v>
      </c>
      <c r="J36" s="68" t="s">
        <v>170</v>
      </c>
      <c r="K36" s="10" t="s">
        <v>342</v>
      </c>
      <c r="L36" s="10" t="s">
        <v>343</v>
      </c>
      <c r="M36" s="13">
        <v>660749160</v>
      </c>
      <c r="N36" s="55"/>
      <c r="O36" s="88" t="s">
        <v>344</v>
      </c>
      <c r="P36" s="56"/>
      <c r="Q36" s="45">
        <v>67</v>
      </c>
      <c r="R36" s="1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1.25" customHeight="1">
      <c r="A37" s="8">
        <v>36</v>
      </c>
      <c r="B37" s="9" t="s">
        <v>345</v>
      </c>
      <c r="C37" s="9" t="s">
        <v>346</v>
      </c>
      <c r="D37" s="46"/>
      <c r="E37" s="46"/>
      <c r="F37" s="10">
        <v>60</v>
      </c>
      <c r="G37" s="10">
        <v>0</v>
      </c>
      <c r="H37" s="11">
        <v>40702</v>
      </c>
      <c r="I37" s="11">
        <v>40955</v>
      </c>
      <c r="J37" s="68" t="s">
        <v>347</v>
      </c>
      <c r="K37" s="8" t="s">
        <v>348</v>
      </c>
      <c r="L37" s="12" t="s">
        <v>349</v>
      </c>
      <c r="M37" s="10" t="s">
        <v>350</v>
      </c>
      <c r="N37" s="55"/>
      <c r="O37" s="14" t="s">
        <v>351</v>
      </c>
      <c r="P37" s="56"/>
      <c r="Q37" s="45">
        <v>44</v>
      </c>
      <c r="R37" s="1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1.25" customHeight="1">
      <c r="A38" s="8">
        <v>37</v>
      </c>
      <c r="B38" s="9" t="s">
        <v>42</v>
      </c>
      <c r="C38" s="9" t="s">
        <v>352</v>
      </c>
      <c r="D38" s="46"/>
      <c r="E38" s="46"/>
      <c r="F38" s="10">
        <v>110</v>
      </c>
      <c r="G38" s="10">
        <v>0</v>
      </c>
      <c r="H38" s="11">
        <v>40945</v>
      </c>
      <c r="I38" s="11">
        <v>40961</v>
      </c>
      <c r="J38" s="68" t="s">
        <v>170</v>
      </c>
      <c r="K38" s="10" t="s">
        <v>353</v>
      </c>
      <c r="L38" s="10" t="s">
        <v>354</v>
      </c>
      <c r="M38" s="13">
        <v>608692900</v>
      </c>
      <c r="N38" s="55"/>
      <c r="O38" s="88" t="s">
        <v>355</v>
      </c>
      <c r="P38" s="56"/>
      <c r="Q38" s="45">
        <v>66</v>
      </c>
      <c r="R38" s="1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1.25" customHeight="1">
      <c r="A39" s="8">
        <v>38</v>
      </c>
      <c r="B39" s="9" t="s">
        <v>356</v>
      </c>
      <c r="C39" s="9" t="s">
        <v>357</v>
      </c>
      <c r="D39" s="46"/>
      <c r="E39" s="46"/>
      <c r="F39" s="10">
        <v>100</v>
      </c>
      <c r="G39" s="10">
        <v>50</v>
      </c>
      <c r="H39" s="11">
        <v>41145</v>
      </c>
      <c r="I39" s="11">
        <v>40974</v>
      </c>
      <c r="J39" s="68" t="s">
        <v>170</v>
      </c>
      <c r="K39" s="8" t="s">
        <v>358</v>
      </c>
      <c r="L39" s="8" t="s">
        <v>359</v>
      </c>
      <c r="M39" s="13">
        <v>698686932</v>
      </c>
      <c r="N39" s="55"/>
      <c r="O39" s="9" t="s">
        <v>360</v>
      </c>
      <c r="P39" s="56"/>
      <c r="Q39" s="45">
        <v>62</v>
      </c>
      <c r="R39" s="1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1.25" customHeight="1">
      <c r="A40" s="8">
        <v>39</v>
      </c>
      <c r="B40" s="9" t="s">
        <v>361</v>
      </c>
      <c r="C40" s="9" t="s">
        <v>362</v>
      </c>
      <c r="D40" s="46"/>
      <c r="E40" s="46"/>
      <c r="F40" s="10">
        <v>50</v>
      </c>
      <c r="G40" s="10">
        <v>0</v>
      </c>
      <c r="H40" s="11">
        <v>40630</v>
      </c>
      <c r="I40" s="11">
        <v>40977</v>
      </c>
      <c r="J40" s="68" t="s">
        <v>170</v>
      </c>
      <c r="K40" s="8" t="s">
        <v>363</v>
      </c>
      <c r="L40" s="12" t="s">
        <v>364</v>
      </c>
      <c r="M40" s="13">
        <v>781470506</v>
      </c>
      <c r="N40" s="55" t="s">
        <v>365</v>
      </c>
      <c r="O40" s="65" t="s">
        <v>366</v>
      </c>
      <c r="P40" s="56"/>
      <c r="Q40" s="45">
        <v>58</v>
      </c>
      <c r="R40" s="1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1.25" customHeight="1">
      <c r="A41" s="8">
        <v>40</v>
      </c>
      <c r="B41" s="9" t="s">
        <v>13</v>
      </c>
      <c r="C41" s="9" t="s">
        <v>367</v>
      </c>
      <c r="D41" s="46"/>
      <c r="E41" s="46"/>
      <c r="F41" s="10">
        <v>100</v>
      </c>
      <c r="G41" s="10">
        <v>0</v>
      </c>
      <c r="H41" s="11">
        <v>40942</v>
      </c>
      <c r="I41" s="11">
        <v>40981</v>
      </c>
      <c r="J41" s="68" t="s">
        <v>170</v>
      </c>
      <c r="K41" s="10" t="s">
        <v>368</v>
      </c>
      <c r="L41" s="57" t="s">
        <v>369</v>
      </c>
      <c r="M41" s="13">
        <v>505212244</v>
      </c>
      <c r="N41" s="58"/>
      <c r="O41" s="88" t="s">
        <v>370</v>
      </c>
      <c r="P41" s="56"/>
      <c r="Q41" s="45">
        <v>69</v>
      </c>
      <c r="R41" s="1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1.25" customHeight="1">
      <c r="A42" s="8">
        <v>41</v>
      </c>
      <c r="B42" s="17" t="s">
        <v>371</v>
      </c>
      <c r="C42" s="17" t="s">
        <v>372</v>
      </c>
      <c r="D42" s="59"/>
      <c r="E42" s="59"/>
      <c r="F42" s="26">
        <v>50</v>
      </c>
      <c r="G42" s="26">
        <v>0</v>
      </c>
      <c r="H42" s="60">
        <v>40952</v>
      </c>
      <c r="I42" s="60">
        <v>40984</v>
      </c>
      <c r="J42" s="89" t="s">
        <v>170</v>
      </c>
      <c r="K42" s="26" t="s">
        <v>373</v>
      </c>
      <c r="L42" s="26" t="s">
        <v>374</v>
      </c>
      <c r="M42" s="62">
        <v>601889272</v>
      </c>
      <c r="N42" s="63"/>
      <c r="O42" s="88" t="s">
        <v>375</v>
      </c>
      <c r="P42" s="64"/>
      <c r="Q42" s="49">
        <v>68</v>
      </c>
      <c r="R42" s="66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1.25" customHeight="1">
      <c r="A43" s="8">
        <v>42</v>
      </c>
      <c r="B43" s="9" t="s">
        <v>376</v>
      </c>
      <c r="C43" s="9" t="s">
        <v>377</v>
      </c>
      <c r="D43" s="46"/>
      <c r="E43" s="46"/>
      <c r="F43" s="8">
        <v>50</v>
      </c>
      <c r="G43" s="8">
        <v>0</v>
      </c>
      <c r="H43" s="67">
        <v>41011</v>
      </c>
      <c r="I43" s="67">
        <v>41011</v>
      </c>
      <c r="J43" s="43" t="s">
        <v>378</v>
      </c>
      <c r="K43" s="8" t="s">
        <v>379</v>
      </c>
      <c r="L43" s="8" t="s">
        <v>380</v>
      </c>
      <c r="M43" s="15">
        <v>662615739</v>
      </c>
      <c r="N43" s="68"/>
      <c r="O43" s="9" t="s">
        <v>381</v>
      </c>
      <c r="P43" s="69">
        <v>856760132</v>
      </c>
      <c r="Q43" s="43">
        <v>70</v>
      </c>
      <c r="R43" s="70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1.25" customHeight="1">
      <c r="A44" s="8">
        <v>43</v>
      </c>
      <c r="B44" s="9" t="s">
        <v>382</v>
      </c>
      <c r="C44" s="9" t="s">
        <v>383</v>
      </c>
      <c r="D44" s="46"/>
      <c r="E44" s="46"/>
      <c r="F44" s="8">
        <v>50</v>
      </c>
      <c r="G44" s="8">
        <v>0</v>
      </c>
      <c r="H44" s="67">
        <v>41012</v>
      </c>
      <c r="I44" s="67">
        <v>41012</v>
      </c>
      <c r="J44" s="43" t="s">
        <v>378</v>
      </c>
      <c r="K44" s="8" t="s">
        <v>384</v>
      </c>
      <c r="L44" s="8" t="s">
        <v>385</v>
      </c>
      <c r="M44" s="15">
        <v>505289144</v>
      </c>
      <c r="N44" s="71" t="s">
        <v>386</v>
      </c>
      <c r="O44" s="9" t="s">
        <v>387</v>
      </c>
      <c r="P44" s="69">
        <v>856641224</v>
      </c>
      <c r="Q44" s="43">
        <v>74</v>
      </c>
      <c r="R44" s="70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1.25" customHeight="1">
      <c r="A45" s="8">
        <v>44</v>
      </c>
      <c r="B45" s="9" t="s">
        <v>388</v>
      </c>
      <c r="C45" s="9" t="s">
        <v>389</v>
      </c>
      <c r="D45" s="46"/>
      <c r="E45" s="46"/>
      <c r="F45" s="8">
        <v>45</v>
      </c>
      <c r="G45" s="8">
        <v>50</v>
      </c>
      <c r="H45" s="67">
        <v>41012</v>
      </c>
      <c r="I45" s="67">
        <v>41012</v>
      </c>
      <c r="J45" s="43" t="s">
        <v>170</v>
      </c>
      <c r="K45" s="10" t="s">
        <v>390</v>
      </c>
      <c r="L45" s="10" t="s">
        <v>391</v>
      </c>
      <c r="M45" s="13">
        <v>513861604</v>
      </c>
      <c r="N45" s="71"/>
      <c r="O45" s="9" t="s">
        <v>392</v>
      </c>
      <c r="P45" s="72"/>
      <c r="Q45" s="43">
        <v>72</v>
      </c>
      <c r="R45" s="70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1.25" customHeight="1">
      <c r="A46" s="8">
        <v>45</v>
      </c>
      <c r="B46" s="43" t="s">
        <v>335</v>
      </c>
      <c r="C46" s="43" t="s">
        <v>393</v>
      </c>
      <c r="D46" s="73"/>
      <c r="E46" s="73"/>
      <c r="F46" s="8">
        <v>40</v>
      </c>
      <c r="G46" s="8">
        <v>0</v>
      </c>
      <c r="H46" s="67">
        <v>41036</v>
      </c>
      <c r="I46" s="67">
        <v>41036</v>
      </c>
      <c r="J46" s="43" t="s">
        <v>170</v>
      </c>
      <c r="K46" s="8" t="s">
        <v>394</v>
      </c>
      <c r="L46" s="10" t="s">
        <v>395</v>
      </c>
      <c r="M46" s="13">
        <v>695378300</v>
      </c>
      <c r="N46" s="71"/>
      <c r="O46" s="9" t="s">
        <v>396</v>
      </c>
      <c r="P46" s="56">
        <v>227836176</v>
      </c>
      <c r="Q46" s="43">
        <v>59</v>
      </c>
      <c r="R46" s="70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1.25" customHeight="1">
      <c r="A47" s="8">
        <v>46</v>
      </c>
      <c r="B47" s="43" t="s">
        <v>356</v>
      </c>
      <c r="C47" s="43" t="s">
        <v>397</v>
      </c>
      <c r="D47" s="73"/>
      <c r="E47" s="73"/>
      <c r="F47" s="8">
        <v>60</v>
      </c>
      <c r="G47" s="8">
        <v>0</v>
      </c>
      <c r="H47" s="67">
        <v>41106</v>
      </c>
      <c r="I47" s="67">
        <v>41106</v>
      </c>
      <c r="J47" s="43" t="s">
        <v>170</v>
      </c>
      <c r="K47" s="8" t="s">
        <v>398</v>
      </c>
      <c r="L47" s="8" t="s">
        <v>399</v>
      </c>
      <c r="M47" s="15">
        <v>503347117</v>
      </c>
      <c r="N47" s="68"/>
      <c r="O47" s="9" t="s">
        <v>400</v>
      </c>
      <c r="P47" s="72"/>
      <c r="Q47" s="43">
        <v>60</v>
      </c>
      <c r="R47" s="70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1.25" customHeight="1">
      <c r="A48" s="8">
        <v>47</v>
      </c>
      <c r="B48" s="74" t="s">
        <v>401</v>
      </c>
      <c r="C48" s="17" t="s">
        <v>402</v>
      </c>
      <c r="D48" s="59"/>
      <c r="E48" s="59"/>
      <c r="F48" s="47">
        <v>25</v>
      </c>
      <c r="G48" s="47">
        <v>50</v>
      </c>
      <c r="H48" s="75">
        <v>41137</v>
      </c>
      <c r="I48" s="75">
        <v>41137</v>
      </c>
      <c r="J48" s="74" t="s">
        <v>378</v>
      </c>
      <c r="K48" s="47" t="s">
        <v>403</v>
      </c>
      <c r="L48" s="47" t="s">
        <v>404</v>
      </c>
      <c r="M48" s="76">
        <v>784918776</v>
      </c>
      <c r="N48" s="77" t="s">
        <v>405</v>
      </c>
      <c r="O48" s="17" t="s">
        <v>406</v>
      </c>
      <c r="P48" s="52"/>
      <c r="Q48" s="74">
        <v>73</v>
      </c>
      <c r="R48" s="40" t="s">
        <v>200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1.25" customHeight="1">
      <c r="A49" s="8">
        <v>48</v>
      </c>
      <c r="B49" s="9" t="s">
        <v>407</v>
      </c>
      <c r="C49" s="9" t="s">
        <v>408</v>
      </c>
      <c r="D49" s="46"/>
      <c r="E49" s="46"/>
      <c r="F49" s="8">
        <v>40</v>
      </c>
      <c r="G49" s="8">
        <v>0</v>
      </c>
      <c r="H49" s="67">
        <v>41165</v>
      </c>
      <c r="I49" s="67">
        <v>41172</v>
      </c>
      <c r="J49" s="43" t="s">
        <v>170</v>
      </c>
      <c r="K49" s="10" t="s">
        <v>409</v>
      </c>
      <c r="L49" s="10" t="s">
        <v>410</v>
      </c>
      <c r="M49" s="13">
        <v>669642888</v>
      </c>
      <c r="N49" s="8"/>
      <c r="O49" s="9" t="s">
        <v>411</v>
      </c>
      <c r="P49" s="8"/>
      <c r="Q49" s="43">
        <v>75</v>
      </c>
      <c r="R49" s="70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</row>
    <row r="50" spans="1:38" ht="11.25" customHeight="1">
      <c r="A50" s="8">
        <v>49</v>
      </c>
      <c r="B50" s="90" t="s">
        <v>413</v>
      </c>
      <c r="C50" s="90" t="s">
        <v>414</v>
      </c>
      <c r="D50" s="46"/>
      <c r="E50" s="46"/>
      <c r="F50" s="46"/>
      <c r="G50" s="91">
        <v>120</v>
      </c>
      <c r="H50" s="92">
        <v>41131</v>
      </c>
      <c r="I50" s="92">
        <v>41311</v>
      </c>
      <c r="J50" s="89" t="s">
        <v>170</v>
      </c>
      <c r="K50" s="91" t="s">
        <v>415</v>
      </c>
      <c r="L50" s="91" t="s">
        <v>416</v>
      </c>
      <c r="M50" s="93">
        <v>601357602</v>
      </c>
      <c r="N50" s="94"/>
      <c r="O50" s="95" t="s">
        <v>417</v>
      </c>
      <c r="P50" s="96"/>
      <c r="Q50" s="97">
        <v>76</v>
      </c>
      <c r="R50" s="97"/>
      <c r="S50" s="98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1.25" customHeight="1">
      <c r="A51" s="8">
        <v>50</v>
      </c>
      <c r="B51" s="95" t="s">
        <v>194</v>
      </c>
      <c r="C51" s="95" t="s">
        <v>418</v>
      </c>
      <c r="D51" s="46"/>
      <c r="E51" s="46"/>
      <c r="F51" s="46"/>
      <c r="G51" s="18">
        <v>50</v>
      </c>
      <c r="H51" s="99">
        <v>41314</v>
      </c>
      <c r="I51" s="99">
        <v>41319</v>
      </c>
      <c r="J51" s="43" t="s">
        <v>170</v>
      </c>
      <c r="K51" s="18" t="s">
        <v>419</v>
      </c>
      <c r="L51" s="18" t="s">
        <v>420</v>
      </c>
      <c r="M51" s="100">
        <v>668429949</v>
      </c>
      <c r="N51" s="101" t="s">
        <v>421</v>
      </c>
      <c r="O51" s="95" t="s">
        <v>422</v>
      </c>
      <c r="P51" s="102"/>
      <c r="Q51" s="97">
        <v>77</v>
      </c>
      <c r="R51" s="103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1.25" customHeight="1">
      <c r="A52" s="8">
        <v>51</v>
      </c>
      <c r="B52" s="104" t="s">
        <v>423</v>
      </c>
      <c r="C52" s="104" t="s">
        <v>424</v>
      </c>
      <c r="D52" s="46"/>
      <c r="E52" s="46"/>
      <c r="F52" s="46"/>
      <c r="G52" s="18">
        <v>50</v>
      </c>
      <c r="H52" s="99">
        <v>41329</v>
      </c>
      <c r="I52" s="99">
        <v>41369</v>
      </c>
      <c r="J52" s="43" t="s">
        <v>170</v>
      </c>
      <c r="K52" s="18" t="s">
        <v>425</v>
      </c>
      <c r="L52" s="18" t="s">
        <v>426</v>
      </c>
      <c r="M52" s="104"/>
      <c r="N52" s="101" t="s">
        <v>427</v>
      </c>
      <c r="O52" s="95" t="s">
        <v>428</v>
      </c>
      <c r="P52" s="102"/>
      <c r="Q52" s="97">
        <v>78</v>
      </c>
      <c r="R52" s="103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1.25" customHeight="1">
      <c r="A53" s="8">
        <v>52</v>
      </c>
      <c r="B53" s="104" t="s">
        <v>429</v>
      </c>
      <c r="C53" s="104" t="s">
        <v>430</v>
      </c>
      <c r="D53" s="46"/>
      <c r="E53" s="46"/>
      <c r="F53" s="46"/>
      <c r="G53" s="18">
        <v>50</v>
      </c>
      <c r="H53" s="99">
        <v>41349</v>
      </c>
      <c r="I53" s="99">
        <v>41354</v>
      </c>
      <c r="J53" s="43" t="s">
        <v>170</v>
      </c>
      <c r="K53" s="18" t="s">
        <v>431</v>
      </c>
      <c r="L53" s="18" t="s">
        <v>432</v>
      </c>
      <c r="M53" s="100">
        <v>512180992</v>
      </c>
      <c r="N53" s="105"/>
      <c r="O53" s="95" t="s">
        <v>433</v>
      </c>
      <c r="P53" s="102"/>
      <c r="Q53" s="97">
        <v>79</v>
      </c>
      <c r="R53" s="103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1.25" customHeight="1">
      <c r="A54" s="8">
        <v>53</v>
      </c>
      <c r="B54" s="104" t="s">
        <v>76</v>
      </c>
      <c r="C54" s="104" t="s">
        <v>434</v>
      </c>
      <c r="D54" s="46"/>
      <c r="E54" s="46"/>
      <c r="F54" s="46"/>
      <c r="G54" s="18">
        <v>50</v>
      </c>
      <c r="H54" s="99">
        <v>41349</v>
      </c>
      <c r="I54" s="99">
        <v>41353</v>
      </c>
      <c r="J54" s="43" t="s">
        <v>170</v>
      </c>
      <c r="K54" s="18" t="s">
        <v>435</v>
      </c>
      <c r="L54" s="18" t="s">
        <v>436</v>
      </c>
      <c r="M54" s="100">
        <v>518716183</v>
      </c>
      <c r="N54" s="105"/>
      <c r="O54" s="95" t="s">
        <v>437</v>
      </c>
      <c r="P54" s="102"/>
      <c r="Q54" s="97">
        <v>80</v>
      </c>
      <c r="R54" s="103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1.25" customHeight="1">
      <c r="A55" s="8">
        <v>54</v>
      </c>
      <c r="B55" s="104" t="s">
        <v>438</v>
      </c>
      <c r="C55" s="104" t="s">
        <v>95</v>
      </c>
      <c r="D55" s="46"/>
      <c r="E55" s="46"/>
      <c r="F55" s="46"/>
      <c r="G55" s="18">
        <v>50</v>
      </c>
      <c r="H55" s="106">
        <v>41352</v>
      </c>
      <c r="I55" s="99">
        <v>41358</v>
      </c>
      <c r="J55" s="104" t="s">
        <v>378</v>
      </c>
      <c r="K55" s="18" t="s">
        <v>439</v>
      </c>
      <c r="L55" s="18" t="s">
        <v>97</v>
      </c>
      <c r="M55" s="100">
        <v>510639087</v>
      </c>
      <c r="N55" s="105"/>
      <c r="O55" s="95" t="s">
        <v>440</v>
      </c>
      <c r="P55" s="102"/>
      <c r="Q55" s="97">
        <v>82</v>
      </c>
      <c r="R55" s="103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1.25" customHeight="1">
      <c r="A56" s="8">
        <v>55</v>
      </c>
      <c r="B56" s="104" t="s">
        <v>441</v>
      </c>
      <c r="C56" s="104" t="s">
        <v>442</v>
      </c>
      <c r="D56" s="46"/>
      <c r="E56" s="46"/>
      <c r="F56" s="46"/>
      <c r="G56" s="18">
        <v>50</v>
      </c>
      <c r="H56" s="106">
        <v>41354</v>
      </c>
      <c r="I56" s="99">
        <v>41354</v>
      </c>
      <c r="J56" s="43" t="s">
        <v>170</v>
      </c>
      <c r="K56" s="18" t="s">
        <v>443</v>
      </c>
      <c r="L56" s="18" t="s">
        <v>444</v>
      </c>
      <c r="M56" s="100">
        <v>607777011</v>
      </c>
      <c r="N56" s="105"/>
      <c r="O56" s="95" t="s">
        <v>445</v>
      </c>
      <c r="P56" s="102"/>
      <c r="Q56" s="97">
        <v>83</v>
      </c>
      <c r="R56" s="103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1.25" customHeight="1">
      <c r="A57" s="8">
        <v>56</v>
      </c>
      <c r="B57" s="97" t="s">
        <v>446</v>
      </c>
      <c r="C57" s="97" t="s">
        <v>447</v>
      </c>
      <c r="D57" s="46"/>
      <c r="E57" s="46"/>
      <c r="F57" s="46"/>
      <c r="G57" s="91">
        <v>50</v>
      </c>
      <c r="H57" s="107">
        <v>41354</v>
      </c>
      <c r="I57" s="92">
        <v>41355</v>
      </c>
      <c r="J57" s="74" t="s">
        <v>170</v>
      </c>
      <c r="K57" s="108" t="s">
        <v>448</v>
      </c>
      <c r="L57" s="18" t="s">
        <v>449</v>
      </c>
      <c r="M57" s="109">
        <v>781815484</v>
      </c>
      <c r="N57" s="110"/>
      <c r="O57" s="95" t="s">
        <v>450</v>
      </c>
      <c r="P57" s="96"/>
      <c r="Q57" s="97">
        <v>84</v>
      </c>
      <c r="R57" s="111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1.25" customHeight="1">
      <c r="A58" s="8">
        <v>57</v>
      </c>
      <c r="B58" s="104" t="s">
        <v>13</v>
      </c>
      <c r="C58" s="104" t="s">
        <v>451</v>
      </c>
      <c r="D58" s="46"/>
      <c r="E58" s="46"/>
      <c r="F58" s="46"/>
      <c r="G58" s="18">
        <v>50</v>
      </c>
      <c r="H58" s="99">
        <v>41361</v>
      </c>
      <c r="I58" s="99">
        <v>41361</v>
      </c>
      <c r="J58" s="104" t="s">
        <v>378</v>
      </c>
      <c r="K58" s="18" t="s">
        <v>452</v>
      </c>
      <c r="L58" s="18" t="s">
        <v>453</v>
      </c>
      <c r="M58" s="104"/>
      <c r="N58" s="105"/>
      <c r="O58" s="95" t="s">
        <v>454</v>
      </c>
      <c r="P58" s="102"/>
      <c r="Q58" s="97">
        <v>85</v>
      </c>
      <c r="R58" s="103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1.25" customHeight="1">
      <c r="A59" s="8">
        <v>58</v>
      </c>
      <c r="B59" s="104" t="s">
        <v>13</v>
      </c>
      <c r="C59" s="104" t="s">
        <v>455</v>
      </c>
      <c r="D59" s="46"/>
      <c r="E59" s="46"/>
      <c r="F59" s="46"/>
      <c r="G59" s="18">
        <v>50</v>
      </c>
      <c r="H59" s="99">
        <v>41362</v>
      </c>
      <c r="I59" s="99">
        <v>41389</v>
      </c>
      <c r="J59" s="74" t="s">
        <v>170</v>
      </c>
      <c r="K59" s="18" t="s">
        <v>456</v>
      </c>
      <c r="L59" s="18" t="s">
        <v>457</v>
      </c>
      <c r="M59" s="100">
        <v>793594319</v>
      </c>
      <c r="N59" s="105"/>
      <c r="O59" s="95" t="s">
        <v>458</v>
      </c>
      <c r="P59" s="102"/>
      <c r="Q59" s="97">
        <v>86</v>
      </c>
      <c r="R59" s="103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1.25" customHeight="1">
      <c r="A60" s="8">
        <v>59</v>
      </c>
      <c r="B60" s="104" t="s">
        <v>459</v>
      </c>
      <c r="C60" s="104" t="s">
        <v>460</v>
      </c>
      <c r="D60" s="46"/>
      <c r="E60" s="46"/>
      <c r="F60" s="46"/>
      <c r="G60" s="18">
        <v>50</v>
      </c>
      <c r="H60" s="99"/>
      <c r="I60" s="99">
        <v>41362</v>
      </c>
      <c r="J60" s="43" t="s">
        <v>170</v>
      </c>
      <c r="K60" s="104"/>
      <c r="L60" s="18"/>
      <c r="M60" s="104"/>
      <c r="N60" s="105"/>
      <c r="O60" s="95"/>
      <c r="P60" s="102"/>
      <c r="Q60" s="97">
        <v>87</v>
      </c>
      <c r="R60" s="103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1.25" customHeight="1">
      <c r="A61" s="8">
        <v>60</v>
      </c>
      <c r="B61" s="104" t="s">
        <v>134</v>
      </c>
      <c r="C61" s="104" t="s">
        <v>461</v>
      </c>
      <c r="D61" s="46"/>
      <c r="E61" s="46"/>
      <c r="F61" s="46"/>
      <c r="G61" s="18">
        <v>50</v>
      </c>
      <c r="H61" s="99">
        <v>41407</v>
      </c>
      <c r="I61" s="99">
        <v>41404</v>
      </c>
      <c r="J61" s="43" t="s">
        <v>170</v>
      </c>
      <c r="K61" s="18" t="s">
        <v>462</v>
      </c>
      <c r="L61" s="18" t="s">
        <v>463</v>
      </c>
      <c r="M61" s="104"/>
      <c r="N61" s="105"/>
      <c r="O61" s="95" t="s">
        <v>464</v>
      </c>
      <c r="P61" s="102"/>
      <c r="Q61" s="97">
        <v>88</v>
      </c>
      <c r="R61" s="103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1.25" customHeight="1">
      <c r="A62" s="8">
        <v>61</v>
      </c>
      <c r="B62" s="104" t="s">
        <v>465</v>
      </c>
      <c r="C62" s="104" t="s">
        <v>466</v>
      </c>
      <c r="D62" s="46"/>
      <c r="E62" s="46"/>
      <c r="F62" s="46"/>
      <c r="G62" s="18">
        <v>50</v>
      </c>
      <c r="H62" s="99">
        <v>41509</v>
      </c>
      <c r="I62" s="99">
        <v>41509</v>
      </c>
      <c r="J62" s="43" t="s">
        <v>170</v>
      </c>
      <c r="K62" s="18" t="s">
        <v>467</v>
      </c>
      <c r="L62" s="18" t="s">
        <v>468</v>
      </c>
      <c r="M62" s="100">
        <v>884308894</v>
      </c>
      <c r="N62" s="101" t="s">
        <v>469</v>
      </c>
      <c r="O62" s="95" t="s">
        <v>470</v>
      </c>
      <c r="P62" s="102"/>
      <c r="Q62" s="104">
        <v>90</v>
      </c>
      <c r="R62" s="103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1.25" customHeight="1">
      <c r="A63" s="8">
        <v>62</v>
      </c>
      <c r="B63" s="104" t="s">
        <v>21</v>
      </c>
      <c r="C63" s="104" t="s">
        <v>471</v>
      </c>
      <c r="D63" s="46"/>
      <c r="E63" s="46"/>
      <c r="F63" s="46"/>
      <c r="G63" s="18">
        <v>50</v>
      </c>
      <c r="H63" s="99">
        <v>41523</v>
      </c>
      <c r="I63" s="99">
        <v>41523</v>
      </c>
      <c r="J63" s="43" t="s">
        <v>170</v>
      </c>
      <c r="K63" s="18" t="s">
        <v>472</v>
      </c>
      <c r="L63" s="18" t="s">
        <v>473</v>
      </c>
      <c r="M63" s="100">
        <v>609915799</v>
      </c>
      <c r="N63" s="101" t="s">
        <v>474</v>
      </c>
      <c r="O63" s="95" t="s">
        <v>475</v>
      </c>
      <c r="P63" s="102"/>
      <c r="Q63" s="104">
        <v>91</v>
      </c>
      <c r="R63" s="103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</row>
    <row r="64" spans="1:38" ht="11.25" customHeight="1">
      <c r="A64" s="8">
        <v>63</v>
      </c>
      <c r="B64" s="104" t="s">
        <v>476</v>
      </c>
      <c r="C64" s="104" t="s">
        <v>477</v>
      </c>
      <c r="D64" s="46"/>
      <c r="E64" s="46"/>
      <c r="F64" s="46"/>
      <c r="G64" s="18">
        <v>50</v>
      </c>
      <c r="H64" s="99"/>
      <c r="I64" s="99">
        <v>41526</v>
      </c>
      <c r="J64" s="43" t="s">
        <v>170</v>
      </c>
      <c r="K64" s="18" t="s">
        <v>478</v>
      </c>
      <c r="L64" s="18" t="s">
        <v>479</v>
      </c>
      <c r="M64" s="104"/>
      <c r="N64" s="105"/>
      <c r="O64" s="95"/>
      <c r="P64" s="102" t="s">
        <v>480</v>
      </c>
      <c r="Q64" s="104">
        <v>92</v>
      </c>
      <c r="R64" s="103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</row>
    <row r="65" spans="1:38" ht="11.25" customHeight="1">
      <c r="A65" s="8">
        <v>64</v>
      </c>
      <c r="B65" s="104" t="s">
        <v>481</v>
      </c>
      <c r="C65" s="104" t="s">
        <v>482</v>
      </c>
      <c r="D65" s="46"/>
      <c r="E65" s="46"/>
      <c r="F65" s="46"/>
      <c r="G65" s="18">
        <v>50</v>
      </c>
      <c r="H65" s="99">
        <v>41536</v>
      </c>
      <c r="I65" s="99">
        <v>41537</v>
      </c>
      <c r="J65" s="43" t="s">
        <v>170</v>
      </c>
      <c r="K65" s="18" t="s">
        <v>483</v>
      </c>
      <c r="L65" s="18" t="s">
        <v>484</v>
      </c>
      <c r="M65" s="104"/>
      <c r="N65" s="101" t="s">
        <v>485</v>
      </c>
      <c r="O65" s="95" t="s">
        <v>486</v>
      </c>
      <c r="P65" s="102"/>
      <c r="Q65" s="104">
        <v>93</v>
      </c>
      <c r="R65" s="103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</row>
    <row r="66" spans="1:38" ht="11.25" customHeight="1">
      <c r="A66" s="8">
        <v>65</v>
      </c>
      <c r="B66" s="104" t="s">
        <v>441</v>
      </c>
      <c r="C66" s="104" t="s">
        <v>487</v>
      </c>
      <c r="D66" s="46"/>
      <c r="E66" s="46"/>
      <c r="F66" s="46"/>
      <c r="G66" s="18">
        <v>50</v>
      </c>
      <c r="H66" s="99">
        <v>41558</v>
      </c>
      <c r="I66" s="99">
        <v>41564</v>
      </c>
      <c r="J66" s="43" t="s">
        <v>170</v>
      </c>
      <c r="K66" s="112" t="s">
        <v>488</v>
      </c>
      <c r="L66" s="112" t="s">
        <v>489</v>
      </c>
      <c r="M66" s="113">
        <v>506719314</v>
      </c>
      <c r="N66" s="114" t="s">
        <v>490</v>
      </c>
      <c r="O66" s="95" t="s">
        <v>491</v>
      </c>
      <c r="P66" s="102"/>
      <c r="Q66" s="104">
        <v>94</v>
      </c>
      <c r="R66" s="103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</row>
    <row r="67" spans="1:38" ht="11.25" customHeight="1">
      <c r="A67" s="8">
        <v>66</v>
      </c>
      <c r="B67" s="104" t="s">
        <v>492</v>
      </c>
      <c r="C67" s="104" t="s">
        <v>493</v>
      </c>
      <c r="D67" s="46"/>
      <c r="E67" s="46"/>
      <c r="F67" s="46"/>
      <c r="G67" s="18">
        <v>50</v>
      </c>
      <c r="H67" s="99">
        <v>41598</v>
      </c>
      <c r="I67" s="99">
        <v>41599</v>
      </c>
      <c r="J67" s="43" t="s">
        <v>170</v>
      </c>
      <c r="K67" s="112" t="s">
        <v>494</v>
      </c>
      <c r="L67" s="112" t="s">
        <v>495</v>
      </c>
      <c r="M67" s="113">
        <v>692434393</v>
      </c>
      <c r="N67" s="105"/>
      <c r="O67" s="95" t="s">
        <v>496</v>
      </c>
      <c r="P67" s="102"/>
      <c r="Q67" s="104">
        <v>95</v>
      </c>
      <c r="R67" s="103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</row>
    <row r="68" spans="1:38" ht="11.25" customHeight="1">
      <c r="A68" s="8">
        <v>67</v>
      </c>
      <c r="B68" s="104" t="s">
        <v>188</v>
      </c>
      <c r="C68" s="104" t="s">
        <v>14</v>
      </c>
      <c r="D68" s="46"/>
      <c r="E68" s="46"/>
      <c r="F68" s="46"/>
      <c r="G68" s="18">
        <v>50</v>
      </c>
      <c r="H68" s="99">
        <v>41517</v>
      </c>
      <c r="I68" s="99">
        <v>41738</v>
      </c>
      <c r="J68" s="104" t="s">
        <v>378</v>
      </c>
      <c r="K68" s="27" t="s">
        <v>16</v>
      </c>
      <c r="L68" s="115" t="s">
        <v>17</v>
      </c>
      <c r="M68" s="100">
        <v>514575915</v>
      </c>
      <c r="N68" s="104"/>
      <c r="O68" s="95"/>
      <c r="P68" s="104"/>
      <c r="Q68" s="104">
        <v>102</v>
      </c>
      <c r="R68" s="40" t="s">
        <v>200</v>
      </c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</row>
    <row r="69" spans="1:38" ht="15.75" customHeight="1">
      <c r="J69" s="87"/>
      <c r="O69" s="84"/>
      <c r="Q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</row>
    <row r="70" spans="1:38" ht="15.75" customHeight="1">
      <c r="J70" s="87"/>
      <c r="O70" s="84"/>
      <c r="Q70" s="87"/>
      <c r="S70" s="87"/>
      <c r="T70" s="87"/>
      <c r="U70" s="87"/>
      <c r="V70" s="87"/>
      <c r="W70" s="87"/>
      <c r="X70" s="87"/>
      <c r="Y70" s="87"/>
      <c r="Z70" s="8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</row>
    <row r="71" spans="1:38" ht="15.75" customHeight="1">
      <c r="J71" s="87"/>
      <c r="O71" s="84"/>
      <c r="Q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</row>
    <row r="72" spans="1:38" ht="15.75" customHeight="1">
      <c r="J72" s="87"/>
      <c r="O72" s="84"/>
      <c r="Q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7"/>
    </row>
    <row r="73" spans="1:38" ht="15.75" customHeight="1">
      <c r="J73" s="87"/>
      <c r="O73" s="84"/>
      <c r="Q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7"/>
    </row>
    <row r="74" spans="1:38" ht="15.75" customHeight="1">
      <c r="J74" s="87"/>
      <c r="O74" s="84"/>
      <c r="Q74" s="87"/>
      <c r="S74" s="87"/>
      <c r="T74" s="87"/>
      <c r="U74" s="87"/>
      <c r="V74" s="87"/>
      <c r="W74" s="87"/>
      <c r="X74" s="87"/>
      <c r="Y74" s="87"/>
      <c r="Z74" s="87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  <c r="AL74" s="87"/>
    </row>
    <row r="75" spans="1:38" ht="15.75" customHeight="1">
      <c r="J75" s="87"/>
      <c r="O75" s="84"/>
      <c r="Q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</row>
    <row r="76" spans="1:38" ht="15.75" customHeight="1">
      <c r="J76" s="87"/>
      <c r="O76" s="84"/>
      <c r="Q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</row>
    <row r="77" spans="1:38" ht="15.75" customHeight="1">
      <c r="J77" s="87"/>
      <c r="O77" s="84"/>
      <c r="Q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7"/>
    </row>
    <row r="78" spans="1:38" ht="15.75" customHeight="1">
      <c r="J78" s="87"/>
      <c r="O78" s="84"/>
      <c r="Q78" s="87"/>
      <c r="S78" s="87"/>
      <c r="T78" s="87"/>
      <c r="U78" s="87"/>
      <c r="V78" s="87"/>
      <c r="W78" s="87"/>
      <c r="X78" s="87"/>
      <c r="Y78" s="87"/>
      <c r="Z78" s="87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  <c r="AL78" s="87"/>
    </row>
    <row r="79" spans="1:38" ht="15.75" customHeight="1">
      <c r="J79" s="87"/>
      <c r="O79" s="84"/>
      <c r="Q79" s="87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  <c r="AL79" s="87"/>
    </row>
    <row r="80" spans="1:38" ht="15.75" customHeight="1">
      <c r="J80" s="87"/>
      <c r="O80" s="84"/>
      <c r="Q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7"/>
    </row>
    <row r="81" spans="10:38" ht="15.75" customHeight="1">
      <c r="J81" s="87"/>
      <c r="O81" s="84"/>
      <c r="Q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7"/>
    </row>
    <row r="82" spans="10:38" ht="15.75" customHeight="1">
      <c r="J82" s="87"/>
      <c r="O82" s="84"/>
      <c r="Q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7"/>
    </row>
    <row r="83" spans="10:38" ht="15.75" customHeight="1">
      <c r="J83" s="87"/>
      <c r="O83" s="84"/>
      <c r="Q83" s="87"/>
      <c r="S83" s="87"/>
      <c r="T83" s="87"/>
      <c r="U83" s="87"/>
      <c r="V83" s="87"/>
      <c r="W83" s="87"/>
      <c r="X83" s="87"/>
      <c r="Y83" s="87"/>
      <c r="Z83" s="87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  <c r="AL83" s="87"/>
    </row>
    <row r="84" spans="10:38" ht="15.75" customHeight="1">
      <c r="J84" s="87"/>
      <c r="O84" s="84"/>
      <c r="Q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</row>
    <row r="85" spans="10:38" ht="15.75" customHeight="1">
      <c r="J85" s="87"/>
      <c r="O85" s="84"/>
      <c r="Q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</row>
    <row r="86" spans="10:38" ht="15.75" customHeight="1">
      <c r="J86" s="87"/>
      <c r="O86" s="84"/>
      <c r="Q86" s="87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  <c r="AL86" s="87"/>
    </row>
    <row r="87" spans="10:38" ht="15.75" customHeight="1">
      <c r="J87" s="87"/>
      <c r="O87" s="84"/>
      <c r="Q87" s="87"/>
      <c r="S87" s="87"/>
      <c r="T87" s="87"/>
      <c r="U87" s="87"/>
      <c r="V87" s="87"/>
      <c r="W87" s="87"/>
      <c r="X87" s="87"/>
      <c r="Y87" s="87"/>
      <c r="Z87" s="87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  <c r="AL87" s="87"/>
    </row>
    <row r="88" spans="10:38" ht="15.75" customHeight="1">
      <c r="J88" s="87"/>
      <c r="O88" s="84"/>
      <c r="Q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7"/>
    </row>
    <row r="89" spans="10:38" ht="15.75" customHeight="1">
      <c r="J89" s="87"/>
      <c r="O89" s="84"/>
      <c r="Q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</row>
    <row r="90" spans="10:38" ht="15.75" customHeight="1">
      <c r="J90" s="87"/>
      <c r="O90" s="84"/>
      <c r="Q90" s="87"/>
      <c r="S90" s="87"/>
      <c r="T90" s="87"/>
      <c r="U90" s="87"/>
      <c r="V90" s="87"/>
      <c r="W90" s="87"/>
      <c r="X90" s="87"/>
      <c r="Y90" s="87"/>
      <c r="Z90" s="87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</row>
    <row r="91" spans="10:38" ht="15.75" customHeight="1">
      <c r="J91" s="87"/>
      <c r="O91" s="84"/>
      <c r="Q91" s="87"/>
      <c r="S91" s="87"/>
      <c r="T91" s="87"/>
      <c r="U91" s="87"/>
      <c r="V91" s="87"/>
      <c r="W91" s="87"/>
      <c r="X91" s="87"/>
      <c r="Y91" s="87"/>
      <c r="Z91" s="8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  <c r="AL91" s="87"/>
    </row>
    <row r="92" spans="10:38" ht="15.75" customHeight="1">
      <c r="J92" s="87"/>
      <c r="O92" s="84"/>
      <c r="Q92" s="87"/>
      <c r="S92" s="87"/>
      <c r="T92" s="87"/>
      <c r="U92" s="87"/>
      <c r="V92" s="87"/>
      <c r="W92" s="87"/>
      <c r="X92" s="87"/>
      <c r="Y92" s="87"/>
      <c r="Z92" s="87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  <c r="AL92" s="87"/>
    </row>
    <row r="93" spans="10:38" ht="15.75" customHeight="1">
      <c r="J93" s="87"/>
      <c r="O93" s="84"/>
      <c r="Q93" s="87"/>
      <c r="S93" s="87"/>
      <c r="T93" s="87"/>
      <c r="U93" s="87"/>
      <c r="V93" s="87"/>
      <c r="W93" s="87"/>
      <c r="X93" s="87"/>
      <c r="Y93" s="87"/>
      <c r="Z93" s="87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  <c r="AL93" s="87"/>
    </row>
    <row r="94" spans="10:38" ht="15.75" customHeight="1">
      <c r="J94" s="87"/>
      <c r="O94" s="84"/>
      <c r="Q94" s="87"/>
      <c r="S94" s="87"/>
      <c r="T94" s="87"/>
      <c r="U94" s="87"/>
      <c r="V94" s="87"/>
      <c r="W94" s="87"/>
      <c r="X94" s="87"/>
      <c r="Y94" s="87"/>
      <c r="Z94" s="87"/>
      <c r="AA94" s="87"/>
      <c r="AB94" s="87"/>
      <c r="AC94" s="87"/>
      <c r="AD94" s="87"/>
      <c r="AE94" s="87"/>
      <c r="AF94" s="87"/>
      <c r="AG94" s="87"/>
      <c r="AH94" s="87"/>
      <c r="AI94" s="87"/>
      <c r="AJ94" s="87"/>
      <c r="AK94" s="87"/>
      <c r="AL94" s="87"/>
    </row>
    <row r="95" spans="10:38" ht="15.75" customHeight="1">
      <c r="J95" s="87"/>
      <c r="O95" s="84"/>
      <c r="Q95" s="87"/>
      <c r="S95" s="87"/>
      <c r="T95" s="87"/>
      <c r="U95" s="87"/>
      <c r="V95" s="87"/>
      <c r="W95" s="87"/>
      <c r="X95" s="87"/>
      <c r="Y95" s="87"/>
      <c r="Z95" s="87"/>
      <c r="AA95" s="87"/>
      <c r="AB95" s="87"/>
      <c r="AC95" s="87"/>
      <c r="AD95" s="87"/>
      <c r="AE95" s="87"/>
      <c r="AF95" s="87"/>
      <c r="AG95" s="87"/>
      <c r="AH95" s="87"/>
      <c r="AI95" s="87"/>
      <c r="AJ95" s="87"/>
      <c r="AK95" s="87"/>
      <c r="AL95" s="87"/>
    </row>
    <row r="96" spans="10:38" ht="15.75" customHeight="1">
      <c r="J96" s="87"/>
      <c r="O96" s="84"/>
      <c r="Q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</row>
    <row r="97" spans="10:38" ht="15.75" customHeight="1">
      <c r="J97" s="87"/>
      <c r="O97" s="84"/>
      <c r="Q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/>
    </row>
    <row r="98" spans="10:38" ht="15.75" customHeight="1">
      <c r="J98" s="87"/>
      <c r="O98" s="84"/>
      <c r="Q98" s="87"/>
      <c r="S98" s="87"/>
      <c r="T98" s="87"/>
      <c r="U98" s="87"/>
      <c r="V98" s="87"/>
      <c r="W98" s="87"/>
      <c r="X98" s="87"/>
      <c r="Y98" s="87"/>
      <c r="Z98" s="87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</row>
    <row r="99" spans="10:38" ht="15.75" customHeight="1">
      <c r="J99" s="87"/>
      <c r="O99" s="84"/>
      <c r="Q99" s="87"/>
      <c r="S99" s="87"/>
      <c r="T99" s="87"/>
      <c r="U99" s="87"/>
      <c r="V99" s="87"/>
      <c r="W99" s="87"/>
      <c r="X99" s="87"/>
      <c r="Y99" s="87"/>
      <c r="Z99" s="87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  <c r="AL99" s="87"/>
    </row>
    <row r="100" spans="10:38" ht="15.75" customHeight="1">
      <c r="J100" s="87"/>
      <c r="O100" s="84"/>
      <c r="Q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7"/>
    </row>
    <row r="101" spans="10:38" ht="15.75" customHeight="1">
      <c r="J101" s="87"/>
      <c r="O101" s="84"/>
      <c r="Q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7"/>
    </row>
    <row r="102" spans="10:38" ht="15.75" customHeight="1">
      <c r="J102" s="87"/>
      <c r="O102" s="84"/>
      <c r="Q102" s="87"/>
      <c r="S102" s="87"/>
      <c r="T102" s="87"/>
      <c r="U102" s="87"/>
      <c r="V102" s="87"/>
      <c r="W102" s="87"/>
      <c r="X102" s="87"/>
      <c r="Y102" s="87"/>
      <c r="Z102" s="87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  <c r="AL102" s="87"/>
    </row>
    <row r="103" spans="10:38" ht="15.75" customHeight="1">
      <c r="J103" s="87"/>
      <c r="O103" s="84"/>
      <c r="Q103" s="87"/>
      <c r="S103" s="87"/>
      <c r="T103" s="87"/>
      <c r="U103" s="87"/>
      <c r="V103" s="87"/>
      <c r="W103" s="87"/>
      <c r="X103" s="87"/>
      <c r="Y103" s="87"/>
      <c r="Z103" s="8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</row>
    <row r="104" spans="10:38" ht="15.75" customHeight="1">
      <c r="J104" s="87"/>
      <c r="O104" s="84"/>
      <c r="Q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  <c r="AL104" s="87"/>
    </row>
    <row r="105" spans="10:38" ht="15.75" customHeight="1">
      <c r="J105" s="87"/>
      <c r="O105" s="84"/>
      <c r="Q105" s="87"/>
      <c r="S105" s="87"/>
      <c r="T105" s="87"/>
      <c r="U105" s="87"/>
      <c r="V105" s="87"/>
      <c r="W105" s="87"/>
      <c r="X105" s="87"/>
      <c r="Y105" s="87"/>
      <c r="Z105" s="8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  <c r="AL105" s="87"/>
    </row>
    <row r="106" spans="10:38" ht="15.75" customHeight="1">
      <c r="J106" s="87"/>
      <c r="O106" s="84"/>
      <c r="Q106" s="87"/>
      <c r="S106" s="87"/>
      <c r="T106" s="87"/>
      <c r="U106" s="87"/>
      <c r="V106" s="87"/>
      <c r="W106" s="87"/>
      <c r="X106" s="87"/>
      <c r="Y106" s="87"/>
      <c r="Z106" s="8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  <c r="AL106" s="87"/>
    </row>
    <row r="107" spans="10:38" ht="15.75" customHeight="1">
      <c r="J107" s="87"/>
      <c r="O107" s="84"/>
      <c r="Q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</row>
    <row r="108" spans="10:38" ht="15.75" customHeight="1">
      <c r="J108" s="87"/>
      <c r="O108" s="84"/>
      <c r="Q108" s="87"/>
      <c r="S108" s="87"/>
      <c r="T108" s="87"/>
      <c r="U108" s="87"/>
      <c r="V108" s="87"/>
      <c r="W108" s="87"/>
      <c r="X108" s="87"/>
      <c r="Y108" s="87"/>
      <c r="Z108" s="87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</row>
    <row r="109" spans="10:38" ht="15.75" customHeight="1">
      <c r="J109" s="87"/>
      <c r="O109" s="84"/>
      <c r="Q109" s="87"/>
      <c r="S109" s="87"/>
      <c r="T109" s="87"/>
      <c r="U109" s="87"/>
      <c r="V109" s="87"/>
      <c r="W109" s="87"/>
      <c r="X109" s="87"/>
      <c r="Y109" s="87"/>
      <c r="Z109" s="8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  <c r="AL109" s="87"/>
    </row>
    <row r="110" spans="10:38" ht="15.75" customHeight="1">
      <c r="J110" s="87"/>
      <c r="O110" s="84"/>
      <c r="Q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  <c r="AL110" s="87"/>
    </row>
    <row r="111" spans="10:38" ht="15.75" customHeight="1">
      <c r="J111" s="87"/>
      <c r="O111" s="84"/>
      <c r="Q111" s="87"/>
      <c r="S111" s="87"/>
      <c r="T111" s="87"/>
      <c r="U111" s="87"/>
      <c r="V111" s="87"/>
      <c r="W111" s="87"/>
      <c r="X111" s="87"/>
      <c r="Y111" s="87"/>
      <c r="Z111" s="8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</row>
    <row r="112" spans="10:38" ht="15.75" customHeight="1">
      <c r="J112" s="87"/>
      <c r="O112" s="84"/>
      <c r="Q112" s="87"/>
      <c r="S112" s="87"/>
      <c r="T112" s="87"/>
      <c r="U112" s="87"/>
      <c r="V112" s="87"/>
      <c r="W112" s="87"/>
      <c r="X112" s="87"/>
      <c r="Y112" s="87"/>
      <c r="Z112" s="8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  <c r="AL112" s="87"/>
    </row>
    <row r="113" spans="10:38" ht="15.75" customHeight="1">
      <c r="J113" s="87"/>
      <c r="O113" s="84"/>
      <c r="Q113" s="87"/>
      <c r="S113" s="87"/>
      <c r="T113" s="87"/>
      <c r="U113" s="87"/>
      <c r="V113" s="87"/>
      <c r="W113" s="87"/>
      <c r="X113" s="87"/>
      <c r="Y113" s="87"/>
      <c r="Z113" s="87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  <c r="AL113" s="87"/>
    </row>
    <row r="114" spans="10:38" ht="15.75" customHeight="1">
      <c r="J114" s="87"/>
      <c r="O114" s="84"/>
      <c r="Q114" s="87"/>
      <c r="S114" s="87"/>
      <c r="T114" s="87"/>
      <c r="U114" s="87"/>
      <c r="V114" s="87"/>
      <c r="W114" s="87"/>
      <c r="X114" s="87"/>
      <c r="Y114" s="87"/>
      <c r="Z114" s="87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  <c r="AL114" s="87"/>
    </row>
    <row r="115" spans="10:38" ht="15.75" customHeight="1">
      <c r="J115" s="87"/>
      <c r="O115" s="84"/>
      <c r="Q115" s="87"/>
      <c r="S115" s="87"/>
      <c r="T115" s="87"/>
      <c r="U115" s="87"/>
      <c r="V115" s="87"/>
      <c r="W115" s="87"/>
      <c r="X115" s="87"/>
      <c r="Y115" s="87"/>
      <c r="Z115" s="8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</row>
    <row r="116" spans="10:38" ht="15.75" customHeight="1">
      <c r="J116" s="87"/>
      <c r="O116" s="84"/>
      <c r="Q116" s="87"/>
      <c r="S116" s="87"/>
      <c r="T116" s="87"/>
      <c r="U116" s="87"/>
      <c r="V116" s="87"/>
      <c r="W116" s="87"/>
      <c r="X116" s="87"/>
      <c r="Y116" s="87"/>
      <c r="Z116" s="8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  <c r="AL116" s="87"/>
    </row>
    <row r="117" spans="10:38" ht="15.75" customHeight="1">
      <c r="J117" s="87"/>
      <c r="O117" s="84"/>
      <c r="Q117" s="87"/>
      <c r="S117" s="87"/>
      <c r="T117" s="87"/>
      <c r="U117" s="87"/>
      <c r="V117" s="87"/>
      <c r="W117" s="87"/>
      <c r="X117" s="87"/>
      <c r="Y117" s="87"/>
      <c r="Z117" s="8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  <c r="AL117" s="87"/>
    </row>
    <row r="118" spans="10:38" ht="15.75" customHeight="1">
      <c r="J118" s="87"/>
      <c r="O118" s="84"/>
      <c r="Q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  <c r="AL118" s="87"/>
    </row>
    <row r="119" spans="10:38" ht="15.75" customHeight="1">
      <c r="J119" s="87"/>
      <c r="O119" s="84"/>
      <c r="Q119" s="87"/>
      <c r="S119" s="87"/>
      <c r="T119" s="87"/>
      <c r="U119" s="87"/>
      <c r="V119" s="87"/>
      <c r="W119" s="87"/>
      <c r="X119" s="87"/>
      <c r="Y119" s="87"/>
      <c r="Z119" s="87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  <c r="AL119" s="87"/>
    </row>
    <row r="120" spans="10:38" ht="15.75" customHeight="1">
      <c r="J120" s="87"/>
      <c r="O120" s="84"/>
      <c r="Q120" s="87"/>
      <c r="S120" s="87"/>
      <c r="T120" s="87"/>
      <c r="U120" s="87"/>
      <c r="V120" s="87"/>
      <c r="W120" s="87"/>
      <c r="X120" s="87"/>
      <c r="Y120" s="87"/>
      <c r="Z120" s="87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  <c r="AL120" s="87"/>
    </row>
    <row r="121" spans="10:38" ht="15.75" customHeight="1">
      <c r="J121" s="87"/>
      <c r="O121" s="84"/>
      <c r="Q121" s="87"/>
      <c r="S121" s="87"/>
      <c r="T121" s="87"/>
      <c r="U121" s="87"/>
      <c r="V121" s="87"/>
      <c r="W121" s="87"/>
      <c r="X121" s="87"/>
      <c r="Y121" s="87"/>
      <c r="Z121" s="8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  <c r="AL121" s="87"/>
    </row>
    <row r="122" spans="10:38" ht="15.75" customHeight="1">
      <c r="J122" s="87"/>
      <c r="O122" s="84"/>
      <c r="Q122" s="87"/>
      <c r="S122" s="87"/>
      <c r="T122" s="87"/>
      <c r="U122" s="87"/>
      <c r="V122" s="87"/>
      <c r="W122" s="87"/>
      <c r="X122" s="87"/>
      <c r="Y122" s="87"/>
      <c r="Z122" s="8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</row>
    <row r="123" spans="10:38" ht="15.75" customHeight="1">
      <c r="J123" s="87"/>
      <c r="O123" s="84"/>
      <c r="Q123" s="87"/>
      <c r="S123" s="87"/>
      <c r="T123" s="87"/>
      <c r="U123" s="87"/>
      <c r="V123" s="87"/>
      <c r="W123" s="87"/>
      <c r="X123" s="87"/>
      <c r="Y123" s="87"/>
      <c r="Z123" s="8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  <c r="AL123" s="87"/>
    </row>
    <row r="124" spans="10:38" ht="15.75" customHeight="1">
      <c r="J124" s="87"/>
      <c r="O124" s="84"/>
      <c r="Q124" s="87"/>
      <c r="S124" s="87"/>
      <c r="T124" s="87"/>
      <c r="U124" s="87"/>
      <c r="V124" s="87"/>
      <c r="W124" s="87"/>
      <c r="X124" s="87"/>
      <c r="Y124" s="87"/>
      <c r="Z124" s="8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  <c r="AL124" s="87"/>
    </row>
    <row r="125" spans="10:38" ht="15.75" customHeight="1">
      <c r="J125" s="87"/>
      <c r="O125" s="84"/>
      <c r="Q125" s="87"/>
      <c r="S125" s="87"/>
      <c r="T125" s="87"/>
      <c r="U125" s="87"/>
      <c r="V125" s="87"/>
      <c r="W125" s="87"/>
      <c r="X125" s="87"/>
      <c r="Y125" s="87"/>
      <c r="Z125" s="8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  <c r="AL125" s="87"/>
    </row>
    <row r="126" spans="10:38" ht="15.75" customHeight="1">
      <c r="J126" s="87"/>
      <c r="O126" s="84"/>
      <c r="Q126" s="87"/>
      <c r="S126" s="87"/>
      <c r="T126" s="87"/>
      <c r="U126" s="87"/>
      <c r="V126" s="87"/>
      <c r="W126" s="87"/>
      <c r="X126" s="87"/>
      <c r="Y126" s="87"/>
      <c r="Z126" s="8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  <c r="AL126" s="87"/>
    </row>
    <row r="127" spans="10:38" ht="15.75" customHeight="1">
      <c r="J127" s="87"/>
      <c r="O127" s="84"/>
      <c r="Q127" s="87"/>
      <c r="S127" s="87"/>
      <c r="T127" s="87"/>
      <c r="U127" s="87"/>
      <c r="V127" s="87"/>
      <c r="W127" s="87"/>
      <c r="X127" s="87"/>
      <c r="Y127" s="87"/>
      <c r="Z127" s="8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  <c r="AL127" s="87"/>
    </row>
    <row r="128" spans="10:38" ht="15.75" customHeight="1">
      <c r="J128" s="87"/>
      <c r="O128" s="84"/>
      <c r="Q128" s="87"/>
      <c r="S128" s="87"/>
      <c r="T128" s="87"/>
      <c r="U128" s="87"/>
      <c r="V128" s="87"/>
      <c r="W128" s="87"/>
      <c r="X128" s="87"/>
      <c r="Y128" s="87"/>
      <c r="Z128" s="8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  <c r="AL128" s="87"/>
    </row>
    <row r="129" spans="10:38" ht="15.75" customHeight="1">
      <c r="J129" s="87"/>
      <c r="O129" s="84"/>
      <c r="Q129" s="87"/>
      <c r="S129" s="87"/>
      <c r="T129" s="87"/>
      <c r="U129" s="87"/>
      <c r="V129" s="87"/>
      <c r="W129" s="87"/>
      <c r="X129" s="87"/>
      <c r="Y129" s="87"/>
      <c r="Z129" s="8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</row>
    <row r="130" spans="10:38" ht="15.75" customHeight="1">
      <c r="J130" s="87"/>
      <c r="O130" s="84"/>
      <c r="Q130" s="87"/>
      <c r="S130" s="87"/>
      <c r="T130" s="87"/>
      <c r="U130" s="87"/>
      <c r="V130" s="87"/>
      <c r="W130" s="87"/>
      <c r="X130" s="87"/>
      <c r="Y130" s="87"/>
      <c r="Z130" s="87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  <c r="AL130" s="87"/>
    </row>
    <row r="131" spans="10:38" ht="15.75" customHeight="1">
      <c r="J131" s="87"/>
      <c r="O131" s="84"/>
      <c r="Q131" s="87"/>
      <c r="S131" s="87"/>
      <c r="T131" s="87"/>
      <c r="U131" s="87"/>
      <c r="V131" s="87"/>
      <c r="W131" s="87"/>
      <c r="X131" s="87"/>
      <c r="Y131" s="87"/>
      <c r="Z131" s="87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  <c r="AL131" s="87"/>
    </row>
    <row r="132" spans="10:38" ht="15.75" customHeight="1">
      <c r="J132" s="87"/>
      <c r="O132" s="84"/>
      <c r="Q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  <c r="AL132" s="87"/>
    </row>
    <row r="133" spans="10:38" ht="15.75" customHeight="1">
      <c r="J133" s="87"/>
      <c r="O133" s="84"/>
      <c r="Q133" s="87"/>
      <c r="S133" s="87"/>
      <c r="T133" s="87"/>
      <c r="U133" s="87"/>
      <c r="V133" s="87"/>
      <c r="W133" s="87"/>
      <c r="X133" s="87"/>
      <c r="Y133" s="87"/>
      <c r="Z133" s="8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  <c r="AL133" s="87"/>
    </row>
    <row r="134" spans="10:38" ht="15.75" customHeight="1">
      <c r="J134" s="87"/>
      <c r="O134" s="84"/>
      <c r="Q134" s="87"/>
      <c r="S134" s="87"/>
      <c r="T134" s="87"/>
      <c r="U134" s="87"/>
      <c r="V134" s="87"/>
      <c r="W134" s="87"/>
      <c r="X134" s="87"/>
      <c r="Y134" s="87"/>
      <c r="Z134" s="87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  <c r="AL134" s="87"/>
    </row>
    <row r="135" spans="10:38" ht="15.75" customHeight="1">
      <c r="J135" s="87"/>
      <c r="O135" s="84"/>
      <c r="Q135" s="87"/>
      <c r="S135" s="87"/>
      <c r="T135" s="87"/>
      <c r="U135" s="87"/>
      <c r="V135" s="87"/>
      <c r="W135" s="87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</row>
    <row r="136" spans="10:38" ht="15.75" customHeight="1">
      <c r="J136" s="87"/>
      <c r="O136" s="84"/>
      <c r="Q136" s="87"/>
      <c r="S136" s="87"/>
      <c r="T136" s="87"/>
      <c r="U136" s="87"/>
      <c r="V136" s="87"/>
      <c r="W136" s="87"/>
      <c r="X136" s="87"/>
      <c r="Y136" s="87"/>
      <c r="Z136" s="87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  <c r="AL136" s="87"/>
    </row>
    <row r="137" spans="10:38" ht="15.75" customHeight="1">
      <c r="J137" s="87"/>
      <c r="O137" s="84"/>
      <c r="Q137" s="87"/>
      <c r="S137" s="87"/>
      <c r="T137" s="87"/>
      <c r="U137" s="87"/>
      <c r="V137" s="87"/>
      <c r="W137" s="87"/>
      <c r="X137" s="87"/>
      <c r="Y137" s="87"/>
      <c r="Z137" s="8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  <c r="AL137" s="87"/>
    </row>
    <row r="138" spans="10:38" ht="15.75" customHeight="1">
      <c r="J138" s="87"/>
      <c r="O138" s="84"/>
      <c r="Q138" s="87"/>
      <c r="S138" s="87"/>
      <c r="T138" s="87"/>
      <c r="U138" s="87"/>
      <c r="V138" s="87"/>
      <c r="W138" s="87"/>
      <c r="X138" s="87"/>
      <c r="Y138" s="87"/>
      <c r="Z138" s="87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  <c r="AL138" s="87"/>
    </row>
    <row r="139" spans="10:38" ht="15.75" customHeight="1">
      <c r="J139" s="87"/>
      <c r="O139" s="84"/>
      <c r="Q139" s="87"/>
      <c r="S139" s="87"/>
      <c r="T139" s="87"/>
      <c r="U139" s="87"/>
      <c r="V139" s="87"/>
      <c r="W139" s="87"/>
      <c r="X139" s="87"/>
      <c r="Y139" s="87"/>
      <c r="Z139" s="87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  <c r="AL139" s="87"/>
    </row>
    <row r="140" spans="10:38" ht="15.75" customHeight="1">
      <c r="J140" s="87"/>
      <c r="O140" s="84"/>
      <c r="Q140" s="87"/>
      <c r="S140" s="87"/>
      <c r="T140" s="87"/>
      <c r="U140" s="87"/>
      <c r="V140" s="87"/>
      <c r="W140" s="87"/>
      <c r="X140" s="87"/>
      <c r="Y140" s="87"/>
      <c r="Z140" s="87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  <c r="AL140" s="87"/>
    </row>
    <row r="141" spans="10:38" ht="15.75" customHeight="1">
      <c r="J141" s="87"/>
      <c r="O141" s="84"/>
      <c r="Q141" s="87"/>
      <c r="S141" s="87"/>
      <c r="T141" s="87"/>
      <c r="U141" s="87"/>
      <c r="V141" s="87"/>
      <c r="W141" s="87"/>
      <c r="X141" s="87"/>
      <c r="Y141" s="87"/>
      <c r="Z141" s="87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  <c r="AL141" s="87"/>
    </row>
    <row r="142" spans="10:38" ht="15.75" customHeight="1">
      <c r="J142" s="87"/>
      <c r="O142" s="84"/>
      <c r="Q142" s="87"/>
      <c r="S142" s="87"/>
      <c r="T142" s="87"/>
      <c r="U142" s="87"/>
      <c r="V142" s="87"/>
      <c r="W142" s="87"/>
      <c r="X142" s="87"/>
      <c r="Y142" s="87"/>
      <c r="Z142" s="87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  <c r="AL142" s="87"/>
    </row>
    <row r="143" spans="10:38" ht="15.75" customHeight="1">
      <c r="J143" s="87"/>
      <c r="O143" s="84"/>
      <c r="Q143" s="87"/>
      <c r="S143" s="87"/>
      <c r="T143" s="87"/>
      <c r="U143" s="87"/>
      <c r="V143" s="87"/>
      <c r="W143" s="87"/>
      <c r="X143" s="87"/>
      <c r="Y143" s="87"/>
      <c r="Z143" s="8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  <c r="AL143" s="87"/>
    </row>
    <row r="144" spans="10:38" ht="15.75" customHeight="1">
      <c r="J144" s="87"/>
      <c r="O144" s="84"/>
      <c r="Q144" s="87"/>
      <c r="S144" s="87"/>
      <c r="T144" s="87"/>
      <c r="U144" s="87"/>
      <c r="V144" s="87"/>
      <c r="W144" s="87"/>
      <c r="X144" s="87"/>
      <c r="Y144" s="87"/>
      <c r="Z144" s="87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  <c r="AL144" s="87"/>
    </row>
    <row r="145" spans="10:38" ht="15.75" customHeight="1">
      <c r="J145" s="87"/>
      <c r="O145" s="84"/>
      <c r="Q145" s="87"/>
      <c r="S145" s="87"/>
      <c r="T145" s="87"/>
      <c r="U145" s="87"/>
      <c r="V145" s="87"/>
      <c r="W145" s="87"/>
      <c r="X145" s="87"/>
      <c r="Y145" s="87"/>
      <c r="Z145" s="87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</row>
    <row r="146" spans="10:38" ht="15.75" customHeight="1">
      <c r="J146" s="87"/>
      <c r="O146" s="84"/>
      <c r="Q146" s="87"/>
      <c r="S146" s="87"/>
      <c r="T146" s="87"/>
      <c r="U146" s="87"/>
      <c r="V146" s="87"/>
      <c r="W146" s="87"/>
      <c r="X146" s="87"/>
      <c r="Y146" s="87"/>
      <c r="Z146" s="87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  <c r="AL146" s="87"/>
    </row>
    <row r="147" spans="10:38" ht="15.75" customHeight="1">
      <c r="J147" s="87"/>
      <c r="O147" s="84"/>
      <c r="Q147" s="87"/>
      <c r="S147" s="87"/>
      <c r="T147" s="87"/>
      <c r="U147" s="87"/>
      <c r="V147" s="87"/>
      <c r="W147" s="87"/>
      <c r="X147" s="87"/>
      <c r="Y147" s="87"/>
      <c r="Z147" s="87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  <c r="AL147" s="87"/>
    </row>
    <row r="148" spans="10:38" ht="15.75" customHeight="1">
      <c r="J148" s="87"/>
      <c r="O148" s="84"/>
      <c r="Q148" s="87"/>
      <c r="S148" s="87"/>
      <c r="T148" s="87"/>
      <c r="U148" s="87"/>
      <c r="V148" s="87"/>
      <c r="W148" s="87"/>
      <c r="X148" s="87"/>
      <c r="Y148" s="87"/>
      <c r="Z148" s="8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  <c r="AL148" s="87"/>
    </row>
    <row r="149" spans="10:38" ht="15.75" customHeight="1">
      <c r="J149" s="87"/>
      <c r="O149" s="84"/>
      <c r="Q149" s="87"/>
      <c r="S149" s="87"/>
      <c r="T149" s="87"/>
      <c r="U149" s="87"/>
      <c r="V149" s="87"/>
      <c r="W149" s="87"/>
      <c r="X149" s="87"/>
      <c r="Y149" s="87"/>
      <c r="Z149" s="87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  <c r="AL149" s="87"/>
    </row>
    <row r="150" spans="10:38" ht="15.75" customHeight="1">
      <c r="J150" s="87"/>
      <c r="O150" s="84"/>
      <c r="Q150" s="87"/>
      <c r="S150" s="87"/>
      <c r="T150" s="87"/>
      <c r="U150" s="87"/>
      <c r="V150" s="87"/>
      <c r="W150" s="87"/>
      <c r="X150" s="87"/>
      <c r="Y150" s="87"/>
      <c r="Z150" s="87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  <c r="AL150" s="87"/>
    </row>
    <row r="151" spans="10:38" ht="15.75" customHeight="1">
      <c r="J151" s="87"/>
      <c r="O151" s="84"/>
      <c r="Q151" s="87"/>
      <c r="S151" s="87"/>
      <c r="T151" s="87"/>
      <c r="U151" s="87"/>
      <c r="V151" s="87"/>
      <c r="W151" s="87"/>
      <c r="X151" s="87"/>
      <c r="Y151" s="87"/>
      <c r="Z151" s="87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  <c r="AL151" s="87"/>
    </row>
    <row r="152" spans="10:38" ht="15.75" customHeight="1">
      <c r="J152" s="87"/>
      <c r="O152" s="84"/>
      <c r="Q152" s="87"/>
      <c r="S152" s="87"/>
      <c r="T152" s="87"/>
      <c r="U152" s="87"/>
      <c r="V152" s="87"/>
      <c r="W152" s="87"/>
      <c r="X152" s="87"/>
      <c r="Y152" s="87"/>
      <c r="Z152" s="87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  <c r="AL152" s="87"/>
    </row>
    <row r="153" spans="10:38" ht="15.75" customHeight="1">
      <c r="J153" s="87"/>
      <c r="O153" s="84"/>
      <c r="Q153" s="87"/>
      <c r="S153" s="87"/>
      <c r="T153" s="87"/>
      <c r="U153" s="87"/>
      <c r="V153" s="87"/>
      <c r="W153" s="87"/>
      <c r="X153" s="87"/>
      <c r="Y153" s="87"/>
      <c r="Z153" s="87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  <c r="AL153" s="87"/>
    </row>
    <row r="154" spans="10:38" ht="15.75" customHeight="1">
      <c r="J154" s="87"/>
      <c r="O154" s="84"/>
      <c r="Q154" s="87"/>
      <c r="S154" s="87"/>
      <c r="T154" s="87"/>
      <c r="U154" s="87"/>
      <c r="V154" s="87"/>
      <c r="W154" s="87"/>
      <c r="X154" s="87"/>
      <c r="Y154" s="87"/>
      <c r="Z154" s="87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  <c r="AL154" s="87"/>
    </row>
    <row r="155" spans="10:38" ht="15.75" customHeight="1">
      <c r="J155" s="87"/>
      <c r="O155" s="84"/>
      <c r="Q155" s="87"/>
      <c r="S155" s="87"/>
      <c r="T155" s="87"/>
      <c r="U155" s="87"/>
      <c r="V155" s="87"/>
      <c r="W155" s="87"/>
      <c r="X155" s="87"/>
      <c r="Y155" s="87"/>
      <c r="Z155" s="87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  <c r="AL155" s="87"/>
    </row>
    <row r="156" spans="10:38" ht="15.75" customHeight="1">
      <c r="J156" s="87"/>
      <c r="O156" s="84"/>
      <c r="Q156" s="87"/>
      <c r="S156" s="87"/>
      <c r="T156" s="87"/>
      <c r="U156" s="87"/>
      <c r="V156" s="87"/>
      <c r="W156" s="87"/>
      <c r="X156" s="87"/>
      <c r="Y156" s="87"/>
      <c r="Z156" s="87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  <c r="AL156" s="87"/>
    </row>
    <row r="157" spans="10:38" ht="15.75" customHeight="1">
      <c r="J157" s="87"/>
      <c r="O157" s="84"/>
      <c r="Q157" s="87"/>
      <c r="S157" s="87"/>
      <c r="T157" s="87"/>
      <c r="U157" s="87"/>
      <c r="V157" s="87"/>
      <c r="W157" s="87"/>
      <c r="X157" s="87"/>
      <c r="Y157" s="87"/>
      <c r="Z157" s="87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  <c r="AL157" s="87"/>
    </row>
    <row r="158" spans="10:38" ht="15.75" customHeight="1">
      <c r="J158" s="87"/>
      <c r="O158" s="84"/>
      <c r="Q158" s="87"/>
      <c r="S158" s="87"/>
      <c r="T158" s="87"/>
      <c r="U158" s="87"/>
      <c r="V158" s="87"/>
      <c r="W158" s="87"/>
      <c r="X158" s="87"/>
      <c r="Y158" s="87"/>
      <c r="Z158" s="87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  <c r="AL158" s="87"/>
    </row>
    <row r="159" spans="10:38" ht="15.75" customHeight="1">
      <c r="J159" s="87"/>
      <c r="O159" s="84"/>
      <c r="Q159" s="87"/>
      <c r="S159" s="87"/>
      <c r="T159" s="87"/>
      <c r="U159" s="87"/>
      <c r="V159" s="87"/>
      <c r="W159" s="87"/>
      <c r="X159" s="87"/>
      <c r="Y159" s="87"/>
      <c r="Z159" s="87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  <c r="AL159" s="87"/>
    </row>
    <row r="160" spans="10:38" ht="15.75" customHeight="1">
      <c r="J160" s="87"/>
      <c r="O160" s="84"/>
      <c r="Q160" s="87"/>
      <c r="S160" s="87"/>
      <c r="T160" s="87"/>
      <c r="U160" s="87"/>
      <c r="V160" s="87"/>
      <c r="W160" s="87"/>
      <c r="X160" s="87"/>
      <c r="Y160" s="87"/>
      <c r="Z160" s="87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  <c r="AL160" s="87"/>
    </row>
    <row r="161" spans="10:38" ht="15.75" customHeight="1">
      <c r="J161" s="87"/>
      <c r="O161" s="84"/>
      <c r="Q161" s="87"/>
      <c r="S161" s="87"/>
      <c r="T161" s="87"/>
      <c r="U161" s="87"/>
      <c r="V161" s="87"/>
      <c r="W161" s="87"/>
      <c r="X161" s="87"/>
      <c r="Y161" s="87"/>
      <c r="Z161" s="87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  <c r="AL161" s="87"/>
    </row>
    <row r="162" spans="10:38" ht="15.75" customHeight="1">
      <c r="J162" s="87"/>
      <c r="O162" s="84"/>
      <c r="Q162" s="87"/>
      <c r="S162" s="87"/>
      <c r="T162" s="87"/>
      <c r="U162" s="87"/>
      <c r="V162" s="87"/>
      <c r="W162" s="87"/>
      <c r="X162" s="87"/>
      <c r="Y162" s="87"/>
      <c r="Z162" s="87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  <c r="AL162" s="87"/>
    </row>
    <row r="163" spans="10:38" ht="15.75" customHeight="1">
      <c r="J163" s="87"/>
      <c r="O163" s="84"/>
      <c r="Q163" s="87"/>
      <c r="S163" s="87"/>
      <c r="T163" s="87"/>
      <c r="U163" s="87"/>
      <c r="V163" s="87"/>
      <c r="W163" s="87"/>
      <c r="X163" s="87"/>
      <c r="Y163" s="87"/>
      <c r="Z163" s="87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  <c r="AL163" s="87"/>
    </row>
    <row r="164" spans="10:38" ht="15.75" customHeight="1">
      <c r="J164" s="87"/>
      <c r="O164" s="84"/>
      <c r="Q164" s="87"/>
      <c r="S164" s="87"/>
      <c r="T164" s="87"/>
      <c r="U164" s="87"/>
      <c r="V164" s="87"/>
      <c r="W164" s="87"/>
      <c r="X164" s="87"/>
      <c r="Y164" s="87"/>
      <c r="Z164" s="87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</row>
    <row r="165" spans="10:38" ht="15.75" customHeight="1">
      <c r="J165" s="87"/>
      <c r="O165" s="84"/>
      <c r="Q165" s="87"/>
      <c r="S165" s="87"/>
      <c r="T165" s="87"/>
      <c r="U165" s="87"/>
      <c r="V165" s="87"/>
      <c r="W165" s="87"/>
      <c r="X165" s="87"/>
      <c r="Y165" s="87"/>
      <c r="Z165" s="87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  <c r="AL165" s="87"/>
    </row>
    <row r="166" spans="10:38" ht="15.75" customHeight="1">
      <c r="J166" s="87"/>
      <c r="O166" s="84"/>
      <c r="Q166" s="87"/>
      <c r="S166" s="87"/>
      <c r="T166" s="87"/>
      <c r="U166" s="87"/>
      <c r="V166" s="87"/>
      <c r="W166" s="87"/>
      <c r="X166" s="87"/>
      <c r="Y166" s="87"/>
      <c r="Z166" s="87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  <c r="AL166" s="87"/>
    </row>
    <row r="167" spans="10:38" ht="15.75" customHeight="1">
      <c r="J167" s="87"/>
      <c r="O167" s="84"/>
      <c r="Q167" s="87"/>
      <c r="S167" s="87"/>
      <c r="T167" s="87"/>
      <c r="U167" s="87"/>
      <c r="V167" s="87"/>
      <c r="W167" s="87"/>
      <c r="X167" s="87"/>
      <c r="Y167" s="87"/>
      <c r="Z167" s="87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  <c r="AL167" s="87"/>
    </row>
    <row r="168" spans="10:38" ht="15.75" customHeight="1">
      <c r="J168" s="87"/>
      <c r="O168" s="84"/>
      <c r="Q168" s="87"/>
      <c r="S168" s="87"/>
      <c r="T168" s="87"/>
      <c r="U168" s="87"/>
      <c r="V168" s="87"/>
      <c r="W168" s="87"/>
      <c r="X168" s="87"/>
      <c r="Y168" s="87"/>
      <c r="Z168" s="87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  <c r="AL168" s="87"/>
    </row>
    <row r="169" spans="10:38" ht="15.75" customHeight="1">
      <c r="J169" s="87"/>
      <c r="O169" s="84"/>
      <c r="Q169" s="87"/>
      <c r="S169" s="87"/>
      <c r="T169" s="87"/>
      <c r="U169" s="87"/>
      <c r="V169" s="87"/>
      <c r="W169" s="87"/>
      <c r="X169" s="87"/>
      <c r="Y169" s="87"/>
      <c r="Z169" s="87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  <c r="AL169" s="87"/>
    </row>
    <row r="170" spans="10:38" ht="15.75" customHeight="1">
      <c r="J170" s="87"/>
      <c r="O170" s="84"/>
      <c r="Q170" s="87"/>
      <c r="S170" s="87"/>
      <c r="T170" s="87"/>
      <c r="U170" s="87"/>
      <c r="V170" s="87"/>
      <c r="W170" s="87"/>
      <c r="X170" s="87"/>
      <c r="Y170" s="87"/>
      <c r="Z170" s="87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  <c r="AL170" s="87"/>
    </row>
    <row r="171" spans="10:38" ht="15.75" customHeight="1">
      <c r="J171" s="87"/>
      <c r="O171" s="84"/>
      <c r="Q171" s="87"/>
      <c r="S171" s="87"/>
      <c r="T171" s="87"/>
      <c r="U171" s="87"/>
      <c r="V171" s="87"/>
      <c r="W171" s="87"/>
      <c r="X171" s="87"/>
      <c r="Y171" s="87"/>
      <c r="Z171" s="87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  <c r="AL171" s="87"/>
    </row>
    <row r="172" spans="10:38" ht="15.75" customHeight="1">
      <c r="J172" s="87"/>
      <c r="O172" s="84"/>
      <c r="Q172" s="87"/>
      <c r="S172" s="87"/>
      <c r="T172" s="87"/>
      <c r="U172" s="87"/>
      <c r="V172" s="87"/>
      <c r="W172" s="87"/>
      <c r="X172" s="87"/>
      <c r="Y172" s="87"/>
      <c r="Z172" s="87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  <c r="AL172" s="87"/>
    </row>
    <row r="173" spans="10:38" ht="15.75" customHeight="1">
      <c r="J173" s="87"/>
      <c r="O173" s="84"/>
      <c r="Q173" s="87"/>
      <c r="S173" s="87"/>
      <c r="T173" s="87"/>
      <c r="U173" s="87"/>
      <c r="V173" s="87"/>
      <c r="W173" s="87"/>
      <c r="X173" s="87"/>
      <c r="Y173" s="87"/>
      <c r="Z173" s="87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  <c r="AL173" s="87"/>
    </row>
    <row r="174" spans="10:38" ht="15.75" customHeight="1">
      <c r="J174" s="87"/>
      <c r="O174" s="84"/>
      <c r="Q174" s="87"/>
      <c r="S174" s="87"/>
      <c r="T174" s="87"/>
      <c r="U174" s="87"/>
      <c r="V174" s="87"/>
      <c r="W174" s="87"/>
      <c r="X174" s="87"/>
      <c r="Y174" s="87"/>
      <c r="Z174" s="87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  <c r="AL174" s="87"/>
    </row>
    <row r="175" spans="10:38" ht="15.75" customHeight="1">
      <c r="J175" s="87"/>
      <c r="O175" s="84"/>
      <c r="Q175" s="87"/>
      <c r="S175" s="87"/>
      <c r="T175" s="87"/>
      <c r="U175" s="87"/>
      <c r="V175" s="87"/>
      <c r="W175" s="87"/>
      <c r="X175" s="87"/>
      <c r="Y175" s="87"/>
      <c r="Z175" s="87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  <c r="AL175" s="87"/>
    </row>
    <row r="176" spans="10:38" ht="15.75" customHeight="1">
      <c r="J176" s="87"/>
      <c r="O176" s="84"/>
      <c r="Q176" s="87"/>
      <c r="S176" s="87"/>
      <c r="T176" s="87"/>
      <c r="U176" s="87"/>
      <c r="V176" s="87"/>
      <c r="W176" s="87"/>
      <c r="X176" s="87"/>
      <c r="Y176" s="87"/>
      <c r="Z176" s="87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  <c r="AL176" s="87"/>
    </row>
    <row r="177" spans="10:38" ht="15.75" customHeight="1">
      <c r="J177" s="87"/>
      <c r="O177" s="84"/>
      <c r="Q177" s="87"/>
      <c r="S177" s="87"/>
      <c r="T177" s="87"/>
      <c r="U177" s="87"/>
      <c r="V177" s="87"/>
      <c r="W177" s="87"/>
      <c r="X177" s="87"/>
      <c r="Y177" s="87"/>
      <c r="Z177" s="87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  <c r="AL177" s="87"/>
    </row>
    <row r="178" spans="10:38" ht="15.75" customHeight="1">
      <c r="J178" s="87"/>
      <c r="O178" s="84"/>
      <c r="Q178" s="87"/>
      <c r="S178" s="87"/>
      <c r="T178" s="87"/>
      <c r="U178" s="87"/>
      <c r="V178" s="87"/>
      <c r="W178" s="87"/>
      <c r="X178" s="87"/>
      <c r="Y178" s="87"/>
      <c r="Z178" s="87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  <c r="AL178" s="87"/>
    </row>
    <row r="179" spans="10:38" ht="15.75" customHeight="1">
      <c r="J179" s="87"/>
      <c r="O179" s="84"/>
      <c r="Q179" s="87"/>
      <c r="S179" s="87"/>
      <c r="T179" s="87"/>
      <c r="U179" s="87"/>
      <c r="V179" s="87"/>
      <c r="W179" s="87"/>
      <c r="X179" s="87"/>
      <c r="Y179" s="87"/>
      <c r="Z179" s="87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  <c r="AL179" s="87"/>
    </row>
    <row r="180" spans="10:38" ht="15.75" customHeight="1">
      <c r="J180" s="87"/>
      <c r="O180" s="84"/>
      <c r="Q180" s="87"/>
      <c r="S180" s="87"/>
      <c r="T180" s="87"/>
      <c r="U180" s="87"/>
      <c r="V180" s="87"/>
      <c r="W180" s="87"/>
      <c r="X180" s="87"/>
      <c r="Y180" s="87"/>
      <c r="Z180" s="87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  <c r="AL180" s="87"/>
    </row>
    <row r="181" spans="10:38" ht="15.75" customHeight="1">
      <c r="J181" s="87"/>
      <c r="O181" s="84"/>
      <c r="Q181" s="87"/>
      <c r="S181" s="87"/>
      <c r="T181" s="87"/>
      <c r="U181" s="87"/>
      <c r="V181" s="87"/>
      <c r="W181" s="87"/>
      <c r="X181" s="87"/>
      <c r="Y181" s="87"/>
      <c r="Z181" s="87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  <c r="AL181" s="87"/>
    </row>
    <row r="182" spans="10:38" ht="15.75" customHeight="1">
      <c r="J182" s="87"/>
      <c r="O182" s="84"/>
      <c r="Q182" s="87"/>
      <c r="S182" s="87"/>
      <c r="T182" s="87"/>
      <c r="U182" s="87"/>
      <c r="V182" s="87"/>
      <c r="W182" s="87"/>
      <c r="X182" s="87"/>
      <c r="Y182" s="87"/>
      <c r="Z182" s="8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  <c r="AL182" s="87"/>
    </row>
    <row r="183" spans="10:38" ht="15.75" customHeight="1">
      <c r="J183" s="87"/>
      <c r="O183" s="84"/>
      <c r="Q183" s="87"/>
      <c r="S183" s="87"/>
      <c r="T183" s="87"/>
      <c r="U183" s="87"/>
      <c r="V183" s="87"/>
      <c r="W183" s="87"/>
      <c r="X183" s="87"/>
      <c r="Y183" s="87"/>
      <c r="Z183" s="87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  <c r="AL183" s="87"/>
    </row>
    <row r="184" spans="10:38" ht="15.75" customHeight="1">
      <c r="J184" s="87"/>
      <c r="O184" s="84"/>
      <c r="Q184" s="87"/>
      <c r="S184" s="87"/>
      <c r="T184" s="87"/>
      <c r="U184" s="87"/>
      <c r="V184" s="87"/>
      <c r="W184" s="87"/>
      <c r="X184" s="87"/>
      <c r="Y184" s="87"/>
      <c r="Z184" s="87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  <c r="AL184" s="87"/>
    </row>
    <row r="185" spans="10:38" ht="15.75" customHeight="1">
      <c r="J185" s="87"/>
      <c r="O185" s="84"/>
      <c r="Q185" s="87"/>
      <c r="S185" s="87"/>
      <c r="T185" s="87"/>
      <c r="U185" s="87"/>
      <c r="V185" s="87"/>
      <c r="W185" s="87"/>
      <c r="X185" s="87"/>
      <c r="Y185" s="87"/>
      <c r="Z185" s="87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  <c r="AL185" s="87"/>
    </row>
    <row r="186" spans="10:38" ht="15.75" customHeight="1">
      <c r="J186" s="87"/>
      <c r="O186" s="84"/>
      <c r="Q186" s="87"/>
      <c r="S186" s="87"/>
      <c r="T186" s="87"/>
      <c r="U186" s="87"/>
      <c r="V186" s="87"/>
      <c r="W186" s="87"/>
      <c r="X186" s="87"/>
      <c r="Y186" s="87"/>
      <c r="Z186" s="87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  <c r="AL186" s="87"/>
    </row>
    <row r="187" spans="10:38" ht="15.75" customHeight="1">
      <c r="J187" s="87"/>
      <c r="O187" s="84"/>
      <c r="Q187" s="87"/>
      <c r="S187" s="87"/>
      <c r="T187" s="87"/>
      <c r="U187" s="87"/>
      <c r="V187" s="87"/>
      <c r="W187" s="87"/>
      <c r="X187" s="87"/>
      <c r="Y187" s="87"/>
      <c r="Z187" s="87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  <c r="AL187" s="87"/>
    </row>
    <row r="188" spans="10:38" ht="15.75" customHeight="1">
      <c r="J188" s="87"/>
      <c r="O188" s="84"/>
      <c r="Q188" s="87"/>
      <c r="S188" s="87"/>
      <c r="T188" s="87"/>
      <c r="U188" s="87"/>
      <c r="V188" s="87"/>
      <c r="W188" s="87"/>
      <c r="X188" s="87"/>
      <c r="Y188" s="87"/>
      <c r="Z188" s="87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  <c r="AL188" s="87"/>
    </row>
    <row r="189" spans="10:38" ht="15.75" customHeight="1">
      <c r="J189" s="87"/>
      <c r="O189" s="84"/>
      <c r="Q189" s="87"/>
      <c r="S189" s="87"/>
      <c r="T189" s="87"/>
      <c r="U189" s="87"/>
      <c r="V189" s="87"/>
      <c r="W189" s="87"/>
      <c r="X189" s="87"/>
      <c r="Y189" s="87"/>
      <c r="Z189" s="87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  <c r="AL189" s="87"/>
    </row>
    <row r="190" spans="10:38" ht="15.75" customHeight="1">
      <c r="J190" s="87"/>
      <c r="O190" s="84"/>
      <c r="Q190" s="87"/>
      <c r="S190" s="87"/>
      <c r="T190" s="87"/>
      <c r="U190" s="87"/>
      <c r="V190" s="87"/>
      <c r="W190" s="87"/>
      <c r="X190" s="87"/>
      <c r="Y190" s="87"/>
      <c r="Z190" s="87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  <c r="AL190" s="87"/>
    </row>
    <row r="191" spans="10:38" ht="15.75" customHeight="1">
      <c r="J191" s="87"/>
      <c r="O191" s="84"/>
      <c r="Q191" s="87"/>
      <c r="S191" s="87"/>
      <c r="T191" s="87"/>
      <c r="U191" s="87"/>
      <c r="V191" s="87"/>
      <c r="W191" s="87"/>
      <c r="X191" s="87"/>
      <c r="Y191" s="87"/>
      <c r="Z191" s="87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  <c r="AL191" s="87"/>
    </row>
    <row r="192" spans="10:38" ht="15.75" customHeight="1">
      <c r="J192" s="87"/>
      <c r="O192" s="84"/>
      <c r="Q192" s="87"/>
      <c r="S192" s="87"/>
      <c r="T192" s="87"/>
      <c r="U192" s="87"/>
      <c r="V192" s="87"/>
      <c r="W192" s="87"/>
      <c r="X192" s="87"/>
      <c r="Y192" s="87"/>
      <c r="Z192" s="87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  <c r="AL192" s="87"/>
    </row>
    <row r="193" spans="10:38" ht="15.75" customHeight="1">
      <c r="J193" s="87"/>
      <c r="O193" s="84"/>
      <c r="Q193" s="87"/>
      <c r="S193" s="87"/>
      <c r="T193" s="87"/>
      <c r="U193" s="87"/>
      <c r="V193" s="87"/>
      <c r="W193" s="87"/>
      <c r="X193" s="87"/>
      <c r="Y193" s="87"/>
      <c r="Z193" s="87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  <c r="AL193" s="87"/>
    </row>
    <row r="194" spans="10:38" ht="15.75" customHeight="1">
      <c r="J194" s="87"/>
      <c r="O194" s="84"/>
      <c r="Q194" s="87"/>
      <c r="S194" s="87"/>
      <c r="T194" s="87"/>
      <c r="U194" s="87"/>
      <c r="V194" s="87"/>
      <c r="W194" s="87"/>
      <c r="X194" s="87"/>
      <c r="Y194" s="87"/>
      <c r="Z194" s="87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  <c r="AL194" s="87"/>
    </row>
    <row r="195" spans="10:38" ht="15.75" customHeight="1">
      <c r="J195" s="87"/>
      <c r="O195" s="84"/>
      <c r="Q195" s="87"/>
      <c r="S195" s="87"/>
      <c r="T195" s="87"/>
      <c r="U195" s="87"/>
      <c r="V195" s="87"/>
      <c r="W195" s="87"/>
      <c r="X195" s="87"/>
      <c r="Y195" s="87"/>
      <c r="Z195" s="87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</row>
    <row r="196" spans="10:38" ht="15.75" customHeight="1">
      <c r="J196" s="87"/>
      <c r="O196" s="84"/>
      <c r="Q196" s="87"/>
      <c r="S196" s="87"/>
      <c r="T196" s="87"/>
      <c r="U196" s="87"/>
      <c r="V196" s="87"/>
      <c r="W196" s="87"/>
      <c r="X196" s="87"/>
      <c r="Y196" s="87"/>
      <c r="Z196" s="87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  <c r="AL196" s="87"/>
    </row>
    <row r="197" spans="10:38" ht="15.75" customHeight="1">
      <c r="J197" s="87"/>
      <c r="O197" s="84"/>
      <c r="Q197" s="87"/>
      <c r="S197" s="87"/>
      <c r="T197" s="87"/>
      <c r="U197" s="87"/>
      <c r="V197" s="87"/>
      <c r="W197" s="87"/>
      <c r="X197" s="87"/>
      <c r="Y197" s="87"/>
      <c r="Z197" s="87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  <c r="AL197" s="87"/>
    </row>
    <row r="198" spans="10:38" ht="15.75" customHeight="1">
      <c r="J198" s="87"/>
      <c r="O198" s="84"/>
      <c r="Q198" s="87"/>
      <c r="S198" s="87"/>
      <c r="T198" s="87"/>
      <c r="U198" s="87"/>
      <c r="V198" s="87"/>
      <c r="W198" s="87"/>
      <c r="X198" s="87"/>
      <c r="Y198" s="87"/>
      <c r="Z198" s="87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  <c r="AL198" s="87"/>
    </row>
    <row r="199" spans="10:38" ht="15.75" customHeight="1">
      <c r="J199" s="87"/>
      <c r="O199" s="84"/>
      <c r="Q199" s="87"/>
      <c r="S199" s="87"/>
      <c r="T199" s="87"/>
      <c r="U199" s="87"/>
      <c r="V199" s="87"/>
      <c r="W199" s="87"/>
      <c r="X199" s="87"/>
      <c r="Y199" s="87"/>
      <c r="Z199" s="87"/>
      <c r="AA199" s="87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  <c r="AL199" s="87"/>
    </row>
    <row r="200" spans="10:38" ht="15.75" customHeight="1">
      <c r="J200" s="87"/>
      <c r="O200" s="84"/>
      <c r="Q200" s="87"/>
      <c r="S200" s="87"/>
      <c r="T200" s="87"/>
      <c r="U200" s="87"/>
      <c r="V200" s="87"/>
      <c r="W200" s="87"/>
      <c r="X200" s="87"/>
      <c r="Y200" s="87"/>
      <c r="Z200" s="87"/>
      <c r="AA200" s="87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  <c r="AL200" s="87"/>
    </row>
    <row r="201" spans="10:38" ht="15.75" customHeight="1">
      <c r="J201" s="87"/>
      <c r="O201" s="84"/>
      <c r="Q201" s="87"/>
      <c r="S201" s="87"/>
      <c r="T201" s="87"/>
      <c r="U201" s="87"/>
      <c r="V201" s="87"/>
      <c r="W201" s="87"/>
      <c r="X201" s="87"/>
      <c r="Y201" s="87"/>
      <c r="Z201" s="87"/>
      <c r="AA201" s="87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  <c r="AL201" s="87"/>
    </row>
    <row r="202" spans="10:38" ht="15.75" customHeight="1">
      <c r="J202" s="87"/>
      <c r="O202" s="84"/>
      <c r="Q202" s="87"/>
      <c r="S202" s="87"/>
      <c r="T202" s="87"/>
      <c r="U202" s="87"/>
      <c r="V202" s="87"/>
      <c r="W202" s="87"/>
      <c r="X202" s="87"/>
      <c r="Y202" s="87"/>
      <c r="Z202" s="87"/>
      <c r="AA202" s="87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  <c r="AL202" s="87"/>
    </row>
    <row r="203" spans="10:38" ht="15.75" customHeight="1">
      <c r="J203" s="87"/>
      <c r="O203" s="84"/>
      <c r="Q203" s="87"/>
      <c r="S203" s="87"/>
      <c r="T203" s="87"/>
      <c r="U203" s="87"/>
      <c r="V203" s="87"/>
      <c r="W203" s="87"/>
      <c r="X203" s="87"/>
      <c r="Y203" s="87"/>
      <c r="Z203" s="87"/>
      <c r="AA203" s="87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  <c r="AL203" s="87"/>
    </row>
    <row r="204" spans="10:38" ht="15.75" customHeight="1">
      <c r="J204" s="87"/>
      <c r="O204" s="84"/>
      <c r="Q204" s="87"/>
      <c r="S204" s="87"/>
      <c r="T204" s="87"/>
      <c r="U204" s="87"/>
      <c r="V204" s="87"/>
      <c r="W204" s="87"/>
      <c r="X204" s="87"/>
      <c r="Y204" s="87"/>
      <c r="Z204" s="87"/>
      <c r="AA204" s="87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  <c r="AL204" s="87"/>
    </row>
    <row r="205" spans="10:38" ht="15.75" customHeight="1">
      <c r="J205" s="87"/>
      <c r="O205" s="84"/>
      <c r="Q205" s="87"/>
      <c r="S205" s="87"/>
      <c r="T205" s="87"/>
      <c r="U205" s="87"/>
      <c r="V205" s="87"/>
      <c r="W205" s="87"/>
      <c r="X205" s="87"/>
      <c r="Y205" s="87"/>
      <c r="Z205" s="87"/>
      <c r="AA205" s="87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  <c r="AL205" s="87"/>
    </row>
    <row r="206" spans="10:38" ht="15.75" customHeight="1">
      <c r="J206" s="87"/>
      <c r="O206" s="84"/>
      <c r="Q206" s="87"/>
      <c r="S206" s="87"/>
      <c r="T206" s="87"/>
      <c r="U206" s="87"/>
      <c r="V206" s="87"/>
      <c r="W206" s="87"/>
      <c r="X206" s="87"/>
      <c r="Y206" s="87"/>
      <c r="Z206" s="87"/>
      <c r="AA206" s="87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  <c r="AL206" s="87"/>
    </row>
    <row r="207" spans="10:38" ht="15.75" customHeight="1">
      <c r="J207" s="87"/>
      <c r="O207" s="84"/>
      <c r="Q207" s="87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</row>
    <row r="208" spans="10:38" ht="15.75" customHeight="1">
      <c r="J208" s="87"/>
      <c r="O208" s="84"/>
      <c r="Q208" s="87"/>
      <c r="S208" s="87"/>
      <c r="T208" s="87"/>
      <c r="U208" s="87"/>
      <c r="V208" s="87"/>
      <c r="W208" s="87"/>
      <c r="X208" s="87"/>
      <c r="Y208" s="87"/>
      <c r="Z208" s="87"/>
      <c r="AA208" s="87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  <c r="AL208" s="87"/>
    </row>
    <row r="209" spans="10:38" ht="15.75" customHeight="1">
      <c r="J209" s="87"/>
      <c r="O209" s="84"/>
      <c r="Q209" s="87"/>
      <c r="S209" s="87"/>
      <c r="T209" s="87"/>
      <c r="U209" s="87"/>
      <c r="V209" s="87"/>
      <c r="W209" s="87"/>
      <c r="X209" s="87"/>
      <c r="Y209" s="87"/>
      <c r="Z209" s="87"/>
      <c r="AA209" s="87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  <c r="AL209" s="87"/>
    </row>
    <row r="210" spans="10:38" ht="15.75" customHeight="1">
      <c r="J210" s="87"/>
      <c r="O210" s="84"/>
      <c r="Q210" s="87"/>
      <c r="S210" s="87"/>
      <c r="T210" s="87"/>
      <c r="U210" s="87"/>
      <c r="V210" s="87"/>
      <c r="W210" s="87"/>
      <c r="X210" s="87"/>
      <c r="Y210" s="87"/>
      <c r="Z210" s="87"/>
      <c r="AA210" s="87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  <c r="AL210" s="87"/>
    </row>
    <row r="211" spans="10:38" ht="15.75" customHeight="1">
      <c r="J211" s="87"/>
      <c r="O211" s="84"/>
      <c r="Q211" s="87"/>
      <c r="S211" s="87"/>
      <c r="T211" s="87"/>
      <c r="U211" s="87"/>
      <c r="V211" s="87"/>
      <c r="W211" s="87"/>
      <c r="X211" s="87"/>
      <c r="Y211" s="87"/>
      <c r="Z211" s="87"/>
      <c r="AA211" s="87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  <c r="AL211" s="87"/>
    </row>
    <row r="212" spans="10:38" ht="15.75" customHeight="1">
      <c r="J212" s="87"/>
      <c r="O212" s="84"/>
      <c r="Q212" s="87"/>
      <c r="S212" s="87"/>
      <c r="T212" s="87"/>
      <c r="U212" s="87"/>
      <c r="V212" s="87"/>
      <c r="W212" s="87"/>
      <c r="X212" s="87"/>
      <c r="Y212" s="87"/>
      <c r="Z212" s="87"/>
      <c r="AA212" s="87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  <c r="AL212" s="87"/>
    </row>
    <row r="213" spans="10:38" ht="15.75" customHeight="1">
      <c r="J213" s="87"/>
      <c r="O213" s="84"/>
      <c r="Q213" s="87"/>
      <c r="S213" s="87"/>
      <c r="T213" s="87"/>
      <c r="U213" s="87"/>
      <c r="V213" s="87"/>
      <c r="W213" s="87"/>
      <c r="X213" s="87"/>
      <c r="Y213" s="87"/>
      <c r="Z213" s="87"/>
      <c r="AA213" s="87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  <c r="AL213" s="87"/>
    </row>
    <row r="214" spans="10:38" ht="15.75" customHeight="1">
      <c r="J214" s="87"/>
      <c r="O214" s="84"/>
      <c r="Q214" s="87"/>
      <c r="S214" s="87"/>
      <c r="T214" s="87"/>
      <c r="U214" s="87"/>
      <c r="V214" s="87"/>
      <c r="W214" s="87"/>
      <c r="X214" s="87"/>
      <c r="Y214" s="87"/>
      <c r="Z214" s="87"/>
      <c r="AA214" s="87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  <c r="AL214" s="87"/>
    </row>
    <row r="215" spans="10:38" ht="15.75" customHeight="1">
      <c r="J215" s="87"/>
      <c r="O215" s="84"/>
      <c r="Q215" s="87"/>
      <c r="S215" s="87"/>
      <c r="T215" s="87"/>
      <c r="U215" s="87"/>
      <c r="V215" s="87"/>
      <c r="W215" s="87"/>
      <c r="X215" s="87"/>
      <c r="Y215" s="87"/>
      <c r="Z215" s="87"/>
      <c r="AA215" s="87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87"/>
    </row>
    <row r="216" spans="10:38" ht="15.75" customHeight="1">
      <c r="J216" s="87"/>
      <c r="O216" s="84"/>
      <c r="Q216" s="87"/>
      <c r="S216" s="87"/>
      <c r="T216" s="87"/>
      <c r="U216" s="87"/>
      <c r="V216" s="87"/>
      <c r="W216" s="87"/>
      <c r="X216" s="87"/>
      <c r="Y216" s="87"/>
      <c r="Z216" s="87"/>
      <c r="AA216" s="87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  <c r="AL216" s="87"/>
    </row>
    <row r="217" spans="10:38" ht="15.75" customHeight="1">
      <c r="J217" s="87"/>
      <c r="O217" s="84"/>
      <c r="Q217" s="87"/>
      <c r="S217" s="87"/>
      <c r="T217" s="87"/>
      <c r="U217" s="87"/>
      <c r="V217" s="87"/>
      <c r="W217" s="87"/>
      <c r="X217" s="87"/>
      <c r="Y217" s="87"/>
      <c r="Z217" s="87"/>
      <c r="AA217" s="87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  <c r="AL217" s="87"/>
    </row>
    <row r="218" spans="10:38" ht="15.75" customHeight="1">
      <c r="J218" s="87"/>
      <c r="O218" s="84"/>
      <c r="Q218" s="87"/>
      <c r="S218" s="87"/>
      <c r="T218" s="87"/>
      <c r="U218" s="87"/>
      <c r="V218" s="87"/>
      <c r="W218" s="87"/>
      <c r="X218" s="87"/>
      <c r="Y218" s="87"/>
      <c r="Z218" s="87"/>
      <c r="AA218" s="87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  <c r="AL218" s="87"/>
    </row>
    <row r="219" spans="10:38" ht="15.75" customHeight="1">
      <c r="J219" s="87"/>
      <c r="O219" s="84"/>
      <c r="Q219" s="87"/>
      <c r="S219" s="87"/>
      <c r="T219" s="87"/>
      <c r="U219" s="87"/>
      <c r="V219" s="87"/>
      <c r="W219" s="87"/>
      <c r="X219" s="87"/>
      <c r="Y219" s="87"/>
      <c r="Z219" s="87"/>
      <c r="AA219" s="87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  <c r="AL219" s="87"/>
    </row>
    <row r="220" spans="10:38" ht="15.75" customHeight="1">
      <c r="J220" s="87"/>
      <c r="O220" s="84"/>
      <c r="Q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/>
    </row>
    <row r="221" spans="10:38" ht="15.75" customHeight="1">
      <c r="J221" s="87"/>
      <c r="O221" s="84"/>
      <c r="Q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/>
    </row>
    <row r="222" spans="10:38" ht="15.75" customHeight="1">
      <c r="J222" s="87"/>
      <c r="O222" s="84"/>
      <c r="Q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</row>
    <row r="223" spans="10:38" ht="15.75" customHeight="1">
      <c r="J223" s="87"/>
      <c r="O223" s="84"/>
      <c r="Q223" s="87"/>
      <c r="S223" s="87"/>
      <c r="T223" s="87"/>
      <c r="U223" s="87"/>
      <c r="V223" s="87"/>
      <c r="W223" s="87"/>
      <c r="X223" s="87"/>
      <c r="Y223" s="87"/>
      <c r="Z223" s="87"/>
      <c r="AA223" s="87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  <c r="AL223" s="87"/>
    </row>
    <row r="224" spans="10:38" ht="15.75" customHeight="1">
      <c r="J224" s="87"/>
      <c r="O224" s="84"/>
      <c r="Q224" s="87"/>
      <c r="S224" s="87"/>
      <c r="T224" s="87"/>
      <c r="U224" s="87"/>
      <c r="V224" s="87"/>
      <c r="W224" s="87"/>
      <c r="X224" s="87"/>
      <c r="Y224" s="87"/>
      <c r="Z224" s="87"/>
      <c r="AA224" s="87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  <c r="AL224" s="87"/>
    </row>
    <row r="225" spans="10:38" ht="15.75" customHeight="1">
      <c r="J225" s="87"/>
      <c r="O225" s="84"/>
      <c r="Q225" s="87"/>
      <c r="S225" s="87"/>
      <c r="T225" s="87"/>
      <c r="U225" s="87"/>
      <c r="V225" s="87"/>
      <c r="W225" s="87"/>
      <c r="X225" s="87"/>
      <c r="Y225" s="87"/>
      <c r="Z225" s="87"/>
      <c r="AA225" s="87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  <c r="AL225" s="87"/>
    </row>
    <row r="226" spans="10:38" ht="15.75" customHeight="1">
      <c r="J226" s="87"/>
      <c r="O226" s="84"/>
      <c r="Q226" s="87"/>
      <c r="S226" s="87"/>
      <c r="T226" s="87"/>
      <c r="U226" s="87"/>
      <c r="V226" s="87"/>
      <c r="W226" s="87"/>
      <c r="X226" s="87"/>
      <c r="Y226" s="87"/>
      <c r="Z226" s="87"/>
      <c r="AA226" s="87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  <c r="AL226" s="87"/>
    </row>
    <row r="227" spans="10:38" ht="15.75" customHeight="1">
      <c r="J227" s="87"/>
      <c r="O227" s="84"/>
      <c r="Q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</row>
    <row r="228" spans="10:38" ht="15.75" customHeight="1">
      <c r="J228" s="87"/>
      <c r="O228" s="84"/>
      <c r="Q228" s="87"/>
      <c r="S228" s="87"/>
      <c r="T228" s="87"/>
      <c r="U228" s="87"/>
      <c r="V228" s="87"/>
      <c r="W228" s="87"/>
      <c r="X228" s="87"/>
      <c r="Y228" s="87"/>
      <c r="Z228" s="87"/>
      <c r="AA228" s="87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</row>
    <row r="229" spans="10:38" ht="15.75" customHeight="1">
      <c r="J229" s="87"/>
      <c r="O229" s="84"/>
      <c r="Q229" s="87"/>
      <c r="S229" s="87"/>
      <c r="T229" s="87"/>
      <c r="U229" s="87"/>
      <c r="V229" s="87"/>
      <c r="W229" s="87"/>
      <c r="X229" s="87"/>
      <c r="Y229" s="87"/>
      <c r="Z229" s="87"/>
      <c r="AA229" s="87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</row>
    <row r="230" spans="10:38" ht="15.75" customHeight="1">
      <c r="J230" s="87"/>
      <c r="O230" s="84"/>
      <c r="Q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</row>
    <row r="231" spans="10:38" ht="15.75" customHeight="1">
      <c r="J231" s="87"/>
      <c r="O231" s="84"/>
      <c r="Q231" s="87"/>
      <c r="S231" s="87"/>
      <c r="T231" s="87"/>
      <c r="U231" s="87"/>
      <c r="V231" s="87"/>
      <c r="W231" s="87"/>
      <c r="X231" s="87"/>
      <c r="Y231" s="87"/>
      <c r="Z231" s="87"/>
      <c r="AA231" s="87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</row>
    <row r="232" spans="10:38" ht="15.75" customHeight="1">
      <c r="J232" s="87"/>
      <c r="O232" s="84"/>
      <c r="Q232" s="87"/>
      <c r="S232" s="87"/>
      <c r="T232" s="87"/>
      <c r="U232" s="87"/>
      <c r="V232" s="87"/>
      <c r="W232" s="87"/>
      <c r="X232" s="87"/>
      <c r="Y232" s="87"/>
      <c r="Z232" s="87"/>
      <c r="AA232" s="87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</row>
    <row r="233" spans="10:38" ht="15.75" customHeight="1">
      <c r="J233" s="87"/>
      <c r="O233" s="84"/>
      <c r="Q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</row>
    <row r="234" spans="10:38" ht="15.75" customHeight="1">
      <c r="J234" s="87"/>
      <c r="O234" s="84"/>
      <c r="Q234" s="87"/>
      <c r="S234" s="87"/>
      <c r="T234" s="87"/>
      <c r="U234" s="87"/>
      <c r="V234" s="87"/>
      <c r="W234" s="87"/>
      <c r="X234" s="87"/>
      <c r="Y234" s="87"/>
      <c r="Z234" s="87"/>
      <c r="AA234" s="87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  <c r="AL234" s="87"/>
    </row>
    <row r="235" spans="10:38" ht="15.75" customHeight="1">
      <c r="J235" s="87"/>
      <c r="O235" s="84"/>
      <c r="Q235" s="87"/>
      <c r="S235" s="87"/>
      <c r="T235" s="87"/>
      <c r="U235" s="87"/>
      <c r="V235" s="87"/>
      <c r="W235" s="87"/>
      <c r="X235" s="87"/>
      <c r="Y235" s="87"/>
      <c r="Z235" s="87"/>
      <c r="AA235" s="87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  <c r="AL235" s="87"/>
    </row>
    <row r="236" spans="10:38" ht="15.75" customHeight="1">
      <c r="J236" s="87"/>
      <c r="O236" s="84"/>
      <c r="Q236" s="87"/>
      <c r="S236" s="87"/>
      <c r="T236" s="87"/>
      <c r="U236" s="87"/>
      <c r="V236" s="87"/>
      <c r="W236" s="87"/>
      <c r="X236" s="87"/>
      <c r="Y236" s="87"/>
      <c r="Z236" s="87"/>
      <c r="AA236" s="87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  <c r="AL236" s="87"/>
    </row>
    <row r="237" spans="10:38" ht="15.75" customHeight="1">
      <c r="J237" s="87"/>
      <c r="O237" s="84"/>
      <c r="Q237" s="87"/>
      <c r="S237" s="87"/>
      <c r="T237" s="87"/>
      <c r="U237" s="87"/>
      <c r="V237" s="87"/>
      <c r="W237" s="87"/>
      <c r="X237" s="87"/>
      <c r="Y237" s="87"/>
      <c r="Z237" s="87"/>
      <c r="AA237" s="87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  <c r="AL237" s="87"/>
    </row>
    <row r="238" spans="10:38" ht="15.75" customHeight="1">
      <c r="J238" s="87"/>
      <c r="O238" s="84"/>
      <c r="Q238" s="87"/>
      <c r="S238" s="87"/>
      <c r="T238" s="87"/>
      <c r="U238" s="87"/>
      <c r="V238" s="87"/>
      <c r="W238" s="87"/>
      <c r="X238" s="87"/>
      <c r="Y238" s="87"/>
      <c r="Z238" s="87"/>
      <c r="AA238" s="87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  <c r="AL238" s="87"/>
    </row>
    <row r="239" spans="10:38" ht="15.75" customHeight="1">
      <c r="J239" s="87"/>
      <c r="O239" s="84"/>
      <c r="Q239" s="87"/>
      <c r="S239" s="87"/>
      <c r="T239" s="87"/>
      <c r="U239" s="87"/>
      <c r="V239" s="87"/>
      <c r="W239" s="87"/>
      <c r="X239" s="87"/>
      <c r="Y239" s="87"/>
      <c r="Z239" s="87"/>
      <c r="AA239" s="87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  <c r="AL239" s="87"/>
    </row>
    <row r="240" spans="10:38" ht="15.75" customHeight="1">
      <c r="J240" s="87"/>
      <c r="O240" s="84"/>
      <c r="Q240" s="87"/>
      <c r="S240" s="87"/>
      <c r="T240" s="87"/>
      <c r="U240" s="87"/>
      <c r="V240" s="87"/>
      <c r="W240" s="87"/>
      <c r="X240" s="87"/>
      <c r="Y240" s="87"/>
      <c r="Z240" s="87"/>
      <c r="AA240" s="87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</row>
    <row r="241" spans="10:38" ht="15.75" customHeight="1">
      <c r="J241" s="87"/>
      <c r="O241" s="84"/>
      <c r="Q241" s="87"/>
      <c r="S241" s="87"/>
      <c r="T241" s="87"/>
      <c r="U241" s="87"/>
      <c r="V241" s="87"/>
      <c r="W241" s="87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</row>
    <row r="242" spans="10:38" ht="15.75" customHeight="1">
      <c r="J242" s="87"/>
      <c r="O242" s="84"/>
      <c r="Q242" s="87"/>
      <c r="S242" s="87"/>
      <c r="T242" s="87"/>
      <c r="U242" s="87"/>
      <c r="V242" s="87"/>
      <c r="W242" s="87"/>
      <c r="X242" s="87"/>
      <c r="Y242" s="87"/>
      <c r="Z242" s="87"/>
      <c r="AA242" s="87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</row>
    <row r="243" spans="10:38" ht="15.75" customHeight="1">
      <c r="J243" s="87"/>
      <c r="O243" s="84"/>
      <c r="Q243" s="87"/>
      <c r="S243" s="87"/>
      <c r="T243" s="87"/>
      <c r="U243" s="87"/>
      <c r="V243" s="87"/>
      <c r="W243" s="87"/>
      <c r="X243" s="87"/>
      <c r="Y243" s="87"/>
      <c r="Z243" s="87"/>
      <c r="AA243" s="87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</row>
    <row r="244" spans="10:38" ht="15.75" customHeight="1">
      <c r="J244" s="87"/>
      <c r="O244" s="84"/>
      <c r="Q244" s="87"/>
      <c r="S244" s="87"/>
      <c r="T244" s="87"/>
      <c r="U244" s="87"/>
      <c r="V244" s="87"/>
      <c r="W244" s="87"/>
      <c r="X244" s="87"/>
      <c r="Y244" s="87"/>
      <c r="Z244" s="87"/>
      <c r="AA244" s="87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</row>
    <row r="245" spans="10:38" ht="15.75" customHeight="1">
      <c r="J245" s="87"/>
      <c r="O245" s="84"/>
      <c r="Q245" s="87"/>
      <c r="S245" s="87"/>
      <c r="T245" s="87"/>
      <c r="U245" s="87"/>
      <c r="V245" s="87"/>
      <c r="W245" s="87"/>
      <c r="X245" s="87"/>
      <c r="Y245" s="87"/>
      <c r="Z245" s="87"/>
      <c r="AA245" s="87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  <c r="AL245" s="87"/>
    </row>
    <row r="246" spans="10:38" ht="15.75" customHeight="1">
      <c r="J246" s="87"/>
      <c r="O246" s="84"/>
      <c r="Q246" s="87"/>
      <c r="S246" s="87"/>
      <c r="T246" s="87"/>
      <c r="U246" s="87"/>
      <c r="V246" s="87"/>
      <c r="W246" s="87"/>
      <c r="X246" s="87"/>
      <c r="Y246" s="87"/>
      <c r="Z246" s="87"/>
      <c r="AA246" s="87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  <c r="AL246" s="87"/>
    </row>
    <row r="247" spans="10:38" ht="15.75" customHeight="1">
      <c r="J247" s="87"/>
      <c r="O247" s="84"/>
      <c r="Q247" s="87"/>
      <c r="S247" s="87"/>
      <c r="T247" s="87"/>
      <c r="U247" s="87"/>
      <c r="V247" s="87"/>
      <c r="W247" s="87"/>
      <c r="X247" s="87"/>
      <c r="Y247" s="87"/>
      <c r="Z247" s="87"/>
      <c r="AA247" s="87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  <c r="AL247" s="87"/>
    </row>
    <row r="248" spans="10:38" ht="15.75" customHeight="1">
      <c r="J248" s="87"/>
      <c r="O248" s="84"/>
      <c r="Q248" s="87"/>
      <c r="S248" s="87"/>
      <c r="T248" s="87"/>
      <c r="U248" s="87"/>
      <c r="V248" s="87"/>
      <c r="W248" s="87"/>
      <c r="X248" s="87"/>
      <c r="Y248" s="87"/>
      <c r="Z248" s="87"/>
      <c r="AA248" s="87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  <c r="AL248" s="87"/>
    </row>
    <row r="249" spans="10:38" ht="15.75" customHeight="1">
      <c r="J249" s="87"/>
      <c r="O249" s="84"/>
      <c r="Q249" s="87"/>
      <c r="S249" s="87"/>
      <c r="T249" s="87"/>
      <c r="U249" s="87"/>
      <c r="V249" s="87"/>
      <c r="W249" s="87"/>
      <c r="X249" s="87"/>
      <c r="Y249" s="87"/>
      <c r="Z249" s="87"/>
      <c r="AA249" s="87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  <c r="AL249" s="87"/>
    </row>
    <row r="250" spans="10:38" ht="15.75" customHeight="1">
      <c r="J250" s="87"/>
      <c r="O250" s="84"/>
      <c r="Q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</row>
    <row r="251" spans="10:38" ht="15.75" customHeight="1">
      <c r="J251" s="87"/>
      <c r="O251" s="84"/>
      <c r="Q251" s="87"/>
      <c r="S251" s="87"/>
      <c r="T251" s="87"/>
      <c r="U251" s="87"/>
      <c r="V251" s="87"/>
      <c r="W251" s="87"/>
      <c r="X251" s="87"/>
      <c r="Y251" s="87"/>
      <c r="Z251" s="87"/>
      <c r="AA251" s="87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</row>
    <row r="252" spans="10:38" ht="15.75" customHeight="1">
      <c r="J252" s="87"/>
      <c r="O252" s="84"/>
      <c r="Q252" s="87"/>
      <c r="S252" s="87"/>
      <c r="T252" s="87"/>
      <c r="U252" s="87"/>
      <c r="V252" s="87"/>
      <c r="W252" s="87"/>
      <c r="X252" s="87"/>
      <c r="Y252" s="87"/>
      <c r="Z252" s="87"/>
      <c r="AA252" s="87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</row>
    <row r="253" spans="10:38" ht="15.75" customHeight="1">
      <c r="J253" s="87"/>
      <c r="O253" s="84"/>
      <c r="Q253" s="87"/>
      <c r="S253" s="87"/>
      <c r="T253" s="87"/>
      <c r="U253" s="87"/>
      <c r="V253" s="87"/>
      <c r="W253" s="87"/>
      <c r="X253" s="87"/>
      <c r="Y253" s="87"/>
      <c r="Z253" s="87"/>
      <c r="AA253" s="87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</row>
    <row r="254" spans="10:38" ht="15.75" customHeight="1">
      <c r="J254" s="87"/>
      <c r="O254" s="84"/>
      <c r="Q254" s="87"/>
      <c r="S254" s="87"/>
      <c r="T254" s="87"/>
      <c r="U254" s="87"/>
      <c r="V254" s="87"/>
      <c r="W254" s="87"/>
      <c r="X254" s="87"/>
      <c r="Y254" s="87"/>
      <c r="Z254" s="87"/>
      <c r="AA254" s="87"/>
      <c r="AB254" s="87"/>
      <c r="AC254" s="87"/>
      <c r="AD254" s="87"/>
      <c r="AE254" s="87"/>
      <c r="AF254" s="87"/>
      <c r="AG254" s="87"/>
      <c r="AH254" s="87"/>
      <c r="AI254" s="87"/>
      <c r="AJ254" s="87"/>
      <c r="AK254" s="87"/>
      <c r="AL254" s="87"/>
    </row>
    <row r="255" spans="10:38" ht="15.75" customHeight="1">
      <c r="J255" s="87"/>
      <c r="O255" s="84"/>
      <c r="Q255" s="87"/>
      <c r="S255" s="87"/>
      <c r="T255" s="87"/>
      <c r="U255" s="87"/>
      <c r="V255" s="87"/>
      <c r="W255" s="87"/>
      <c r="X255" s="87"/>
      <c r="Y255" s="87"/>
      <c r="Z255" s="87"/>
      <c r="AA255" s="87"/>
      <c r="AB255" s="87"/>
      <c r="AC255" s="87"/>
      <c r="AD255" s="87"/>
      <c r="AE255" s="87"/>
      <c r="AF255" s="87"/>
      <c r="AG255" s="87"/>
      <c r="AH255" s="87"/>
      <c r="AI255" s="87"/>
      <c r="AJ255" s="87"/>
      <c r="AK255" s="87"/>
      <c r="AL255" s="87"/>
    </row>
    <row r="256" spans="10:38" ht="15.75" customHeight="1">
      <c r="J256" s="87"/>
      <c r="O256" s="84"/>
      <c r="Q256" s="87"/>
      <c r="S256" s="87"/>
      <c r="T256" s="87"/>
      <c r="U256" s="87"/>
      <c r="V256" s="87"/>
      <c r="W256" s="87"/>
      <c r="X256" s="87"/>
      <c r="Y256" s="87"/>
      <c r="Z256" s="87"/>
      <c r="AA256" s="87"/>
      <c r="AB256" s="87"/>
      <c r="AC256" s="87"/>
      <c r="AD256" s="87"/>
      <c r="AE256" s="87"/>
      <c r="AF256" s="87"/>
      <c r="AG256" s="87"/>
      <c r="AH256" s="87"/>
      <c r="AI256" s="87"/>
      <c r="AJ256" s="87"/>
      <c r="AK256" s="87"/>
      <c r="AL256" s="87"/>
    </row>
    <row r="257" spans="10:38" ht="15.75" customHeight="1">
      <c r="J257" s="87"/>
      <c r="O257" s="84"/>
      <c r="Q257" s="87"/>
      <c r="S257" s="87"/>
      <c r="T257" s="87"/>
      <c r="U257" s="87"/>
      <c r="V257" s="87"/>
      <c r="W257" s="87"/>
      <c r="X257" s="87"/>
      <c r="Y257" s="87"/>
      <c r="Z257" s="87"/>
      <c r="AA257" s="87"/>
      <c r="AB257" s="87"/>
      <c r="AC257" s="87"/>
      <c r="AD257" s="87"/>
      <c r="AE257" s="87"/>
      <c r="AF257" s="87"/>
      <c r="AG257" s="87"/>
      <c r="AH257" s="87"/>
      <c r="AI257" s="87"/>
      <c r="AJ257" s="87"/>
      <c r="AK257" s="87"/>
      <c r="AL257" s="87"/>
    </row>
    <row r="258" spans="10:38" ht="15.75" customHeight="1">
      <c r="J258" s="87"/>
      <c r="O258" s="84"/>
      <c r="Q258" s="87"/>
      <c r="S258" s="87"/>
      <c r="T258" s="87"/>
      <c r="U258" s="87"/>
      <c r="V258" s="87"/>
      <c r="W258" s="87"/>
      <c r="X258" s="87"/>
      <c r="Y258" s="87"/>
      <c r="Z258" s="87"/>
      <c r="AA258" s="87"/>
      <c r="AB258" s="87"/>
      <c r="AC258" s="87"/>
      <c r="AD258" s="87"/>
      <c r="AE258" s="87"/>
      <c r="AF258" s="87"/>
      <c r="AG258" s="87"/>
      <c r="AH258" s="87"/>
      <c r="AI258" s="87"/>
      <c r="AJ258" s="87"/>
      <c r="AK258" s="87"/>
      <c r="AL258" s="87"/>
    </row>
    <row r="259" spans="10:38" ht="15.75" customHeight="1">
      <c r="J259" s="87"/>
      <c r="O259" s="84"/>
      <c r="Q259" s="87"/>
      <c r="S259" s="87"/>
      <c r="T259" s="87"/>
      <c r="U259" s="87"/>
      <c r="V259" s="87"/>
      <c r="W259" s="87"/>
      <c r="X259" s="87"/>
      <c r="Y259" s="87"/>
      <c r="Z259" s="87"/>
      <c r="AA259" s="87"/>
      <c r="AB259" s="87"/>
      <c r="AC259" s="87"/>
      <c r="AD259" s="87"/>
      <c r="AE259" s="87"/>
      <c r="AF259" s="87"/>
      <c r="AG259" s="87"/>
      <c r="AH259" s="87"/>
      <c r="AI259" s="87"/>
      <c r="AJ259" s="87"/>
      <c r="AK259" s="87"/>
      <c r="AL259" s="87"/>
    </row>
    <row r="260" spans="10:38" ht="15.75" customHeight="1">
      <c r="J260" s="87"/>
      <c r="O260" s="84"/>
      <c r="Q260" s="87"/>
      <c r="S260" s="87"/>
      <c r="T260" s="87"/>
      <c r="U260" s="87"/>
      <c r="V260" s="87"/>
      <c r="W260" s="87"/>
      <c r="X260" s="87"/>
      <c r="Y260" s="87"/>
      <c r="Z260" s="87"/>
      <c r="AA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  <c r="AL260" s="87"/>
    </row>
    <row r="261" spans="10:38" ht="15.75" customHeight="1">
      <c r="J261" s="87"/>
      <c r="O261" s="84"/>
      <c r="Q261" s="87"/>
      <c r="S261" s="87"/>
      <c r="T261" s="87"/>
      <c r="U261" s="87"/>
      <c r="V261" s="87"/>
      <c r="W261" s="87"/>
      <c r="X261" s="87"/>
      <c r="Y261" s="87"/>
      <c r="Z261" s="87"/>
      <c r="AA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  <c r="AL261" s="87"/>
    </row>
    <row r="262" spans="10:38" ht="15.75" customHeight="1">
      <c r="J262" s="87"/>
      <c r="O262" s="84"/>
      <c r="Q262" s="87"/>
      <c r="S262" s="87"/>
      <c r="T262" s="87"/>
      <c r="U262" s="87"/>
      <c r="V262" s="87"/>
      <c r="W262" s="87"/>
      <c r="X262" s="87"/>
      <c r="Y262" s="87"/>
      <c r="Z262" s="87"/>
      <c r="AA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  <c r="AL262" s="87"/>
    </row>
    <row r="263" spans="10:38" ht="15.75" customHeight="1">
      <c r="J263" s="87"/>
      <c r="O263" s="84"/>
      <c r="Q263" s="87"/>
      <c r="S263" s="87"/>
      <c r="T263" s="87"/>
      <c r="U263" s="87"/>
      <c r="V263" s="87"/>
      <c r="W263" s="87"/>
      <c r="X263" s="87"/>
      <c r="Y263" s="87"/>
      <c r="Z263" s="87"/>
      <c r="AA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  <c r="AL263" s="87"/>
    </row>
    <row r="264" spans="10:38" ht="15.75" customHeight="1">
      <c r="J264" s="87"/>
      <c r="O264" s="84"/>
      <c r="Q264" s="87"/>
      <c r="S264" s="87"/>
      <c r="T264" s="87"/>
      <c r="U264" s="87"/>
      <c r="V264" s="87"/>
      <c r="W264" s="87"/>
      <c r="X264" s="87"/>
      <c r="Y264" s="87"/>
      <c r="Z264" s="87"/>
      <c r="AA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  <c r="AL264" s="87"/>
    </row>
    <row r="265" spans="10:38" ht="15.75" customHeight="1">
      <c r="J265" s="87"/>
      <c r="O265" s="84"/>
      <c r="Q265" s="87"/>
      <c r="S265" s="87"/>
      <c r="T265" s="87"/>
      <c r="U265" s="87"/>
      <c r="V265" s="87"/>
      <c r="W265" s="87"/>
      <c r="X265" s="87"/>
      <c r="Y265" s="87"/>
      <c r="Z265" s="87"/>
      <c r="AA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  <c r="AL265" s="87"/>
    </row>
    <row r="266" spans="10:38" ht="15.75" customHeight="1">
      <c r="J266" s="87"/>
      <c r="O266" s="84"/>
      <c r="Q266" s="87"/>
      <c r="S266" s="87"/>
      <c r="T266" s="87"/>
      <c r="U266" s="87"/>
      <c r="V266" s="87"/>
      <c r="W266" s="87"/>
      <c r="X266" s="87"/>
      <c r="Y266" s="87"/>
      <c r="Z266" s="87"/>
      <c r="AA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  <c r="AL266" s="87"/>
    </row>
    <row r="267" spans="10:38" ht="15.75" customHeight="1">
      <c r="J267" s="87"/>
      <c r="O267" s="84"/>
      <c r="Q267" s="87"/>
      <c r="S267" s="87"/>
      <c r="T267" s="87"/>
      <c r="U267" s="87"/>
      <c r="V267" s="87"/>
      <c r="W267" s="87"/>
      <c r="X267" s="87"/>
      <c r="Y267" s="87"/>
      <c r="Z267" s="87"/>
      <c r="AA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  <c r="AL267" s="87"/>
    </row>
    <row r="268" spans="10:38" ht="15.75" customHeight="1">
      <c r="J268" s="87"/>
      <c r="O268" s="84"/>
      <c r="Q268" s="87"/>
      <c r="S268" s="87"/>
      <c r="T268" s="87"/>
      <c r="U268" s="87"/>
      <c r="V268" s="87"/>
      <c r="W268" s="87"/>
      <c r="X268" s="87"/>
      <c r="Y268" s="87"/>
      <c r="Z268" s="87"/>
      <c r="AA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  <c r="AL268" s="87"/>
    </row>
    <row r="269" spans="10:38" ht="15.75" customHeight="1">
      <c r="J269" s="87"/>
      <c r="O269" s="84"/>
      <c r="Q269" s="87"/>
      <c r="S269" s="87"/>
      <c r="T269" s="87"/>
      <c r="U269" s="87"/>
      <c r="V269" s="87"/>
      <c r="W269" s="87"/>
      <c r="X269" s="87"/>
      <c r="Y269" s="87"/>
      <c r="Z269" s="87"/>
      <c r="AA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  <c r="AL269" s="87"/>
    </row>
    <row r="270" spans="10:38" ht="15.75" customHeight="1">
      <c r="J270" s="87"/>
      <c r="O270" s="84"/>
      <c r="Q270" s="87"/>
      <c r="S270" s="87"/>
      <c r="T270" s="87"/>
      <c r="U270" s="87"/>
      <c r="V270" s="87"/>
      <c r="W270" s="87"/>
      <c r="X270" s="87"/>
      <c r="Y270" s="87"/>
      <c r="Z270" s="87"/>
      <c r="AA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  <c r="AL270" s="87"/>
    </row>
    <row r="271" spans="10:38" ht="15.75" customHeight="1">
      <c r="J271" s="87"/>
      <c r="O271" s="84"/>
      <c r="Q271" s="87"/>
      <c r="S271" s="87"/>
      <c r="T271" s="87"/>
      <c r="U271" s="87"/>
      <c r="V271" s="87"/>
      <c r="W271" s="87"/>
      <c r="X271" s="87"/>
      <c r="Y271" s="87"/>
      <c r="Z271" s="87"/>
      <c r="AA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  <c r="AL271" s="87"/>
    </row>
    <row r="272" spans="10:38" ht="15.75" customHeight="1">
      <c r="J272" s="87"/>
      <c r="O272" s="84"/>
      <c r="Q272" s="87"/>
      <c r="S272" s="87"/>
      <c r="T272" s="87"/>
      <c r="U272" s="87"/>
      <c r="V272" s="87"/>
      <c r="W272" s="87"/>
      <c r="X272" s="87"/>
      <c r="Y272" s="87"/>
      <c r="Z272" s="87"/>
      <c r="AA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  <c r="AL272" s="87"/>
    </row>
    <row r="273" spans="10:38" ht="15.75" customHeight="1">
      <c r="J273" s="87"/>
      <c r="O273" s="84"/>
      <c r="Q273" s="87"/>
      <c r="S273" s="87"/>
      <c r="T273" s="87"/>
      <c r="U273" s="87"/>
      <c r="V273" s="87"/>
      <c r="W273" s="87"/>
      <c r="X273" s="87"/>
      <c r="Y273" s="87"/>
      <c r="Z273" s="87"/>
      <c r="AA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  <c r="AL273" s="87"/>
    </row>
    <row r="274" spans="10:38" ht="15.75" customHeight="1">
      <c r="J274" s="87"/>
      <c r="O274" s="84"/>
      <c r="Q274" s="87"/>
      <c r="S274" s="87"/>
      <c r="T274" s="87"/>
      <c r="U274" s="87"/>
      <c r="V274" s="87"/>
      <c r="W274" s="87"/>
      <c r="X274" s="87"/>
      <c r="Y274" s="87"/>
      <c r="Z274" s="87"/>
      <c r="AA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  <c r="AL274" s="87"/>
    </row>
    <row r="275" spans="10:38" ht="15.75" customHeight="1">
      <c r="J275" s="87"/>
      <c r="O275" s="84"/>
      <c r="Q275" s="87"/>
      <c r="S275" s="87"/>
      <c r="T275" s="87"/>
      <c r="U275" s="87"/>
      <c r="V275" s="87"/>
      <c r="W275" s="87"/>
      <c r="X275" s="87"/>
      <c r="Y275" s="87"/>
      <c r="Z275" s="87"/>
      <c r="AA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  <c r="AL275" s="87"/>
    </row>
    <row r="276" spans="10:38" ht="15.75" customHeight="1">
      <c r="J276" s="87"/>
      <c r="O276" s="84"/>
      <c r="Q276" s="87"/>
      <c r="S276" s="87"/>
      <c r="T276" s="87"/>
      <c r="U276" s="87"/>
      <c r="V276" s="87"/>
      <c r="W276" s="87"/>
      <c r="X276" s="87"/>
      <c r="Y276" s="87"/>
      <c r="Z276" s="87"/>
      <c r="AA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  <c r="AL276" s="87"/>
    </row>
    <row r="277" spans="10:38" ht="15.75" customHeight="1">
      <c r="J277" s="87"/>
      <c r="O277" s="84"/>
      <c r="Q277" s="87"/>
      <c r="S277" s="87"/>
      <c r="T277" s="87"/>
      <c r="U277" s="87"/>
      <c r="V277" s="87"/>
      <c r="W277" s="87"/>
      <c r="X277" s="87"/>
      <c r="Y277" s="87"/>
      <c r="Z277" s="87"/>
      <c r="AA277" s="87"/>
      <c r="AB277" s="87"/>
      <c r="AC277" s="87"/>
      <c r="AD277" s="87"/>
      <c r="AE277" s="87"/>
      <c r="AF277" s="87"/>
      <c r="AG277" s="87"/>
      <c r="AH277" s="87"/>
      <c r="AI277" s="87"/>
      <c r="AJ277" s="87"/>
      <c r="AK277" s="87"/>
      <c r="AL277" s="87"/>
    </row>
    <row r="278" spans="10:38" ht="15.75" customHeight="1">
      <c r="J278" s="87"/>
      <c r="O278" s="84"/>
      <c r="Q278" s="87"/>
      <c r="S278" s="87"/>
      <c r="T278" s="87"/>
      <c r="U278" s="87"/>
      <c r="V278" s="87"/>
      <c r="W278" s="87"/>
      <c r="X278" s="87"/>
      <c r="Y278" s="87"/>
      <c r="Z278" s="87"/>
      <c r="AA278" s="87"/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  <c r="AL278" s="87"/>
    </row>
    <row r="279" spans="10:38" ht="15.75" customHeight="1">
      <c r="J279" s="87"/>
      <c r="O279" s="84"/>
      <c r="Q279" s="87"/>
      <c r="S279" s="87"/>
      <c r="T279" s="87"/>
      <c r="U279" s="87"/>
      <c r="V279" s="87"/>
      <c r="W279" s="87"/>
      <c r="X279" s="87"/>
      <c r="Y279" s="87"/>
      <c r="Z279" s="87"/>
      <c r="AA279" s="87"/>
      <c r="AB279" s="87"/>
      <c r="AC279" s="87"/>
      <c r="AD279" s="87"/>
      <c r="AE279" s="87"/>
      <c r="AF279" s="87"/>
      <c r="AG279" s="87"/>
      <c r="AH279" s="87"/>
      <c r="AI279" s="87"/>
      <c r="AJ279" s="87"/>
      <c r="AK279" s="87"/>
      <c r="AL279" s="87"/>
    </row>
    <row r="280" spans="10:38" ht="15.75" customHeight="1">
      <c r="J280" s="87"/>
      <c r="O280" s="84"/>
      <c r="Q280" s="87"/>
      <c r="S280" s="87"/>
      <c r="T280" s="87"/>
      <c r="U280" s="87"/>
      <c r="V280" s="87"/>
      <c r="W280" s="87"/>
      <c r="X280" s="87"/>
      <c r="Y280" s="87"/>
      <c r="Z280" s="87"/>
      <c r="AA280" s="87"/>
      <c r="AB280" s="87"/>
      <c r="AC280" s="87"/>
      <c r="AD280" s="87"/>
      <c r="AE280" s="87"/>
      <c r="AF280" s="87"/>
      <c r="AG280" s="87"/>
      <c r="AH280" s="87"/>
      <c r="AI280" s="87"/>
      <c r="AJ280" s="87"/>
      <c r="AK280" s="87"/>
      <c r="AL280" s="87"/>
    </row>
    <row r="281" spans="10:38" ht="15.75" customHeight="1">
      <c r="J281" s="87"/>
      <c r="O281" s="84"/>
      <c r="Q281" s="87"/>
      <c r="S281" s="87"/>
      <c r="T281" s="87"/>
      <c r="U281" s="87"/>
      <c r="V281" s="87"/>
      <c r="W281" s="87"/>
      <c r="X281" s="87"/>
      <c r="Y281" s="87"/>
      <c r="Z281" s="87"/>
      <c r="AA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  <c r="AL281" s="87"/>
    </row>
    <row r="282" spans="10:38" ht="15.75" customHeight="1">
      <c r="J282" s="87"/>
      <c r="O282" s="84"/>
      <c r="Q282" s="87"/>
      <c r="S282" s="87"/>
      <c r="T282" s="87"/>
      <c r="U282" s="87"/>
      <c r="V282" s="87"/>
      <c r="W282" s="87"/>
      <c r="X282" s="87"/>
      <c r="Y282" s="87"/>
      <c r="Z282" s="87"/>
      <c r="AA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  <c r="AL282" s="87"/>
    </row>
    <row r="283" spans="10:38" ht="15.75" customHeight="1">
      <c r="J283" s="87"/>
      <c r="O283" s="84"/>
      <c r="Q283" s="87"/>
      <c r="S283" s="87"/>
      <c r="T283" s="87"/>
      <c r="U283" s="87"/>
      <c r="V283" s="87"/>
      <c r="W283" s="87"/>
      <c r="X283" s="87"/>
      <c r="Y283" s="87"/>
      <c r="Z283" s="87"/>
      <c r="AA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  <c r="AL283" s="87"/>
    </row>
    <row r="284" spans="10:38" ht="15.75" customHeight="1">
      <c r="J284" s="87"/>
      <c r="O284" s="84"/>
      <c r="Q284" s="87"/>
      <c r="S284" s="87"/>
      <c r="T284" s="87"/>
      <c r="U284" s="87"/>
      <c r="V284" s="87"/>
      <c r="W284" s="87"/>
      <c r="X284" s="87"/>
      <c r="Y284" s="87"/>
      <c r="Z284" s="87"/>
      <c r="AA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  <c r="AL284" s="87"/>
    </row>
    <row r="285" spans="10:38" ht="15.75" customHeight="1">
      <c r="J285" s="87"/>
      <c r="O285" s="84"/>
      <c r="Q285" s="87"/>
      <c r="S285" s="87"/>
      <c r="T285" s="87"/>
      <c r="U285" s="87"/>
      <c r="V285" s="87"/>
      <c r="W285" s="87"/>
      <c r="X285" s="87"/>
      <c r="Y285" s="87"/>
      <c r="Z285" s="87"/>
      <c r="AA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  <c r="AL285" s="87"/>
    </row>
    <row r="286" spans="10:38" ht="15.75" customHeight="1">
      <c r="J286" s="87"/>
      <c r="O286" s="84"/>
      <c r="Q286" s="87"/>
      <c r="S286" s="87"/>
      <c r="T286" s="87"/>
      <c r="U286" s="87"/>
      <c r="V286" s="87"/>
      <c r="W286" s="87"/>
      <c r="X286" s="87"/>
      <c r="Y286" s="87"/>
      <c r="Z286" s="87"/>
      <c r="AA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  <c r="AL286" s="87"/>
    </row>
    <row r="287" spans="10:38" ht="15.75" customHeight="1">
      <c r="J287" s="87"/>
      <c r="O287" s="84"/>
      <c r="Q287" s="87"/>
      <c r="S287" s="87"/>
      <c r="T287" s="87"/>
      <c r="U287" s="87"/>
      <c r="V287" s="87"/>
      <c r="W287" s="87"/>
      <c r="X287" s="87"/>
      <c r="Y287" s="87"/>
      <c r="Z287" s="87"/>
      <c r="AA287" s="87"/>
      <c r="AB287" s="87"/>
      <c r="AC287" s="87"/>
      <c r="AD287" s="87"/>
      <c r="AE287" s="87"/>
      <c r="AF287" s="87"/>
      <c r="AG287" s="87"/>
      <c r="AH287" s="87"/>
      <c r="AI287" s="87"/>
      <c r="AJ287" s="87"/>
      <c r="AK287" s="87"/>
      <c r="AL287" s="87"/>
    </row>
    <row r="288" spans="10:38" ht="15.75" customHeight="1">
      <c r="J288" s="87"/>
      <c r="O288" s="84"/>
      <c r="Q288" s="87"/>
      <c r="S288" s="87"/>
      <c r="T288" s="87"/>
      <c r="U288" s="87"/>
      <c r="V288" s="87"/>
      <c r="W288" s="87"/>
      <c r="X288" s="87"/>
      <c r="Y288" s="87"/>
      <c r="Z288" s="87"/>
      <c r="AA288" s="87"/>
      <c r="AB288" s="87"/>
      <c r="AC288" s="87"/>
      <c r="AD288" s="87"/>
      <c r="AE288" s="87"/>
      <c r="AF288" s="87"/>
      <c r="AG288" s="87"/>
      <c r="AH288" s="87"/>
      <c r="AI288" s="87"/>
      <c r="AJ288" s="87"/>
      <c r="AK288" s="87"/>
      <c r="AL288" s="87"/>
    </row>
    <row r="289" spans="10:38" ht="15.75" customHeight="1">
      <c r="J289" s="87"/>
      <c r="O289" s="84"/>
      <c r="Q289" s="87"/>
      <c r="S289" s="87"/>
      <c r="T289" s="87"/>
      <c r="U289" s="87"/>
      <c r="V289" s="87"/>
      <c r="W289" s="87"/>
      <c r="X289" s="87"/>
      <c r="Y289" s="87"/>
      <c r="Z289" s="87"/>
      <c r="AA289" s="87"/>
      <c r="AB289" s="87"/>
      <c r="AC289" s="87"/>
      <c r="AD289" s="87"/>
      <c r="AE289" s="87"/>
      <c r="AF289" s="87"/>
      <c r="AG289" s="87"/>
      <c r="AH289" s="87"/>
      <c r="AI289" s="87"/>
      <c r="AJ289" s="87"/>
      <c r="AK289" s="87"/>
      <c r="AL289" s="87"/>
    </row>
    <row r="290" spans="10:38" ht="15.75" customHeight="1">
      <c r="J290" s="87"/>
      <c r="O290" s="84"/>
      <c r="Q290" s="87"/>
      <c r="S290" s="87"/>
      <c r="T290" s="87"/>
      <c r="U290" s="87"/>
      <c r="V290" s="87"/>
      <c r="W290" s="87"/>
      <c r="X290" s="87"/>
      <c r="Y290" s="87"/>
      <c r="Z290" s="87"/>
      <c r="AA290" s="87"/>
      <c r="AB290" s="87"/>
      <c r="AC290" s="87"/>
      <c r="AD290" s="87"/>
      <c r="AE290" s="87"/>
      <c r="AF290" s="87"/>
      <c r="AG290" s="87"/>
      <c r="AH290" s="87"/>
      <c r="AI290" s="87"/>
      <c r="AJ290" s="87"/>
      <c r="AK290" s="87"/>
      <c r="AL290" s="87"/>
    </row>
    <row r="291" spans="10:38" ht="15.75" customHeight="1">
      <c r="J291" s="87"/>
      <c r="O291" s="84"/>
      <c r="Q291" s="87"/>
      <c r="S291" s="87"/>
      <c r="T291" s="87"/>
      <c r="U291" s="87"/>
      <c r="V291" s="87"/>
      <c r="W291" s="87"/>
      <c r="X291" s="87"/>
      <c r="Y291" s="87"/>
      <c r="Z291" s="87"/>
      <c r="AA291" s="87"/>
      <c r="AB291" s="87"/>
      <c r="AC291" s="87"/>
      <c r="AD291" s="87"/>
      <c r="AE291" s="87"/>
      <c r="AF291" s="87"/>
      <c r="AG291" s="87"/>
      <c r="AH291" s="87"/>
      <c r="AI291" s="87"/>
      <c r="AJ291" s="87"/>
      <c r="AK291" s="87"/>
      <c r="AL291" s="87"/>
    </row>
    <row r="292" spans="10:38" ht="15.75" customHeight="1">
      <c r="J292" s="87"/>
      <c r="O292" s="84"/>
      <c r="Q292" s="87"/>
      <c r="S292" s="87"/>
      <c r="T292" s="87"/>
      <c r="U292" s="87"/>
      <c r="V292" s="87"/>
      <c r="W292" s="87"/>
      <c r="X292" s="87"/>
      <c r="Y292" s="87"/>
      <c r="Z292" s="87"/>
      <c r="AA292" s="87"/>
      <c r="AB292" s="87"/>
      <c r="AC292" s="87"/>
      <c r="AD292" s="87"/>
      <c r="AE292" s="87"/>
      <c r="AF292" s="87"/>
      <c r="AG292" s="87"/>
      <c r="AH292" s="87"/>
      <c r="AI292" s="87"/>
      <c r="AJ292" s="87"/>
      <c r="AK292" s="87"/>
      <c r="AL292" s="87"/>
    </row>
    <row r="293" spans="10:38" ht="15.75" customHeight="1">
      <c r="J293" s="87"/>
      <c r="O293" s="84"/>
      <c r="Q293" s="87"/>
      <c r="S293" s="87"/>
      <c r="T293" s="87"/>
      <c r="U293" s="87"/>
      <c r="V293" s="87"/>
      <c r="W293" s="87"/>
      <c r="X293" s="87"/>
      <c r="Y293" s="87"/>
      <c r="Z293" s="87"/>
      <c r="AA293" s="87"/>
      <c r="AB293" s="87"/>
      <c r="AC293" s="87"/>
      <c r="AD293" s="87"/>
      <c r="AE293" s="87"/>
      <c r="AF293" s="87"/>
      <c r="AG293" s="87"/>
      <c r="AH293" s="87"/>
      <c r="AI293" s="87"/>
      <c r="AJ293" s="87"/>
      <c r="AK293" s="87"/>
      <c r="AL293" s="87"/>
    </row>
    <row r="294" spans="10:38" ht="15.75" customHeight="1">
      <c r="J294" s="87"/>
      <c r="O294" s="84"/>
      <c r="Q294" s="87"/>
      <c r="S294" s="87"/>
      <c r="T294" s="87"/>
      <c r="U294" s="87"/>
      <c r="V294" s="87"/>
      <c r="W294" s="87"/>
      <c r="X294" s="87"/>
      <c r="Y294" s="87"/>
      <c r="Z294" s="87"/>
      <c r="AA294" s="87"/>
      <c r="AB294" s="87"/>
      <c r="AC294" s="87"/>
      <c r="AD294" s="87"/>
      <c r="AE294" s="87"/>
      <c r="AF294" s="87"/>
      <c r="AG294" s="87"/>
      <c r="AH294" s="87"/>
      <c r="AI294" s="87"/>
      <c r="AJ294" s="87"/>
      <c r="AK294" s="87"/>
      <c r="AL294" s="87"/>
    </row>
    <row r="295" spans="10:38" ht="15.75" customHeight="1">
      <c r="J295" s="87"/>
      <c r="O295" s="84"/>
      <c r="Q295" s="87"/>
      <c r="S295" s="87"/>
      <c r="T295" s="87"/>
      <c r="U295" s="87"/>
      <c r="V295" s="87"/>
      <c r="W295" s="87"/>
      <c r="X295" s="87"/>
      <c r="Y295" s="87"/>
      <c r="Z295" s="87"/>
      <c r="AA295" s="87"/>
      <c r="AB295" s="87"/>
      <c r="AC295" s="87"/>
      <c r="AD295" s="87"/>
      <c r="AE295" s="87"/>
      <c r="AF295" s="87"/>
      <c r="AG295" s="87"/>
      <c r="AH295" s="87"/>
      <c r="AI295" s="87"/>
      <c r="AJ295" s="87"/>
      <c r="AK295" s="87"/>
      <c r="AL295" s="87"/>
    </row>
    <row r="296" spans="10:38" ht="15.75" customHeight="1">
      <c r="J296" s="87"/>
      <c r="O296" s="84"/>
      <c r="Q296" s="87"/>
      <c r="S296" s="87"/>
      <c r="T296" s="87"/>
      <c r="U296" s="87"/>
      <c r="V296" s="87"/>
      <c r="W296" s="87"/>
      <c r="X296" s="87"/>
      <c r="Y296" s="87"/>
      <c r="Z296" s="87"/>
      <c r="AA296" s="87"/>
      <c r="AB296" s="87"/>
      <c r="AC296" s="87"/>
      <c r="AD296" s="87"/>
      <c r="AE296" s="87"/>
      <c r="AF296" s="87"/>
      <c r="AG296" s="87"/>
      <c r="AH296" s="87"/>
      <c r="AI296" s="87"/>
      <c r="AJ296" s="87"/>
      <c r="AK296" s="87"/>
      <c r="AL296" s="87"/>
    </row>
    <row r="297" spans="10:38" ht="15.75" customHeight="1">
      <c r="J297" s="87"/>
      <c r="O297" s="84"/>
      <c r="Q297" s="87"/>
      <c r="S297" s="87"/>
      <c r="T297" s="87"/>
      <c r="U297" s="87"/>
      <c r="V297" s="87"/>
      <c r="W297" s="87"/>
      <c r="X297" s="87"/>
      <c r="Y297" s="87"/>
      <c r="Z297" s="87"/>
      <c r="AA297" s="87"/>
      <c r="AB297" s="87"/>
      <c r="AC297" s="87"/>
      <c r="AD297" s="87"/>
      <c r="AE297" s="87"/>
      <c r="AF297" s="87"/>
      <c r="AG297" s="87"/>
      <c r="AH297" s="87"/>
      <c r="AI297" s="87"/>
      <c r="AJ297" s="87"/>
      <c r="AK297" s="87"/>
      <c r="AL297" s="87"/>
    </row>
    <row r="298" spans="10:38" ht="15.75" customHeight="1">
      <c r="J298" s="87"/>
      <c r="O298" s="84"/>
      <c r="Q298" s="87"/>
      <c r="S298" s="87"/>
      <c r="T298" s="87"/>
      <c r="U298" s="87"/>
      <c r="V298" s="87"/>
      <c r="W298" s="87"/>
      <c r="X298" s="87"/>
      <c r="Y298" s="87"/>
      <c r="Z298" s="87"/>
      <c r="AA298" s="87"/>
      <c r="AB298" s="87"/>
      <c r="AC298" s="87"/>
      <c r="AD298" s="87"/>
      <c r="AE298" s="87"/>
      <c r="AF298" s="87"/>
      <c r="AG298" s="87"/>
      <c r="AH298" s="87"/>
      <c r="AI298" s="87"/>
      <c r="AJ298" s="87"/>
      <c r="AK298" s="87"/>
      <c r="AL298" s="87"/>
    </row>
    <row r="299" spans="10:38" ht="15.75" customHeight="1">
      <c r="J299" s="87"/>
      <c r="O299" s="84"/>
      <c r="Q299" s="87"/>
      <c r="S299" s="87"/>
      <c r="T299" s="87"/>
      <c r="U299" s="87"/>
      <c r="V299" s="87"/>
      <c r="W299" s="87"/>
      <c r="X299" s="87"/>
      <c r="Y299" s="87"/>
      <c r="Z299" s="87"/>
      <c r="AA299" s="87"/>
      <c r="AB299" s="87"/>
      <c r="AC299" s="87"/>
      <c r="AD299" s="87"/>
      <c r="AE299" s="87"/>
      <c r="AF299" s="87"/>
      <c r="AG299" s="87"/>
      <c r="AH299" s="87"/>
      <c r="AI299" s="87"/>
      <c r="AJ299" s="87"/>
      <c r="AK299" s="87"/>
      <c r="AL299" s="87"/>
    </row>
    <row r="300" spans="10:38" ht="15.75" customHeight="1">
      <c r="J300" s="87"/>
      <c r="O300" s="84"/>
      <c r="Q300" s="87"/>
      <c r="S300" s="87"/>
      <c r="T300" s="87"/>
      <c r="U300" s="87"/>
      <c r="V300" s="87"/>
      <c r="W300" s="87"/>
      <c r="X300" s="87"/>
      <c r="Y300" s="87"/>
      <c r="Z300" s="87"/>
      <c r="AA300" s="87"/>
      <c r="AB300" s="87"/>
      <c r="AC300" s="87"/>
      <c r="AD300" s="87"/>
      <c r="AE300" s="87"/>
      <c r="AF300" s="87"/>
      <c r="AG300" s="87"/>
      <c r="AH300" s="87"/>
      <c r="AI300" s="87"/>
      <c r="AJ300" s="87"/>
      <c r="AK300" s="87"/>
      <c r="AL300" s="87"/>
    </row>
    <row r="301" spans="10:38" ht="15.75" customHeight="1">
      <c r="J301" s="87"/>
      <c r="O301" s="84"/>
      <c r="Q301" s="87"/>
      <c r="S301" s="87"/>
      <c r="T301" s="87"/>
      <c r="U301" s="87"/>
      <c r="V301" s="87"/>
      <c r="W301" s="87"/>
      <c r="X301" s="87"/>
      <c r="Y301" s="87"/>
      <c r="Z301" s="87"/>
      <c r="AA301" s="87"/>
      <c r="AB301" s="87"/>
      <c r="AC301" s="87"/>
      <c r="AD301" s="87"/>
      <c r="AE301" s="87"/>
      <c r="AF301" s="87"/>
      <c r="AG301" s="87"/>
      <c r="AH301" s="87"/>
      <c r="AI301" s="87"/>
      <c r="AJ301" s="87"/>
      <c r="AK301" s="87"/>
      <c r="AL301" s="87"/>
    </row>
    <row r="302" spans="10:38" ht="15.75" customHeight="1">
      <c r="J302" s="87"/>
      <c r="O302" s="84"/>
      <c r="Q302" s="87"/>
      <c r="S302" s="87"/>
      <c r="T302" s="87"/>
      <c r="U302" s="87"/>
      <c r="V302" s="87"/>
      <c r="W302" s="87"/>
      <c r="X302" s="87"/>
      <c r="Y302" s="87"/>
      <c r="Z302" s="87"/>
      <c r="AA302" s="87"/>
      <c r="AB302" s="87"/>
      <c r="AC302" s="87"/>
      <c r="AD302" s="87"/>
      <c r="AE302" s="87"/>
      <c r="AF302" s="87"/>
      <c r="AG302" s="87"/>
      <c r="AH302" s="87"/>
      <c r="AI302" s="87"/>
      <c r="AJ302" s="87"/>
      <c r="AK302" s="87"/>
      <c r="AL302" s="87"/>
    </row>
    <row r="303" spans="10:38" ht="15.75" customHeight="1">
      <c r="J303" s="87"/>
      <c r="O303" s="84"/>
      <c r="Q303" s="87"/>
      <c r="S303" s="87"/>
      <c r="T303" s="87"/>
      <c r="U303" s="87"/>
      <c r="V303" s="87"/>
      <c r="W303" s="87"/>
      <c r="X303" s="87"/>
      <c r="Y303" s="87"/>
      <c r="Z303" s="87"/>
      <c r="AA303" s="87"/>
      <c r="AB303" s="87"/>
      <c r="AC303" s="87"/>
      <c r="AD303" s="87"/>
      <c r="AE303" s="87"/>
      <c r="AF303" s="87"/>
      <c r="AG303" s="87"/>
      <c r="AH303" s="87"/>
      <c r="AI303" s="87"/>
      <c r="AJ303" s="87"/>
      <c r="AK303" s="87"/>
      <c r="AL303" s="87"/>
    </row>
    <row r="304" spans="10:38" ht="15.75" customHeight="1">
      <c r="J304" s="87"/>
      <c r="O304" s="84"/>
      <c r="Q304" s="87"/>
      <c r="S304" s="87"/>
      <c r="T304" s="87"/>
      <c r="U304" s="87"/>
      <c r="V304" s="87"/>
      <c r="W304" s="87"/>
      <c r="X304" s="87"/>
      <c r="Y304" s="87"/>
      <c r="Z304" s="87"/>
      <c r="AA304" s="87"/>
      <c r="AB304" s="87"/>
      <c r="AC304" s="87"/>
      <c r="AD304" s="87"/>
      <c r="AE304" s="87"/>
      <c r="AF304" s="87"/>
      <c r="AG304" s="87"/>
      <c r="AH304" s="87"/>
      <c r="AI304" s="87"/>
      <c r="AJ304" s="87"/>
      <c r="AK304" s="87"/>
      <c r="AL304" s="87"/>
    </row>
    <row r="305" spans="10:38" ht="15.75" customHeight="1">
      <c r="J305" s="87"/>
      <c r="O305" s="84"/>
      <c r="Q305" s="87"/>
      <c r="S305" s="87"/>
      <c r="T305" s="87"/>
      <c r="U305" s="87"/>
      <c r="V305" s="87"/>
      <c r="W305" s="87"/>
      <c r="X305" s="87"/>
      <c r="Y305" s="87"/>
      <c r="Z305" s="87"/>
      <c r="AA305" s="87"/>
      <c r="AB305" s="87"/>
      <c r="AC305" s="87"/>
      <c r="AD305" s="87"/>
      <c r="AE305" s="87"/>
      <c r="AF305" s="87"/>
      <c r="AG305" s="87"/>
      <c r="AH305" s="87"/>
      <c r="AI305" s="87"/>
      <c r="AJ305" s="87"/>
      <c r="AK305" s="87"/>
      <c r="AL305" s="87"/>
    </row>
    <row r="306" spans="10:38" ht="15.75" customHeight="1">
      <c r="J306" s="87"/>
      <c r="O306" s="84"/>
      <c r="Q306" s="87"/>
      <c r="S306" s="87"/>
      <c r="T306" s="87"/>
      <c r="U306" s="87"/>
      <c r="V306" s="87"/>
      <c r="W306" s="87"/>
      <c r="X306" s="87"/>
      <c r="Y306" s="87"/>
      <c r="Z306" s="87"/>
      <c r="AA306" s="87"/>
      <c r="AB306" s="87"/>
      <c r="AC306" s="87"/>
      <c r="AD306" s="87"/>
      <c r="AE306" s="87"/>
      <c r="AF306" s="87"/>
      <c r="AG306" s="87"/>
      <c r="AH306" s="87"/>
      <c r="AI306" s="87"/>
      <c r="AJ306" s="87"/>
      <c r="AK306" s="87"/>
      <c r="AL306" s="87"/>
    </row>
    <row r="307" spans="10:38" ht="15.75" customHeight="1">
      <c r="J307" s="87"/>
      <c r="O307" s="84"/>
      <c r="Q307" s="87"/>
      <c r="S307" s="87"/>
      <c r="T307" s="87"/>
      <c r="U307" s="87"/>
      <c r="V307" s="87"/>
      <c r="W307" s="87"/>
      <c r="X307" s="87"/>
      <c r="Y307" s="87"/>
      <c r="Z307" s="87"/>
      <c r="AA307" s="87"/>
      <c r="AB307" s="87"/>
      <c r="AC307" s="87"/>
      <c r="AD307" s="87"/>
      <c r="AE307" s="87"/>
      <c r="AF307" s="87"/>
      <c r="AG307" s="87"/>
      <c r="AH307" s="87"/>
      <c r="AI307" s="87"/>
      <c r="AJ307" s="87"/>
      <c r="AK307" s="87"/>
      <c r="AL307" s="87"/>
    </row>
    <row r="308" spans="10:38" ht="15.75" customHeight="1">
      <c r="J308" s="87"/>
      <c r="O308" s="84"/>
      <c r="Q308" s="87"/>
      <c r="S308" s="87"/>
      <c r="T308" s="87"/>
      <c r="U308" s="87"/>
      <c r="V308" s="87"/>
      <c r="W308" s="87"/>
      <c r="X308" s="87"/>
      <c r="Y308" s="87"/>
      <c r="Z308" s="87"/>
      <c r="AA308" s="87"/>
      <c r="AB308" s="87"/>
      <c r="AC308" s="87"/>
      <c r="AD308" s="87"/>
      <c r="AE308" s="87"/>
      <c r="AF308" s="87"/>
      <c r="AG308" s="87"/>
      <c r="AH308" s="87"/>
      <c r="AI308" s="87"/>
      <c r="AJ308" s="87"/>
      <c r="AK308" s="87"/>
      <c r="AL308" s="87"/>
    </row>
    <row r="309" spans="10:38" ht="15.75" customHeight="1">
      <c r="J309" s="87"/>
      <c r="O309" s="84"/>
      <c r="Q309" s="87"/>
      <c r="S309" s="87"/>
      <c r="T309" s="87"/>
      <c r="U309" s="87"/>
      <c r="V309" s="87"/>
      <c r="W309" s="87"/>
      <c r="X309" s="87"/>
      <c r="Y309" s="87"/>
      <c r="Z309" s="87"/>
      <c r="AA309" s="87"/>
      <c r="AB309" s="87"/>
      <c r="AC309" s="87"/>
      <c r="AD309" s="87"/>
      <c r="AE309" s="87"/>
      <c r="AF309" s="87"/>
      <c r="AG309" s="87"/>
      <c r="AH309" s="87"/>
      <c r="AI309" s="87"/>
      <c r="AJ309" s="87"/>
      <c r="AK309" s="87"/>
      <c r="AL309" s="87"/>
    </row>
    <row r="310" spans="10:38" ht="15.75" customHeight="1">
      <c r="J310" s="87"/>
      <c r="O310" s="84"/>
      <c r="Q310" s="87"/>
      <c r="S310" s="87"/>
      <c r="T310" s="87"/>
      <c r="U310" s="87"/>
      <c r="V310" s="87"/>
      <c r="W310" s="87"/>
      <c r="X310" s="87"/>
      <c r="Y310" s="87"/>
      <c r="Z310" s="87"/>
      <c r="AA310" s="87"/>
      <c r="AB310" s="87"/>
      <c r="AC310" s="87"/>
      <c r="AD310" s="87"/>
      <c r="AE310" s="87"/>
      <c r="AF310" s="87"/>
      <c r="AG310" s="87"/>
      <c r="AH310" s="87"/>
      <c r="AI310" s="87"/>
      <c r="AJ310" s="87"/>
      <c r="AK310" s="87"/>
      <c r="AL310" s="87"/>
    </row>
    <row r="311" spans="10:38" ht="15.75" customHeight="1">
      <c r="J311" s="87"/>
      <c r="O311" s="84"/>
      <c r="Q311" s="87"/>
      <c r="S311" s="87"/>
      <c r="T311" s="87"/>
      <c r="U311" s="87"/>
      <c r="V311" s="87"/>
      <c r="W311" s="87"/>
      <c r="X311" s="87"/>
      <c r="Y311" s="87"/>
      <c r="Z311" s="87"/>
      <c r="AA311" s="87"/>
      <c r="AB311" s="87"/>
      <c r="AC311" s="87"/>
      <c r="AD311" s="87"/>
      <c r="AE311" s="87"/>
      <c r="AF311" s="87"/>
      <c r="AG311" s="87"/>
      <c r="AH311" s="87"/>
      <c r="AI311" s="87"/>
      <c r="AJ311" s="87"/>
      <c r="AK311" s="87"/>
      <c r="AL311" s="87"/>
    </row>
    <row r="312" spans="10:38" ht="15.75" customHeight="1">
      <c r="J312" s="87"/>
      <c r="O312" s="84"/>
      <c r="Q312" s="87"/>
      <c r="S312" s="87"/>
      <c r="T312" s="87"/>
      <c r="U312" s="87"/>
      <c r="V312" s="87"/>
      <c r="W312" s="87"/>
      <c r="X312" s="87"/>
      <c r="Y312" s="87"/>
      <c r="Z312" s="87"/>
      <c r="AA312" s="87"/>
      <c r="AB312" s="87"/>
      <c r="AC312" s="87"/>
      <c r="AD312" s="87"/>
      <c r="AE312" s="87"/>
      <c r="AF312" s="87"/>
      <c r="AG312" s="87"/>
      <c r="AH312" s="87"/>
      <c r="AI312" s="87"/>
      <c r="AJ312" s="87"/>
      <c r="AK312" s="87"/>
      <c r="AL312" s="87"/>
    </row>
    <row r="313" spans="10:38" ht="15.75" customHeight="1">
      <c r="J313" s="87"/>
      <c r="O313" s="84"/>
      <c r="Q313" s="87"/>
      <c r="S313" s="87"/>
      <c r="T313" s="87"/>
      <c r="U313" s="87"/>
      <c r="V313" s="87"/>
      <c r="W313" s="87"/>
      <c r="X313" s="87"/>
      <c r="Y313" s="87"/>
      <c r="Z313" s="87"/>
      <c r="AA313" s="87"/>
      <c r="AB313" s="87"/>
      <c r="AC313" s="87"/>
      <c r="AD313" s="87"/>
      <c r="AE313" s="87"/>
      <c r="AF313" s="87"/>
      <c r="AG313" s="87"/>
      <c r="AH313" s="87"/>
      <c r="AI313" s="87"/>
      <c r="AJ313" s="87"/>
      <c r="AK313" s="87"/>
      <c r="AL313" s="87"/>
    </row>
    <row r="314" spans="10:38" ht="15.75" customHeight="1">
      <c r="J314" s="87"/>
      <c r="O314" s="84"/>
      <c r="Q314" s="87"/>
      <c r="S314" s="87"/>
      <c r="T314" s="87"/>
      <c r="U314" s="87"/>
      <c r="V314" s="87"/>
      <c r="W314" s="87"/>
      <c r="X314" s="87"/>
      <c r="Y314" s="87"/>
      <c r="Z314" s="87"/>
      <c r="AA314" s="87"/>
      <c r="AB314" s="87"/>
      <c r="AC314" s="87"/>
      <c r="AD314" s="87"/>
      <c r="AE314" s="87"/>
      <c r="AF314" s="87"/>
      <c r="AG314" s="87"/>
      <c r="AH314" s="87"/>
      <c r="AI314" s="87"/>
      <c r="AJ314" s="87"/>
      <c r="AK314" s="87"/>
      <c r="AL314" s="87"/>
    </row>
    <row r="315" spans="10:38" ht="15.75" customHeight="1">
      <c r="J315" s="87"/>
      <c r="O315" s="84"/>
      <c r="Q315" s="87"/>
      <c r="S315" s="87"/>
      <c r="T315" s="87"/>
      <c r="U315" s="87"/>
      <c r="V315" s="87"/>
      <c r="W315" s="87"/>
      <c r="X315" s="87"/>
      <c r="Y315" s="87"/>
      <c r="Z315" s="87"/>
      <c r="AA315" s="87"/>
      <c r="AB315" s="87"/>
      <c r="AC315" s="87"/>
      <c r="AD315" s="87"/>
      <c r="AE315" s="87"/>
      <c r="AF315" s="87"/>
      <c r="AG315" s="87"/>
      <c r="AH315" s="87"/>
      <c r="AI315" s="87"/>
      <c r="AJ315" s="87"/>
      <c r="AK315" s="87"/>
      <c r="AL315" s="87"/>
    </row>
    <row r="316" spans="10:38" ht="15.75" customHeight="1">
      <c r="J316" s="87"/>
      <c r="O316" s="84"/>
      <c r="Q316" s="87"/>
      <c r="S316" s="87"/>
      <c r="T316" s="87"/>
      <c r="U316" s="87"/>
      <c r="V316" s="87"/>
      <c r="W316" s="87"/>
      <c r="X316" s="87"/>
      <c r="Y316" s="87"/>
      <c r="Z316" s="87"/>
      <c r="AA316" s="87"/>
      <c r="AB316" s="87"/>
      <c r="AC316" s="87"/>
      <c r="AD316" s="87"/>
      <c r="AE316" s="87"/>
      <c r="AF316" s="87"/>
      <c r="AG316" s="87"/>
      <c r="AH316" s="87"/>
      <c r="AI316" s="87"/>
      <c r="AJ316" s="87"/>
      <c r="AK316" s="87"/>
      <c r="AL316" s="87"/>
    </row>
    <row r="317" spans="10:38" ht="15.75" customHeight="1">
      <c r="J317" s="87"/>
      <c r="O317" s="84"/>
      <c r="Q317" s="87"/>
      <c r="S317" s="87"/>
      <c r="T317" s="87"/>
      <c r="U317" s="87"/>
      <c r="V317" s="87"/>
      <c r="W317" s="87"/>
      <c r="X317" s="87"/>
      <c r="Y317" s="87"/>
      <c r="Z317" s="87"/>
      <c r="AA317" s="87"/>
      <c r="AB317" s="87"/>
      <c r="AC317" s="87"/>
      <c r="AD317" s="87"/>
      <c r="AE317" s="87"/>
      <c r="AF317" s="87"/>
      <c r="AG317" s="87"/>
      <c r="AH317" s="87"/>
      <c r="AI317" s="87"/>
      <c r="AJ317" s="87"/>
      <c r="AK317" s="87"/>
      <c r="AL317" s="87"/>
    </row>
    <row r="318" spans="10:38" ht="15.75" customHeight="1">
      <c r="J318" s="87"/>
      <c r="O318" s="84"/>
      <c r="Q318" s="87"/>
      <c r="S318" s="87"/>
      <c r="T318" s="87"/>
      <c r="U318" s="87"/>
      <c r="V318" s="87"/>
      <c r="W318" s="87"/>
      <c r="X318" s="87"/>
      <c r="Y318" s="87"/>
      <c r="Z318" s="87"/>
      <c r="AA318" s="87"/>
      <c r="AB318" s="87"/>
      <c r="AC318" s="87"/>
      <c r="AD318" s="87"/>
      <c r="AE318" s="87"/>
      <c r="AF318" s="87"/>
      <c r="AG318" s="87"/>
      <c r="AH318" s="87"/>
      <c r="AI318" s="87"/>
      <c r="AJ318" s="87"/>
      <c r="AK318" s="87"/>
      <c r="AL318" s="87"/>
    </row>
    <row r="319" spans="10:38" ht="15.75" customHeight="1">
      <c r="J319" s="87"/>
      <c r="O319" s="84"/>
      <c r="Q319" s="87"/>
      <c r="S319" s="87"/>
      <c r="T319" s="87"/>
      <c r="U319" s="87"/>
      <c r="V319" s="87"/>
      <c r="W319" s="87"/>
      <c r="X319" s="87"/>
      <c r="Y319" s="87"/>
      <c r="Z319" s="87"/>
      <c r="AA319" s="87"/>
      <c r="AB319" s="87"/>
      <c r="AC319" s="87"/>
      <c r="AD319" s="87"/>
      <c r="AE319" s="87"/>
      <c r="AF319" s="87"/>
      <c r="AG319" s="87"/>
      <c r="AH319" s="87"/>
      <c r="AI319" s="87"/>
      <c r="AJ319" s="87"/>
      <c r="AK319" s="87"/>
      <c r="AL319" s="87"/>
    </row>
    <row r="320" spans="10:38" ht="15.75" customHeight="1">
      <c r="J320" s="87"/>
      <c r="O320" s="84"/>
      <c r="Q320" s="87"/>
      <c r="S320" s="87"/>
      <c r="T320" s="87"/>
      <c r="U320" s="87"/>
      <c r="V320" s="87"/>
      <c r="W320" s="87"/>
      <c r="X320" s="87"/>
      <c r="Y320" s="87"/>
      <c r="Z320" s="87"/>
      <c r="AA320" s="87"/>
      <c r="AB320" s="87"/>
      <c r="AC320" s="87"/>
      <c r="AD320" s="87"/>
      <c r="AE320" s="87"/>
      <c r="AF320" s="87"/>
      <c r="AG320" s="87"/>
      <c r="AH320" s="87"/>
      <c r="AI320" s="87"/>
      <c r="AJ320" s="87"/>
      <c r="AK320" s="87"/>
      <c r="AL320" s="87"/>
    </row>
    <row r="321" spans="10:38" ht="15.75" customHeight="1">
      <c r="J321" s="87"/>
      <c r="O321" s="84"/>
      <c r="Q321" s="87"/>
      <c r="S321" s="87"/>
      <c r="T321" s="87"/>
      <c r="U321" s="87"/>
      <c r="V321" s="87"/>
      <c r="W321" s="87"/>
      <c r="X321" s="87"/>
      <c r="Y321" s="87"/>
      <c r="Z321" s="87"/>
      <c r="AA321" s="87"/>
      <c r="AB321" s="87"/>
      <c r="AC321" s="87"/>
      <c r="AD321" s="87"/>
      <c r="AE321" s="87"/>
      <c r="AF321" s="87"/>
      <c r="AG321" s="87"/>
      <c r="AH321" s="87"/>
      <c r="AI321" s="87"/>
      <c r="AJ321" s="87"/>
      <c r="AK321" s="87"/>
      <c r="AL321" s="87"/>
    </row>
    <row r="322" spans="10:38" ht="15.75" customHeight="1">
      <c r="J322" s="87"/>
      <c r="O322" s="84"/>
      <c r="Q322" s="87"/>
      <c r="S322" s="87"/>
      <c r="T322" s="87"/>
      <c r="U322" s="87"/>
      <c r="V322" s="87"/>
      <c r="W322" s="87"/>
      <c r="X322" s="87"/>
      <c r="Y322" s="87"/>
      <c r="Z322" s="87"/>
      <c r="AA322" s="87"/>
      <c r="AB322" s="87"/>
      <c r="AC322" s="87"/>
      <c r="AD322" s="87"/>
      <c r="AE322" s="87"/>
      <c r="AF322" s="87"/>
      <c r="AG322" s="87"/>
      <c r="AH322" s="87"/>
      <c r="AI322" s="87"/>
      <c r="AJ322" s="87"/>
      <c r="AK322" s="87"/>
      <c r="AL322" s="87"/>
    </row>
    <row r="323" spans="10:38" ht="15.75" customHeight="1">
      <c r="J323" s="87"/>
      <c r="O323" s="84"/>
      <c r="Q323" s="87"/>
      <c r="S323" s="87"/>
      <c r="T323" s="87"/>
      <c r="U323" s="87"/>
      <c r="V323" s="87"/>
      <c r="W323" s="87"/>
      <c r="X323" s="87"/>
      <c r="Y323" s="87"/>
      <c r="Z323" s="87"/>
      <c r="AA323" s="87"/>
      <c r="AB323" s="87"/>
      <c r="AC323" s="87"/>
      <c r="AD323" s="87"/>
      <c r="AE323" s="87"/>
      <c r="AF323" s="87"/>
      <c r="AG323" s="87"/>
      <c r="AH323" s="87"/>
      <c r="AI323" s="87"/>
      <c r="AJ323" s="87"/>
      <c r="AK323" s="87"/>
      <c r="AL323" s="87"/>
    </row>
    <row r="324" spans="10:38" ht="15.75" customHeight="1">
      <c r="J324" s="87"/>
      <c r="O324" s="84"/>
      <c r="Q324" s="87"/>
      <c r="S324" s="87"/>
      <c r="T324" s="87"/>
      <c r="U324" s="87"/>
      <c r="V324" s="87"/>
      <c r="W324" s="87"/>
      <c r="X324" s="87"/>
      <c r="Y324" s="87"/>
      <c r="Z324" s="87"/>
      <c r="AA324" s="87"/>
      <c r="AB324" s="87"/>
      <c r="AC324" s="87"/>
      <c r="AD324" s="87"/>
      <c r="AE324" s="87"/>
      <c r="AF324" s="87"/>
      <c r="AG324" s="87"/>
      <c r="AH324" s="87"/>
      <c r="AI324" s="87"/>
      <c r="AJ324" s="87"/>
      <c r="AK324" s="87"/>
      <c r="AL324" s="87"/>
    </row>
    <row r="325" spans="10:38" ht="15.75" customHeight="1">
      <c r="J325" s="87"/>
      <c r="O325" s="84"/>
      <c r="Q325" s="87"/>
      <c r="S325" s="87"/>
      <c r="T325" s="87"/>
      <c r="U325" s="87"/>
      <c r="V325" s="87"/>
      <c r="W325" s="87"/>
      <c r="X325" s="87"/>
      <c r="Y325" s="87"/>
      <c r="Z325" s="87"/>
      <c r="AA325" s="87"/>
      <c r="AB325" s="87"/>
      <c r="AC325" s="87"/>
      <c r="AD325" s="87"/>
      <c r="AE325" s="87"/>
      <c r="AF325" s="87"/>
      <c r="AG325" s="87"/>
      <c r="AH325" s="87"/>
      <c r="AI325" s="87"/>
      <c r="AJ325" s="87"/>
      <c r="AK325" s="87"/>
      <c r="AL325" s="87"/>
    </row>
    <row r="326" spans="10:38" ht="15.75" customHeight="1">
      <c r="J326" s="87"/>
      <c r="O326" s="84"/>
      <c r="Q326" s="87"/>
      <c r="S326" s="87"/>
      <c r="T326" s="87"/>
      <c r="U326" s="87"/>
      <c r="V326" s="87"/>
      <c r="W326" s="87"/>
      <c r="X326" s="87"/>
      <c r="Y326" s="87"/>
      <c r="Z326" s="87"/>
      <c r="AA326" s="87"/>
      <c r="AB326" s="87"/>
      <c r="AC326" s="87"/>
      <c r="AD326" s="87"/>
      <c r="AE326" s="87"/>
      <c r="AF326" s="87"/>
      <c r="AG326" s="87"/>
      <c r="AH326" s="87"/>
      <c r="AI326" s="87"/>
      <c r="AJ326" s="87"/>
      <c r="AK326" s="87"/>
      <c r="AL326" s="87"/>
    </row>
    <row r="327" spans="10:38" ht="15.75" customHeight="1">
      <c r="J327" s="87"/>
      <c r="O327" s="84"/>
      <c r="Q327" s="87"/>
      <c r="S327" s="87"/>
      <c r="T327" s="87"/>
      <c r="U327" s="87"/>
      <c r="V327" s="87"/>
      <c r="W327" s="87"/>
      <c r="X327" s="87"/>
      <c r="Y327" s="87"/>
      <c r="Z327" s="87"/>
      <c r="AA327" s="87"/>
      <c r="AB327" s="87"/>
      <c r="AC327" s="87"/>
      <c r="AD327" s="87"/>
      <c r="AE327" s="87"/>
      <c r="AF327" s="87"/>
      <c r="AG327" s="87"/>
      <c r="AH327" s="87"/>
      <c r="AI327" s="87"/>
      <c r="AJ327" s="87"/>
      <c r="AK327" s="87"/>
      <c r="AL327" s="87"/>
    </row>
    <row r="328" spans="10:38" ht="15.75" customHeight="1">
      <c r="J328" s="87"/>
      <c r="O328" s="84"/>
      <c r="Q328" s="87"/>
      <c r="S328" s="87"/>
      <c r="T328" s="87"/>
      <c r="U328" s="87"/>
      <c r="V328" s="87"/>
      <c r="W328" s="87"/>
      <c r="X328" s="87"/>
      <c r="Y328" s="87"/>
      <c r="Z328" s="87"/>
      <c r="AA328" s="87"/>
      <c r="AB328" s="87"/>
      <c r="AC328" s="87"/>
      <c r="AD328" s="87"/>
      <c r="AE328" s="87"/>
      <c r="AF328" s="87"/>
      <c r="AG328" s="87"/>
      <c r="AH328" s="87"/>
      <c r="AI328" s="87"/>
      <c r="AJ328" s="87"/>
      <c r="AK328" s="87"/>
      <c r="AL328" s="87"/>
    </row>
    <row r="329" spans="10:38" ht="15.75" customHeight="1">
      <c r="J329" s="87"/>
      <c r="O329" s="84"/>
      <c r="Q329" s="87"/>
      <c r="S329" s="87"/>
      <c r="T329" s="87"/>
      <c r="U329" s="87"/>
      <c r="V329" s="87"/>
      <c r="W329" s="87"/>
      <c r="X329" s="87"/>
      <c r="Y329" s="87"/>
      <c r="Z329" s="87"/>
      <c r="AA329" s="87"/>
      <c r="AB329" s="87"/>
      <c r="AC329" s="87"/>
      <c r="AD329" s="87"/>
      <c r="AE329" s="87"/>
      <c r="AF329" s="87"/>
      <c r="AG329" s="87"/>
      <c r="AH329" s="87"/>
      <c r="AI329" s="87"/>
      <c r="AJ329" s="87"/>
      <c r="AK329" s="87"/>
      <c r="AL329" s="87"/>
    </row>
    <row r="330" spans="10:38" ht="15.75" customHeight="1">
      <c r="J330" s="87"/>
      <c r="O330" s="84"/>
      <c r="Q330" s="87"/>
      <c r="S330" s="87"/>
      <c r="T330" s="87"/>
      <c r="U330" s="87"/>
      <c r="V330" s="87"/>
      <c r="W330" s="87"/>
      <c r="X330" s="87"/>
      <c r="Y330" s="87"/>
      <c r="Z330" s="87"/>
      <c r="AA330" s="87"/>
      <c r="AB330" s="87"/>
      <c r="AC330" s="87"/>
      <c r="AD330" s="87"/>
      <c r="AE330" s="87"/>
      <c r="AF330" s="87"/>
      <c r="AG330" s="87"/>
      <c r="AH330" s="87"/>
      <c r="AI330" s="87"/>
      <c r="AJ330" s="87"/>
      <c r="AK330" s="87"/>
      <c r="AL330" s="87"/>
    </row>
    <row r="331" spans="10:38" ht="15.75" customHeight="1">
      <c r="J331" s="87"/>
      <c r="O331" s="84"/>
      <c r="Q331" s="87"/>
      <c r="S331" s="87"/>
      <c r="T331" s="87"/>
      <c r="U331" s="87"/>
      <c r="V331" s="87"/>
      <c r="W331" s="87"/>
      <c r="X331" s="87"/>
      <c r="Y331" s="87"/>
      <c r="Z331" s="87"/>
      <c r="AA331" s="87"/>
      <c r="AB331" s="87"/>
      <c r="AC331" s="87"/>
      <c r="AD331" s="87"/>
      <c r="AE331" s="87"/>
      <c r="AF331" s="87"/>
      <c r="AG331" s="87"/>
      <c r="AH331" s="87"/>
      <c r="AI331" s="87"/>
      <c r="AJ331" s="87"/>
      <c r="AK331" s="87"/>
      <c r="AL331" s="87"/>
    </row>
    <row r="332" spans="10:38" ht="15.75" customHeight="1">
      <c r="J332" s="87"/>
      <c r="O332" s="84"/>
      <c r="Q332" s="87"/>
      <c r="S332" s="87"/>
      <c r="T332" s="87"/>
      <c r="U332" s="87"/>
      <c r="V332" s="87"/>
      <c r="W332" s="87"/>
      <c r="X332" s="87"/>
      <c r="Y332" s="87"/>
      <c r="Z332" s="87"/>
      <c r="AA332" s="87"/>
      <c r="AB332" s="87"/>
      <c r="AC332" s="87"/>
      <c r="AD332" s="87"/>
      <c r="AE332" s="87"/>
      <c r="AF332" s="87"/>
      <c r="AG332" s="87"/>
      <c r="AH332" s="87"/>
      <c r="AI332" s="87"/>
      <c r="AJ332" s="87"/>
      <c r="AK332" s="87"/>
      <c r="AL332" s="87"/>
    </row>
    <row r="333" spans="10:38" ht="15.75" customHeight="1">
      <c r="J333" s="87"/>
      <c r="O333" s="84"/>
      <c r="Q333" s="87"/>
      <c r="S333" s="87"/>
      <c r="T333" s="87"/>
      <c r="U333" s="87"/>
      <c r="V333" s="87"/>
      <c r="W333" s="87"/>
      <c r="X333" s="87"/>
      <c r="Y333" s="87"/>
      <c r="Z333" s="87"/>
      <c r="AA333" s="87"/>
      <c r="AB333" s="87"/>
      <c r="AC333" s="87"/>
      <c r="AD333" s="87"/>
      <c r="AE333" s="87"/>
      <c r="AF333" s="87"/>
      <c r="AG333" s="87"/>
      <c r="AH333" s="87"/>
      <c r="AI333" s="87"/>
      <c r="AJ333" s="87"/>
      <c r="AK333" s="87"/>
      <c r="AL333" s="87"/>
    </row>
    <row r="334" spans="10:38" ht="15.75" customHeight="1">
      <c r="J334" s="87"/>
      <c r="O334" s="84"/>
      <c r="Q334" s="87"/>
      <c r="S334" s="87"/>
      <c r="T334" s="87"/>
      <c r="U334" s="87"/>
      <c r="V334" s="87"/>
      <c r="W334" s="87"/>
      <c r="X334" s="87"/>
      <c r="Y334" s="87"/>
      <c r="Z334" s="87"/>
      <c r="AA334" s="87"/>
      <c r="AB334" s="87"/>
      <c r="AC334" s="87"/>
      <c r="AD334" s="87"/>
      <c r="AE334" s="87"/>
      <c r="AF334" s="87"/>
      <c r="AG334" s="87"/>
      <c r="AH334" s="87"/>
      <c r="AI334" s="87"/>
      <c r="AJ334" s="87"/>
      <c r="AK334" s="87"/>
      <c r="AL334" s="87"/>
    </row>
    <row r="335" spans="10:38" ht="15.75" customHeight="1">
      <c r="J335" s="87"/>
      <c r="O335" s="84"/>
      <c r="Q335" s="87"/>
      <c r="S335" s="87"/>
      <c r="T335" s="87"/>
      <c r="U335" s="87"/>
      <c r="V335" s="87"/>
      <c r="W335" s="87"/>
      <c r="X335" s="87"/>
      <c r="Y335" s="87"/>
      <c r="Z335" s="87"/>
      <c r="AA335" s="87"/>
      <c r="AB335" s="87"/>
      <c r="AC335" s="87"/>
      <c r="AD335" s="87"/>
      <c r="AE335" s="87"/>
      <c r="AF335" s="87"/>
      <c r="AG335" s="87"/>
      <c r="AH335" s="87"/>
      <c r="AI335" s="87"/>
      <c r="AJ335" s="87"/>
      <c r="AK335" s="87"/>
      <c r="AL335" s="87"/>
    </row>
    <row r="336" spans="10:38" ht="15.75" customHeight="1">
      <c r="J336" s="87"/>
      <c r="O336" s="84"/>
      <c r="Q336" s="87"/>
      <c r="S336" s="87"/>
      <c r="T336" s="87"/>
      <c r="U336" s="87"/>
      <c r="V336" s="87"/>
      <c r="W336" s="87"/>
      <c r="X336" s="87"/>
      <c r="Y336" s="87"/>
      <c r="Z336" s="87"/>
      <c r="AA336" s="87"/>
      <c r="AB336" s="87"/>
      <c r="AC336" s="87"/>
      <c r="AD336" s="87"/>
      <c r="AE336" s="87"/>
      <c r="AF336" s="87"/>
      <c r="AG336" s="87"/>
      <c r="AH336" s="87"/>
      <c r="AI336" s="87"/>
      <c r="AJ336" s="87"/>
      <c r="AK336" s="87"/>
      <c r="AL336" s="87"/>
    </row>
    <row r="337" spans="10:38" ht="15.75" customHeight="1">
      <c r="J337" s="87"/>
      <c r="O337" s="84"/>
      <c r="Q337" s="87"/>
      <c r="S337" s="87"/>
      <c r="T337" s="87"/>
      <c r="U337" s="87"/>
      <c r="V337" s="87"/>
      <c r="W337" s="87"/>
      <c r="X337" s="87"/>
      <c r="Y337" s="87"/>
      <c r="Z337" s="87"/>
      <c r="AA337" s="87"/>
      <c r="AB337" s="87"/>
      <c r="AC337" s="87"/>
      <c r="AD337" s="87"/>
      <c r="AE337" s="87"/>
      <c r="AF337" s="87"/>
      <c r="AG337" s="87"/>
      <c r="AH337" s="87"/>
      <c r="AI337" s="87"/>
      <c r="AJ337" s="87"/>
      <c r="AK337" s="87"/>
      <c r="AL337" s="87"/>
    </row>
    <row r="338" spans="10:38" ht="15.75" customHeight="1">
      <c r="J338" s="87"/>
      <c r="O338" s="84"/>
      <c r="Q338" s="87"/>
      <c r="S338" s="87"/>
      <c r="T338" s="87"/>
      <c r="U338" s="87"/>
      <c r="V338" s="87"/>
      <c r="W338" s="87"/>
      <c r="X338" s="87"/>
      <c r="Y338" s="87"/>
      <c r="Z338" s="87"/>
      <c r="AA338" s="87"/>
      <c r="AB338" s="87"/>
      <c r="AC338" s="87"/>
      <c r="AD338" s="87"/>
      <c r="AE338" s="87"/>
      <c r="AF338" s="87"/>
      <c r="AG338" s="87"/>
      <c r="AH338" s="87"/>
      <c r="AI338" s="87"/>
      <c r="AJ338" s="87"/>
      <c r="AK338" s="87"/>
      <c r="AL338" s="87"/>
    </row>
    <row r="339" spans="10:38" ht="15.75" customHeight="1">
      <c r="J339" s="87"/>
      <c r="O339" s="84"/>
      <c r="Q339" s="87"/>
      <c r="S339" s="87"/>
      <c r="T339" s="87"/>
      <c r="U339" s="87"/>
      <c r="V339" s="87"/>
      <c r="W339" s="87"/>
      <c r="X339" s="87"/>
      <c r="Y339" s="87"/>
      <c r="Z339" s="87"/>
      <c r="AA339" s="87"/>
      <c r="AB339" s="87"/>
      <c r="AC339" s="87"/>
      <c r="AD339" s="87"/>
      <c r="AE339" s="87"/>
      <c r="AF339" s="87"/>
      <c r="AG339" s="87"/>
      <c r="AH339" s="87"/>
      <c r="AI339" s="87"/>
      <c r="AJ339" s="87"/>
      <c r="AK339" s="87"/>
      <c r="AL339" s="87"/>
    </row>
    <row r="340" spans="10:38" ht="15.75" customHeight="1">
      <c r="J340" s="87"/>
      <c r="O340" s="84"/>
      <c r="Q340" s="87"/>
      <c r="S340" s="87"/>
      <c r="T340" s="87"/>
      <c r="U340" s="87"/>
      <c r="V340" s="87"/>
      <c r="W340" s="87"/>
      <c r="X340" s="87"/>
      <c r="Y340" s="87"/>
      <c r="Z340" s="87"/>
      <c r="AA340" s="87"/>
      <c r="AB340" s="87"/>
      <c r="AC340" s="87"/>
      <c r="AD340" s="87"/>
      <c r="AE340" s="87"/>
      <c r="AF340" s="87"/>
      <c r="AG340" s="87"/>
      <c r="AH340" s="87"/>
      <c r="AI340" s="87"/>
      <c r="AJ340" s="87"/>
      <c r="AK340" s="87"/>
      <c r="AL340" s="87"/>
    </row>
    <row r="341" spans="10:38" ht="15.75" customHeight="1">
      <c r="J341" s="87"/>
      <c r="O341" s="84"/>
      <c r="Q341" s="87"/>
      <c r="S341" s="87"/>
      <c r="T341" s="87"/>
      <c r="U341" s="87"/>
      <c r="V341" s="87"/>
      <c r="W341" s="87"/>
      <c r="X341" s="87"/>
      <c r="Y341" s="87"/>
      <c r="Z341" s="87"/>
      <c r="AA341" s="87"/>
      <c r="AB341" s="87"/>
      <c r="AC341" s="87"/>
      <c r="AD341" s="87"/>
      <c r="AE341" s="87"/>
      <c r="AF341" s="87"/>
      <c r="AG341" s="87"/>
      <c r="AH341" s="87"/>
      <c r="AI341" s="87"/>
      <c r="AJ341" s="87"/>
      <c r="AK341" s="87"/>
      <c r="AL341" s="87"/>
    </row>
    <row r="342" spans="10:38" ht="15.75" customHeight="1">
      <c r="J342" s="87"/>
      <c r="O342" s="84"/>
      <c r="Q342" s="87"/>
      <c r="S342" s="87"/>
      <c r="T342" s="87"/>
      <c r="U342" s="87"/>
      <c r="V342" s="87"/>
      <c r="W342" s="87"/>
      <c r="X342" s="87"/>
      <c r="Y342" s="87"/>
      <c r="Z342" s="87"/>
      <c r="AA342" s="87"/>
      <c r="AB342" s="87"/>
      <c r="AC342" s="87"/>
      <c r="AD342" s="87"/>
      <c r="AE342" s="87"/>
      <c r="AF342" s="87"/>
      <c r="AG342" s="87"/>
      <c r="AH342" s="87"/>
      <c r="AI342" s="87"/>
      <c r="AJ342" s="87"/>
      <c r="AK342" s="87"/>
      <c r="AL342" s="87"/>
    </row>
    <row r="343" spans="10:38" ht="15.75" customHeight="1">
      <c r="J343" s="87"/>
      <c r="O343" s="84"/>
      <c r="Q343" s="87"/>
      <c r="S343" s="87"/>
      <c r="T343" s="87"/>
      <c r="U343" s="87"/>
      <c r="V343" s="87"/>
      <c r="W343" s="87"/>
      <c r="X343" s="87"/>
      <c r="Y343" s="87"/>
      <c r="Z343" s="87"/>
      <c r="AA343" s="87"/>
      <c r="AB343" s="87"/>
      <c r="AC343" s="87"/>
      <c r="AD343" s="87"/>
      <c r="AE343" s="87"/>
      <c r="AF343" s="87"/>
      <c r="AG343" s="87"/>
      <c r="AH343" s="87"/>
      <c r="AI343" s="87"/>
      <c r="AJ343" s="87"/>
      <c r="AK343" s="87"/>
      <c r="AL343" s="87"/>
    </row>
    <row r="344" spans="10:38" ht="15.75" customHeight="1">
      <c r="J344" s="87"/>
      <c r="O344" s="84"/>
      <c r="Q344" s="87"/>
      <c r="S344" s="87"/>
      <c r="T344" s="87"/>
      <c r="U344" s="87"/>
      <c r="V344" s="87"/>
      <c r="W344" s="87"/>
      <c r="X344" s="87"/>
      <c r="Y344" s="87"/>
      <c r="Z344" s="87"/>
      <c r="AA344" s="87"/>
      <c r="AB344" s="87"/>
      <c r="AC344" s="87"/>
      <c r="AD344" s="87"/>
      <c r="AE344" s="87"/>
      <c r="AF344" s="87"/>
      <c r="AG344" s="87"/>
      <c r="AH344" s="87"/>
      <c r="AI344" s="87"/>
      <c r="AJ344" s="87"/>
      <c r="AK344" s="87"/>
      <c r="AL344" s="87"/>
    </row>
    <row r="345" spans="10:38" ht="15.75" customHeight="1">
      <c r="J345" s="87"/>
      <c r="O345" s="84"/>
      <c r="Q345" s="87"/>
      <c r="S345" s="87"/>
      <c r="T345" s="87"/>
      <c r="U345" s="87"/>
      <c r="V345" s="87"/>
      <c r="W345" s="87"/>
      <c r="X345" s="87"/>
      <c r="Y345" s="87"/>
      <c r="Z345" s="87"/>
      <c r="AA345" s="87"/>
      <c r="AB345" s="87"/>
      <c r="AC345" s="87"/>
      <c r="AD345" s="87"/>
      <c r="AE345" s="87"/>
      <c r="AF345" s="87"/>
      <c r="AG345" s="87"/>
      <c r="AH345" s="87"/>
      <c r="AI345" s="87"/>
      <c r="AJ345" s="87"/>
      <c r="AK345" s="87"/>
      <c r="AL345" s="87"/>
    </row>
    <row r="346" spans="10:38" ht="15.75" customHeight="1">
      <c r="J346" s="87"/>
      <c r="O346" s="84"/>
      <c r="Q346" s="87"/>
      <c r="S346" s="87"/>
      <c r="T346" s="87"/>
      <c r="U346" s="87"/>
      <c r="V346" s="87"/>
      <c r="W346" s="87"/>
      <c r="X346" s="87"/>
      <c r="Y346" s="87"/>
      <c r="Z346" s="87"/>
      <c r="AA346" s="87"/>
      <c r="AB346" s="87"/>
      <c r="AC346" s="87"/>
      <c r="AD346" s="87"/>
      <c r="AE346" s="87"/>
      <c r="AF346" s="87"/>
      <c r="AG346" s="87"/>
      <c r="AH346" s="87"/>
      <c r="AI346" s="87"/>
      <c r="AJ346" s="87"/>
      <c r="AK346" s="87"/>
      <c r="AL346" s="87"/>
    </row>
    <row r="347" spans="10:38" ht="15.75" customHeight="1">
      <c r="J347" s="87"/>
      <c r="O347" s="84"/>
      <c r="Q347" s="87"/>
      <c r="S347" s="87"/>
      <c r="T347" s="87"/>
      <c r="U347" s="87"/>
      <c r="V347" s="87"/>
      <c r="W347" s="87"/>
      <c r="X347" s="87"/>
      <c r="Y347" s="87"/>
      <c r="Z347" s="87"/>
      <c r="AA347" s="87"/>
      <c r="AB347" s="87"/>
      <c r="AC347" s="87"/>
      <c r="AD347" s="87"/>
      <c r="AE347" s="87"/>
      <c r="AF347" s="87"/>
      <c r="AG347" s="87"/>
      <c r="AH347" s="87"/>
      <c r="AI347" s="87"/>
      <c r="AJ347" s="87"/>
      <c r="AK347" s="87"/>
      <c r="AL347" s="87"/>
    </row>
    <row r="348" spans="10:38" ht="15.75" customHeight="1">
      <c r="J348" s="87"/>
      <c r="O348" s="84"/>
      <c r="Q348" s="87"/>
      <c r="S348" s="87"/>
      <c r="T348" s="87"/>
      <c r="U348" s="87"/>
      <c r="V348" s="87"/>
      <c r="W348" s="87"/>
      <c r="X348" s="87"/>
      <c r="Y348" s="87"/>
      <c r="Z348" s="87"/>
      <c r="AA348" s="87"/>
      <c r="AB348" s="87"/>
      <c r="AC348" s="87"/>
      <c r="AD348" s="87"/>
      <c r="AE348" s="87"/>
      <c r="AF348" s="87"/>
      <c r="AG348" s="87"/>
      <c r="AH348" s="87"/>
      <c r="AI348" s="87"/>
      <c r="AJ348" s="87"/>
      <c r="AK348" s="87"/>
      <c r="AL348" s="87"/>
    </row>
    <row r="349" spans="10:38" ht="15.75" customHeight="1">
      <c r="J349" s="87"/>
      <c r="O349" s="84"/>
      <c r="Q349" s="87"/>
      <c r="S349" s="87"/>
      <c r="T349" s="87"/>
      <c r="U349" s="87"/>
      <c r="V349" s="87"/>
      <c r="W349" s="87"/>
      <c r="X349" s="87"/>
      <c r="Y349" s="87"/>
      <c r="Z349" s="87"/>
      <c r="AA349" s="87"/>
      <c r="AB349" s="87"/>
      <c r="AC349" s="87"/>
      <c r="AD349" s="87"/>
      <c r="AE349" s="87"/>
      <c r="AF349" s="87"/>
      <c r="AG349" s="87"/>
      <c r="AH349" s="87"/>
      <c r="AI349" s="87"/>
      <c r="AJ349" s="87"/>
      <c r="AK349" s="87"/>
      <c r="AL349" s="87"/>
    </row>
    <row r="350" spans="10:38" ht="15.75" customHeight="1">
      <c r="J350" s="87"/>
      <c r="O350" s="84"/>
      <c r="Q350" s="87"/>
      <c r="S350" s="87"/>
      <c r="T350" s="87"/>
      <c r="U350" s="87"/>
      <c r="V350" s="87"/>
      <c r="W350" s="87"/>
      <c r="X350" s="87"/>
      <c r="Y350" s="87"/>
      <c r="Z350" s="87"/>
      <c r="AA350" s="87"/>
      <c r="AB350" s="87"/>
      <c r="AC350" s="87"/>
      <c r="AD350" s="87"/>
      <c r="AE350" s="87"/>
      <c r="AF350" s="87"/>
      <c r="AG350" s="87"/>
      <c r="AH350" s="87"/>
      <c r="AI350" s="87"/>
      <c r="AJ350" s="87"/>
      <c r="AK350" s="87"/>
      <c r="AL350" s="87"/>
    </row>
    <row r="351" spans="10:38" ht="15.75" customHeight="1">
      <c r="J351" s="87"/>
      <c r="O351" s="84"/>
      <c r="Q351" s="87"/>
      <c r="S351" s="87"/>
      <c r="T351" s="87"/>
      <c r="U351" s="87"/>
      <c r="V351" s="87"/>
      <c r="W351" s="87"/>
      <c r="X351" s="87"/>
      <c r="Y351" s="87"/>
      <c r="Z351" s="87"/>
      <c r="AA351" s="87"/>
      <c r="AB351" s="87"/>
      <c r="AC351" s="87"/>
      <c r="AD351" s="87"/>
      <c r="AE351" s="87"/>
      <c r="AF351" s="87"/>
      <c r="AG351" s="87"/>
      <c r="AH351" s="87"/>
      <c r="AI351" s="87"/>
      <c r="AJ351" s="87"/>
      <c r="AK351" s="87"/>
      <c r="AL351" s="87"/>
    </row>
    <row r="352" spans="10:38" ht="15.75" customHeight="1">
      <c r="J352" s="87"/>
      <c r="O352" s="84"/>
      <c r="Q352" s="87"/>
      <c r="S352" s="87"/>
      <c r="T352" s="87"/>
      <c r="U352" s="87"/>
      <c r="V352" s="87"/>
      <c r="W352" s="87"/>
      <c r="X352" s="87"/>
      <c r="Y352" s="87"/>
      <c r="Z352" s="87"/>
      <c r="AA352" s="87"/>
      <c r="AB352" s="87"/>
      <c r="AC352" s="87"/>
      <c r="AD352" s="87"/>
      <c r="AE352" s="87"/>
      <c r="AF352" s="87"/>
      <c r="AG352" s="87"/>
      <c r="AH352" s="87"/>
      <c r="AI352" s="87"/>
      <c r="AJ352" s="87"/>
      <c r="AK352" s="87"/>
      <c r="AL352" s="87"/>
    </row>
    <row r="353" spans="10:38" ht="15.75" customHeight="1">
      <c r="J353" s="87"/>
      <c r="O353" s="84"/>
      <c r="Q353" s="87"/>
      <c r="S353" s="87"/>
      <c r="T353" s="87"/>
      <c r="U353" s="87"/>
      <c r="V353" s="87"/>
      <c r="W353" s="87"/>
      <c r="X353" s="87"/>
      <c r="Y353" s="87"/>
      <c r="Z353" s="87"/>
      <c r="AA353" s="87"/>
      <c r="AB353" s="87"/>
      <c r="AC353" s="87"/>
      <c r="AD353" s="87"/>
      <c r="AE353" s="87"/>
      <c r="AF353" s="87"/>
      <c r="AG353" s="87"/>
      <c r="AH353" s="87"/>
      <c r="AI353" s="87"/>
      <c r="AJ353" s="87"/>
      <c r="AK353" s="87"/>
      <c r="AL353" s="87"/>
    </row>
    <row r="354" spans="10:38" ht="15.75" customHeight="1">
      <c r="J354" s="87"/>
      <c r="O354" s="84"/>
      <c r="Q354" s="87"/>
      <c r="S354" s="87"/>
      <c r="T354" s="87"/>
      <c r="U354" s="87"/>
      <c r="V354" s="87"/>
      <c r="W354" s="87"/>
      <c r="X354" s="87"/>
      <c r="Y354" s="87"/>
      <c r="Z354" s="87"/>
      <c r="AA354" s="87"/>
      <c r="AB354" s="87"/>
      <c r="AC354" s="87"/>
      <c r="AD354" s="87"/>
      <c r="AE354" s="87"/>
      <c r="AF354" s="87"/>
      <c r="AG354" s="87"/>
      <c r="AH354" s="87"/>
      <c r="AI354" s="87"/>
      <c r="AJ354" s="87"/>
      <c r="AK354" s="87"/>
      <c r="AL354" s="87"/>
    </row>
    <row r="355" spans="10:38" ht="15.75" customHeight="1">
      <c r="J355" s="87"/>
      <c r="O355" s="84"/>
      <c r="Q355" s="87"/>
      <c r="S355" s="87"/>
      <c r="T355" s="87"/>
      <c r="U355" s="87"/>
      <c r="V355" s="87"/>
      <c r="W355" s="87"/>
      <c r="X355" s="87"/>
      <c r="Y355" s="87"/>
      <c r="Z355" s="87"/>
      <c r="AA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  <c r="AL355" s="87"/>
    </row>
    <row r="356" spans="10:38" ht="15.75" customHeight="1">
      <c r="J356" s="87"/>
      <c r="O356" s="84"/>
      <c r="Q356" s="87"/>
      <c r="S356" s="87"/>
      <c r="T356" s="87"/>
      <c r="U356" s="87"/>
      <c r="V356" s="87"/>
      <c r="W356" s="87"/>
      <c r="X356" s="87"/>
      <c r="Y356" s="87"/>
      <c r="Z356" s="87"/>
      <c r="AA356" s="87"/>
      <c r="AB356" s="87"/>
      <c r="AC356" s="87"/>
      <c r="AD356" s="87"/>
      <c r="AE356" s="87"/>
      <c r="AF356" s="87"/>
      <c r="AG356" s="87"/>
      <c r="AH356" s="87"/>
      <c r="AI356" s="87"/>
      <c r="AJ356" s="87"/>
      <c r="AK356" s="87"/>
      <c r="AL356" s="87"/>
    </row>
    <row r="357" spans="10:38" ht="15.75" customHeight="1">
      <c r="J357" s="87"/>
      <c r="O357" s="84"/>
      <c r="Q357" s="87"/>
      <c r="S357" s="87"/>
      <c r="T357" s="87"/>
      <c r="U357" s="87"/>
      <c r="V357" s="87"/>
      <c r="W357" s="87"/>
      <c r="X357" s="87"/>
      <c r="Y357" s="87"/>
      <c r="Z357" s="87"/>
      <c r="AA357" s="87"/>
      <c r="AB357" s="87"/>
      <c r="AC357" s="87"/>
      <c r="AD357" s="87"/>
      <c r="AE357" s="87"/>
      <c r="AF357" s="87"/>
      <c r="AG357" s="87"/>
      <c r="AH357" s="87"/>
      <c r="AI357" s="87"/>
      <c r="AJ357" s="87"/>
      <c r="AK357" s="87"/>
      <c r="AL357" s="87"/>
    </row>
    <row r="358" spans="10:38" ht="15.75" customHeight="1">
      <c r="J358" s="87"/>
      <c r="O358" s="84"/>
      <c r="Q358" s="87"/>
      <c r="S358" s="87"/>
      <c r="T358" s="87"/>
      <c r="U358" s="87"/>
      <c r="V358" s="87"/>
      <c r="W358" s="87"/>
      <c r="X358" s="87"/>
      <c r="Y358" s="87"/>
      <c r="Z358" s="87"/>
      <c r="AA358" s="87"/>
      <c r="AB358" s="87"/>
      <c r="AC358" s="87"/>
      <c r="AD358" s="87"/>
      <c r="AE358" s="87"/>
      <c r="AF358" s="87"/>
      <c r="AG358" s="87"/>
      <c r="AH358" s="87"/>
      <c r="AI358" s="87"/>
      <c r="AJ358" s="87"/>
      <c r="AK358" s="87"/>
      <c r="AL358" s="87"/>
    </row>
    <row r="359" spans="10:38" ht="15.75" customHeight="1">
      <c r="J359" s="87"/>
      <c r="O359" s="84"/>
      <c r="Q359" s="87"/>
      <c r="S359" s="87"/>
      <c r="T359" s="87"/>
      <c r="U359" s="87"/>
      <c r="V359" s="87"/>
      <c r="W359" s="87"/>
      <c r="X359" s="87"/>
      <c r="Y359" s="87"/>
      <c r="Z359" s="87"/>
      <c r="AA359" s="87"/>
      <c r="AB359" s="87"/>
      <c r="AC359" s="87"/>
      <c r="AD359" s="87"/>
      <c r="AE359" s="87"/>
      <c r="AF359" s="87"/>
      <c r="AG359" s="87"/>
      <c r="AH359" s="87"/>
      <c r="AI359" s="87"/>
      <c r="AJ359" s="87"/>
      <c r="AK359" s="87"/>
      <c r="AL359" s="87"/>
    </row>
    <row r="360" spans="10:38" ht="15.75" customHeight="1">
      <c r="J360" s="87"/>
      <c r="O360" s="84"/>
      <c r="Q360" s="87"/>
      <c r="S360" s="87"/>
      <c r="T360" s="87"/>
      <c r="U360" s="87"/>
      <c r="V360" s="87"/>
      <c r="W360" s="87"/>
      <c r="X360" s="87"/>
      <c r="Y360" s="87"/>
      <c r="Z360" s="87"/>
      <c r="AA360" s="87"/>
      <c r="AB360" s="87"/>
      <c r="AC360" s="87"/>
      <c r="AD360" s="87"/>
      <c r="AE360" s="87"/>
      <c r="AF360" s="87"/>
      <c r="AG360" s="87"/>
      <c r="AH360" s="87"/>
      <c r="AI360" s="87"/>
      <c r="AJ360" s="87"/>
      <c r="AK360" s="87"/>
      <c r="AL360" s="87"/>
    </row>
    <row r="361" spans="10:38" ht="15.75" customHeight="1">
      <c r="J361" s="87"/>
      <c r="O361" s="84"/>
      <c r="Q361" s="87"/>
      <c r="S361" s="87"/>
      <c r="T361" s="87"/>
      <c r="U361" s="87"/>
      <c r="V361" s="87"/>
      <c r="W361" s="87"/>
      <c r="X361" s="87"/>
      <c r="Y361" s="87"/>
      <c r="Z361" s="87"/>
      <c r="AA361" s="87"/>
      <c r="AB361" s="87"/>
      <c r="AC361" s="87"/>
      <c r="AD361" s="87"/>
      <c r="AE361" s="87"/>
      <c r="AF361" s="87"/>
      <c r="AG361" s="87"/>
      <c r="AH361" s="87"/>
      <c r="AI361" s="87"/>
      <c r="AJ361" s="87"/>
      <c r="AK361" s="87"/>
      <c r="AL361" s="87"/>
    </row>
    <row r="362" spans="10:38" ht="15.75" customHeight="1">
      <c r="J362" s="87"/>
      <c r="O362" s="84"/>
      <c r="Q362" s="87"/>
      <c r="S362" s="87"/>
      <c r="T362" s="87"/>
      <c r="U362" s="87"/>
      <c r="V362" s="87"/>
      <c r="W362" s="87"/>
      <c r="X362" s="87"/>
      <c r="Y362" s="87"/>
      <c r="Z362" s="87"/>
      <c r="AA362" s="87"/>
      <c r="AB362" s="87"/>
      <c r="AC362" s="87"/>
      <c r="AD362" s="87"/>
      <c r="AE362" s="87"/>
      <c r="AF362" s="87"/>
      <c r="AG362" s="87"/>
      <c r="AH362" s="87"/>
      <c r="AI362" s="87"/>
      <c r="AJ362" s="87"/>
      <c r="AK362" s="87"/>
      <c r="AL362" s="87"/>
    </row>
    <row r="363" spans="10:38" ht="15.75" customHeight="1">
      <c r="J363" s="87"/>
      <c r="O363" s="84"/>
      <c r="Q363" s="87"/>
      <c r="S363" s="87"/>
      <c r="T363" s="87"/>
      <c r="U363" s="87"/>
      <c r="V363" s="87"/>
      <c r="W363" s="87"/>
      <c r="X363" s="87"/>
      <c r="Y363" s="87"/>
      <c r="Z363" s="87"/>
      <c r="AA363" s="87"/>
      <c r="AB363" s="87"/>
      <c r="AC363" s="87"/>
      <c r="AD363" s="87"/>
      <c r="AE363" s="87"/>
      <c r="AF363" s="87"/>
      <c r="AG363" s="87"/>
      <c r="AH363" s="87"/>
      <c r="AI363" s="87"/>
      <c r="AJ363" s="87"/>
      <c r="AK363" s="87"/>
      <c r="AL363" s="87"/>
    </row>
    <row r="364" spans="10:38" ht="15.75" customHeight="1">
      <c r="J364" s="87"/>
      <c r="O364" s="84"/>
      <c r="Q364" s="87"/>
      <c r="S364" s="87"/>
      <c r="T364" s="87"/>
      <c r="U364" s="87"/>
      <c r="V364" s="87"/>
      <c r="W364" s="87"/>
      <c r="X364" s="87"/>
      <c r="Y364" s="87"/>
      <c r="Z364" s="87"/>
      <c r="AA364" s="87"/>
      <c r="AB364" s="87"/>
      <c r="AC364" s="87"/>
      <c r="AD364" s="87"/>
      <c r="AE364" s="87"/>
      <c r="AF364" s="87"/>
      <c r="AG364" s="87"/>
      <c r="AH364" s="87"/>
      <c r="AI364" s="87"/>
      <c r="AJ364" s="87"/>
      <c r="AK364" s="87"/>
      <c r="AL364" s="87"/>
    </row>
    <row r="365" spans="10:38" ht="15.75" customHeight="1">
      <c r="J365" s="87"/>
      <c r="O365" s="84"/>
      <c r="Q365" s="87"/>
      <c r="S365" s="87"/>
      <c r="T365" s="87"/>
      <c r="U365" s="87"/>
      <c r="V365" s="87"/>
      <c r="W365" s="87"/>
      <c r="X365" s="87"/>
      <c r="Y365" s="87"/>
      <c r="Z365" s="87"/>
      <c r="AA365" s="87"/>
      <c r="AB365" s="87"/>
      <c r="AC365" s="87"/>
      <c r="AD365" s="87"/>
      <c r="AE365" s="87"/>
      <c r="AF365" s="87"/>
      <c r="AG365" s="87"/>
      <c r="AH365" s="87"/>
      <c r="AI365" s="87"/>
      <c r="AJ365" s="87"/>
      <c r="AK365" s="87"/>
      <c r="AL365" s="87"/>
    </row>
    <row r="366" spans="10:38" ht="15.75" customHeight="1">
      <c r="J366" s="87"/>
      <c r="O366" s="84"/>
      <c r="Q366" s="87"/>
      <c r="S366" s="87"/>
      <c r="T366" s="87"/>
      <c r="U366" s="87"/>
      <c r="V366" s="87"/>
      <c r="W366" s="87"/>
      <c r="X366" s="87"/>
      <c r="Y366" s="87"/>
      <c r="Z366" s="87"/>
      <c r="AA366" s="87"/>
      <c r="AB366" s="87"/>
      <c r="AC366" s="87"/>
      <c r="AD366" s="87"/>
      <c r="AE366" s="87"/>
      <c r="AF366" s="87"/>
      <c r="AG366" s="87"/>
      <c r="AH366" s="87"/>
      <c r="AI366" s="87"/>
      <c r="AJ366" s="87"/>
      <c r="AK366" s="87"/>
      <c r="AL366" s="87"/>
    </row>
    <row r="367" spans="10:38" ht="15.75" customHeight="1">
      <c r="J367" s="87"/>
      <c r="O367" s="84"/>
      <c r="Q367" s="87"/>
      <c r="S367" s="87"/>
      <c r="T367" s="87"/>
      <c r="U367" s="87"/>
      <c r="V367" s="87"/>
      <c r="W367" s="87"/>
      <c r="X367" s="87"/>
      <c r="Y367" s="87"/>
      <c r="Z367" s="87"/>
      <c r="AA367" s="87"/>
      <c r="AB367" s="87"/>
      <c r="AC367" s="87"/>
      <c r="AD367" s="87"/>
      <c r="AE367" s="87"/>
      <c r="AF367" s="87"/>
      <c r="AG367" s="87"/>
      <c r="AH367" s="87"/>
      <c r="AI367" s="87"/>
      <c r="AJ367" s="87"/>
      <c r="AK367" s="87"/>
      <c r="AL367" s="87"/>
    </row>
    <row r="368" spans="10:38" ht="15.75" customHeight="1">
      <c r="J368" s="87"/>
      <c r="O368" s="84"/>
      <c r="Q368" s="87"/>
      <c r="S368" s="87"/>
      <c r="T368" s="87"/>
      <c r="U368" s="87"/>
      <c r="V368" s="87"/>
      <c r="W368" s="87"/>
      <c r="X368" s="87"/>
      <c r="Y368" s="87"/>
      <c r="Z368" s="87"/>
      <c r="AA368" s="87"/>
      <c r="AB368" s="87"/>
      <c r="AC368" s="87"/>
      <c r="AD368" s="87"/>
      <c r="AE368" s="87"/>
      <c r="AF368" s="87"/>
      <c r="AG368" s="87"/>
      <c r="AH368" s="87"/>
      <c r="AI368" s="87"/>
      <c r="AJ368" s="87"/>
      <c r="AK368" s="87"/>
      <c r="AL368" s="87"/>
    </row>
    <row r="369" spans="10:38" ht="15.75" customHeight="1">
      <c r="J369" s="87"/>
      <c r="O369" s="84"/>
      <c r="Q369" s="87"/>
      <c r="S369" s="87"/>
      <c r="T369" s="87"/>
      <c r="U369" s="87"/>
      <c r="V369" s="87"/>
      <c r="W369" s="87"/>
      <c r="X369" s="87"/>
      <c r="Y369" s="87"/>
      <c r="Z369" s="87"/>
      <c r="AA369" s="87"/>
      <c r="AB369" s="87"/>
      <c r="AC369" s="87"/>
      <c r="AD369" s="87"/>
      <c r="AE369" s="87"/>
      <c r="AF369" s="87"/>
      <c r="AG369" s="87"/>
      <c r="AH369" s="87"/>
      <c r="AI369" s="87"/>
      <c r="AJ369" s="87"/>
      <c r="AK369" s="87"/>
      <c r="AL369" s="87"/>
    </row>
    <row r="370" spans="10:38" ht="15.75" customHeight="1">
      <c r="J370" s="87"/>
      <c r="O370" s="84"/>
      <c r="Q370" s="87"/>
      <c r="S370" s="87"/>
      <c r="T370" s="87"/>
      <c r="U370" s="87"/>
      <c r="V370" s="87"/>
      <c r="W370" s="87"/>
      <c r="X370" s="87"/>
      <c r="Y370" s="87"/>
      <c r="Z370" s="87"/>
      <c r="AA370" s="87"/>
      <c r="AB370" s="87"/>
      <c r="AC370" s="87"/>
      <c r="AD370" s="87"/>
      <c r="AE370" s="87"/>
      <c r="AF370" s="87"/>
      <c r="AG370" s="87"/>
      <c r="AH370" s="87"/>
      <c r="AI370" s="87"/>
      <c r="AJ370" s="87"/>
      <c r="AK370" s="87"/>
      <c r="AL370" s="87"/>
    </row>
    <row r="371" spans="10:38" ht="15.75" customHeight="1">
      <c r="J371" s="87"/>
      <c r="O371" s="84"/>
      <c r="Q371" s="87"/>
      <c r="S371" s="87"/>
      <c r="T371" s="87"/>
      <c r="U371" s="87"/>
      <c r="V371" s="87"/>
      <c r="W371" s="87"/>
      <c r="X371" s="87"/>
      <c r="Y371" s="87"/>
      <c r="Z371" s="87"/>
      <c r="AA371" s="87"/>
      <c r="AB371" s="87"/>
      <c r="AC371" s="87"/>
      <c r="AD371" s="87"/>
      <c r="AE371" s="87"/>
      <c r="AF371" s="87"/>
      <c r="AG371" s="87"/>
      <c r="AH371" s="87"/>
      <c r="AI371" s="87"/>
      <c r="AJ371" s="87"/>
      <c r="AK371" s="87"/>
      <c r="AL371" s="87"/>
    </row>
    <row r="372" spans="10:38" ht="15.75" customHeight="1">
      <c r="J372" s="87"/>
      <c r="O372" s="84"/>
      <c r="Q372" s="87"/>
      <c r="S372" s="87"/>
      <c r="T372" s="87"/>
      <c r="U372" s="87"/>
      <c r="V372" s="87"/>
      <c r="W372" s="87"/>
      <c r="X372" s="87"/>
      <c r="Y372" s="87"/>
      <c r="Z372" s="87"/>
      <c r="AA372" s="87"/>
      <c r="AB372" s="87"/>
      <c r="AC372" s="87"/>
      <c r="AD372" s="87"/>
      <c r="AE372" s="87"/>
      <c r="AF372" s="87"/>
      <c r="AG372" s="87"/>
      <c r="AH372" s="87"/>
      <c r="AI372" s="87"/>
      <c r="AJ372" s="87"/>
      <c r="AK372" s="87"/>
      <c r="AL372" s="87"/>
    </row>
    <row r="373" spans="10:38" ht="15.75" customHeight="1">
      <c r="J373" s="87"/>
      <c r="O373" s="84"/>
      <c r="Q373" s="87"/>
      <c r="S373" s="87"/>
      <c r="T373" s="87"/>
      <c r="U373" s="87"/>
      <c r="V373" s="87"/>
      <c r="W373" s="87"/>
      <c r="X373" s="87"/>
      <c r="Y373" s="87"/>
      <c r="Z373" s="87"/>
      <c r="AA373" s="87"/>
      <c r="AB373" s="87"/>
      <c r="AC373" s="87"/>
      <c r="AD373" s="87"/>
      <c r="AE373" s="87"/>
      <c r="AF373" s="87"/>
      <c r="AG373" s="87"/>
      <c r="AH373" s="87"/>
      <c r="AI373" s="87"/>
      <c r="AJ373" s="87"/>
      <c r="AK373" s="87"/>
      <c r="AL373" s="87"/>
    </row>
    <row r="374" spans="10:38" ht="15.75" customHeight="1">
      <c r="J374" s="87"/>
      <c r="O374" s="84"/>
      <c r="Q374" s="87"/>
      <c r="S374" s="87"/>
      <c r="T374" s="87"/>
      <c r="U374" s="87"/>
      <c r="V374" s="87"/>
      <c r="W374" s="87"/>
      <c r="X374" s="87"/>
      <c r="Y374" s="87"/>
      <c r="Z374" s="87"/>
      <c r="AA374" s="87"/>
      <c r="AB374" s="87"/>
      <c r="AC374" s="87"/>
      <c r="AD374" s="87"/>
      <c r="AE374" s="87"/>
      <c r="AF374" s="87"/>
      <c r="AG374" s="87"/>
      <c r="AH374" s="87"/>
      <c r="AI374" s="87"/>
      <c r="AJ374" s="87"/>
      <c r="AK374" s="87"/>
      <c r="AL374" s="87"/>
    </row>
    <row r="375" spans="10:38" ht="15.75" customHeight="1">
      <c r="J375" s="87"/>
      <c r="O375" s="84"/>
      <c r="Q375" s="87"/>
      <c r="S375" s="87"/>
      <c r="T375" s="87"/>
      <c r="U375" s="87"/>
      <c r="V375" s="87"/>
      <c r="W375" s="87"/>
      <c r="X375" s="87"/>
      <c r="Y375" s="87"/>
      <c r="Z375" s="87"/>
      <c r="AA375" s="87"/>
      <c r="AB375" s="87"/>
      <c r="AC375" s="87"/>
      <c r="AD375" s="87"/>
      <c r="AE375" s="87"/>
      <c r="AF375" s="87"/>
      <c r="AG375" s="87"/>
      <c r="AH375" s="87"/>
      <c r="AI375" s="87"/>
      <c r="AJ375" s="87"/>
      <c r="AK375" s="87"/>
      <c r="AL375" s="87"/>
    </row>
    <row r="376" spans="10:38" ht="15.75" customHeight="1">
      <c r="J376" s="87"/>
      <c r="O376" s="84"/>
      <c r="Q376" s="87"/>
      <c r="S376" s="87"/>
      <c r="T376" s="87"/>
      <c r="U376" s="87"/>
      <c r="V376" s="87"/>
      <c r="W376" s="87"/>
      <c r="X376" s="87"/>
      <c r="Y376" s="87"/>
      <c r="Z376" s="87"/>
      <c r="AA376" s="87"/>
      <c r="AB376" s="87"/>
      <c r="AC376" s="87"/>
      <c r="AD376" s="87"/>
      <c r="AE376" s="87"/>
      <c r="AF376" s="87"/>
      <c r="AG376" s="87"/>
      <c r="AH376" s="87"/>
      <c r="AI376" s="87"/>
      <c r="AJ376" s="87"/>
      <c r="AK376" s="87"/>
      <c r="AL376" s="87"/>
    </row>
    <row r="377" spans="10:38" ht="15.75" customHeight="1">
      <c r="J377" s="87"/>
      <c r="O377" s="84"/>
      <c r="Q377" s="87"/>
      <c r="S377" s="87"/>
      <c r="T377" s="87"/>
      <c r="U377" s="87"/>
      <c r="V377" s="87"/>
      <c r="W377" s="87"/>
      <c r="X377" s="87"/>
      <c r="Y377" s="87"/>
      <c r="Z377" s="87"/>
      <c r="AA377" s="87"/>
      <c r="AB377" s="87"/>
      <c r="AC377" s="87"/>
      <c r="AD377" s="87"/>
      <c r="AE377" s="87"/>
      <c r="AF377" s="87"/>
      <c r="AG377" s="87"/>
      <c r="AH377" s="87"/>
      <c r="AI377" s="87"/>
      <c r="AJ377" s="87"/>
      <c r="AK377" s="87"/>
      <c r="AL377" s="87"/>
    </row>
    <row r="378" spans="10:38" ht="15.75" customHeight="1">
      <c r="J378" s="87"/>
      <c r="O378" s="84"/>
      <c r="Q378" s="87"/>
      <c r="S378" s="87"/>
      <c r="T378" s="87"/>
      <c r="U378" s="87"/>
      <c r="V378" s="87"/>
      <c r="W378" s="87"/>
      <c r="X378" s="87"/>
      <c r="Y378" s="87"/>
      <c r="Z378" s="87"/>
      <c r="AA378" s="87"/>
      <c r="AB378" s="87"/>
      <c r="AC378" s="87"/>
      <c r="AD378" s="87"/>
      <c r="AE378" s="87"/>
      <c r="AF378" s="87"/>
      <c r="AG378" s="87"/>
      <c r="AH378" s="87"/>
      <c r="AI378" s="87"/>
      <c r="AJ378" s="87"/>
      <c r="AK378" s="87"/>
      <c r="AL378" s="87"/>
    </row>
    <row r="379" spans="10:38" ht="15.75" customHeight="1">
      <c r="J379" s="87"/>
      <c r="O379" s="84"/>
      <c r="Q379" s="87"/>
      <c r="S379" s="87"/>
      <c r="T379" s="87"/>
      <c r="U379" s="87"/>
      <c r="V379" s="87"/>
      <c r="W379" s="87"/>
      <c r="X379" s="87"/>
      <c r="Y379" s="87"/>
      <c r="Z379" s="87"/>
      <c r="AA379" s="87"/>
      <c r="AB379" s="87"/>
      <c r="AC379" s="87"/>
      <c r="AD379" s="87"/>
      <c r="AE379" s="87"/>
      <c r="AF379" s="87"/>
      <c r="AG379" s="87"/>
      <c r="AH379" s="87"/>
      <c r="AI379" s="87"/>
      <c r="AJ379" s="87"/>
      <c r="AK379" s="87"/>
      <c r="AL379" s="87"/>
    </row>
    <row r="380" spans="10:38" ht="15.75" customHeight="1">
      <c r="J380" s="87"/>
      <c r="O380" s="84"/>
      <c r="Q380" s="87"/>
      <c r="S380" s="87"/>
      <c r="T380" s="87"/>
      <c r="U380" s="87"/>
      <c r="V380" s="87"/>
      <c r="W380" s="87"/>
      <c r="X380" s="87"/>
      <c r="Y380" s="87"/>
      <c r="Z380" s="87"/>
      <c r="AA380" s="87"/>
      <c r="AB380" s="87"/>
      <c r="AC380" s="87"/>
      <c r="AD380" s="87"/>
      <c r="AE380" s="87"/>
      <c r="AF380" s="87"/>
      <c r="AG380" s="87"/>
      <c r="AH380" s="87"/>
      <c r="AI380" s="87"/>
      <c r="AJ380" s="87"/>
      <c r="AK380" s="87"/>
      <c r="AL380" s="87"/>
    </row>
    <row r="381" spans="10:38" ht="15.75" customHeight="1">
      <c r="J381" s="87"/>
      <c r="O381" s="84"/>
      <c r="Q381" s="87"/>
      <c r="S381" s="87"/>
      <c r="T381" s="87"/>
      <c r="U381" s="87"/>
      <c r="V381" s="87"/>
      <c r="W381" s="87"/>
      <c r="X381" s="87"/>
      <c r="Y381" s="87"/>
      <c r="Z381" s="87"/>
      <c r="AA381" s="87"/>
      <c r="AB381" s="87"/>
      <c r="AC381" s="87"/>
      <c r="AD381" s="87"/>
      <c r="AE381" s="87"/>
      <c r="AF381" s="87"/>
      <c r="AG381" s="87"/>
      <c r="AH381" s="87"/>
      <c r="AI381" s="87"/>
      <c r="AJ381" s="87"/>
      <c r="AK381" s="87"/>
      <c r="AL381" s="87"/>
    </row>
    <row r="382" spans="10:38" ht="15.75" customHeight="1">
      <c r="J382" s="87"/>
      <c r="O382" s="84"/>
      <c r="Q382" s="87"/>
      <c r="S382" s="87"/>
      <c r="T382" s="87"/>
      <c r="U382" s="87"/>
      <c r="V382" s="87"/>
      <c r="W382" s="87"/>
      <c r="X382" s="87"/>
      <c r="Y382" s="87"/>
      <c r="Z382" s="87"/>
      <c r="AA382" s="87"/>
      <c r="AB382" s="87"/>
      <c r="AC382" s="87"/>
      <c r="AD382" s="87"/>
      <c r="AE382" s="87"/>
      <c r="AF382" s="87"/>
      <c r="AG382" s="87"/>
      <c r="AH382" s="87"/>
      <c r="AI382" s="87"/>
      <c r="AJ382" s="87"/>
      <c r="AK382" s="87"/>
      <c r="AL382" s="87"/>
    </row>
    <row r="383" spans="10:38" ht="15.75" customHeight="1">
      <c r="J383" s="87"/>
      <c r="O383" s="84"/>
      <c r="Q383" s="87"/>
      <c r="S383" s="87"/>
      <c r="T383" s="87"/>
      <c r="U383" s="87"/>
      <c r="V383" s="87"/>
      <c r="W383" s="87"/>
      <c r="X383" s="87"/>
      <c r="Y383" s="87"/>
      <c r="Z383" s="87"/>
      <c r="AA383" s="87"/>
      <c r="AB383" s="87"/>
      <c r="AC383" s="87"/>
      <c r="AD383" s="87"/>
      <c r="AE383" s="87"/>
      <c r="AF383" s="87"/>
      <c r="AG383" s="87"/>
      <c r="AH383" s="87"/>
      <c r="AI383" s="87"/>
      <c r="AJ383" s="87"/>
      <c r="AK383" s="87"/>
      <c r="AL383" s="87"/>
    </row>
    <row r="384" spans="10:38" ht="15.75" customHeight="1">
      <c r="J384" s="87"/>
      <c r="O384" s="84"/>
      <c r="Q384" s="87"/>
      <c r="S384" s="87"/>
      <c r="T384" s="87"/>
      <c r="U384" s="87"/>
      <c r="V384" s="87"/>
      <c r="W384" s="87"/>
      <c r="X384" s="87"/>
      <c r="Y384" s="87"/>
      <c r="Z384" s="87"/>
      <c r="AA384" s="87"/>
      <c r="AB384" s="87"/>
      <c r="AC384" s="87"/>
      <c r="AD384" s="87"/>
      <c r="AE384" s="87"/>
      <c r="AF384" s="87"/>
      <c r="AG384" s="87"/>
      <c r="AH384" s="87"/>
      <c r="AI384" s="87"/>
      <c r="AJ384" s="87"/>
      <c r="AK384" s="87"/>
      <c r="AL384" s="87"/>
    </row>
    <row r="385" spans="10:38" ht="15.75" customHeight="1">
      <c r="J385" s="87"/>
      <c r="O385" s="84"/>
      <c r="Q385" s="87"/>
      <c r="S385" s="87"/>
      <c r="T385" s="87"/>
      <c r="U385" s="87"/>
      <c r="V385" s="87"/>
      <c r="W385" s="87"/>
      <c r="X385" s="87"/>
      <c r="Y385" s="87"/>
      <c r="Z385" s="87"/>
      <c r="AA385" s="87"/>
      <c r="AB385" s="87"/>
      <c r="AC385" s="87"/>
      <c r="AD385" s="87"/>
      <c r="AE385" s="87"/>
      <c r="AF385" s="87"/>
      <c r="AG385" s="87"/>
      <c r="AH385" s="87"/>
      <c r="AI385" s="87"/>
      <c r="AJ385" s="87"/>
      <c r="AK385" s="87"/>
      <c r="AL385" s="87"/>
    </row>
    <row r="386" spans="10:38" ht="15.75" customHeight="1">
      <c r="J386" s="87"/>
      <c r="O386" s="84"/>
      <c r="Q386" s="87"/>
      <c r="S386" s="87"/>
      <c r="T386" s="87"/>
      <c r="U386" s="87"/>
      <c r="V386" s="87"/>
      <c r="W386" s="87"/>
      <c r="X386" s="87"/>
      <c r="Y386" s="87"/>
      <c r="Z386" s="87"/>
      <c r="AA386" s="87"/>
      <c r="AB386" s="87"/>
      <c r="AC386" s="87"/>
      <c r="AD386" s="87"/>
      <c r="AE386" s="87"/>
      <c r="AF386" s="87"/>
      <c r="AG386" s="87"/>
      <c r="AH386" s="87"/>
      <c r="AI386" s="87"/>
      <c r="AJ386" s="87"/>
      <c r="AK386" s="87"/>
      <c r="AL386" s="87"/>
    </row>
    <row r="387" spans="10:38" ht="15.75" customHeight="1">
      <c r="J387" s="87"/>
      <c r="O387" s="84"/>
      <c r="Q387" s="87"/>
      <c r="S387" s="87"/>
      <c r="T387" s="87"/>
      <c r="U387" s="87"/>
      <c r="V387" s="87"/>
      <c r="W387" s="87"/>
      <c r="X387" s="87"/>
      <c r="Y387" s="87"/>
      <c r="Z387" s="87"/>
      <c r="AA387" s="87"/>
      <c r="AB387" s="87"/>
      <c r="AC387" s="87"/>
      <c r="AD387" s="87"/>
      <c r="AE387" s="87"/>
      <c r="AF387" s="87"/>
      <c r="AG387" s="87"/>
      <c r="AH387" s="87"/>
      <c r="AI387" s="87"/>
      <c r="AJ387" s="87"/>
      <c r="AK387" s="87"/>
      <c r="AL387" s="87"/>
    </row>
    <row r="388" spans="10:38" ht="15.75" customHeight="1">
      <c r="J388" s="87"/>
      <c r="O388" s="84"/>
      <c r="Q388" s="87"/>
      <c r="S388" s="87"/>
      <c r="T388" s="87"/>
      <c r="U388" s="87"/>
      <c r="V388" s="87"/>
      <c r="W388" s="87"/>
      <c r="X388" s="87"/>
      <c r="Y388" s="87"/>
      <c r="Z388" s="87"/>
      <c r="AA388" s="87"/>
      <c r="AB388" s="87"/>
      <c r="AC388" s="87"/>
      <c r="AD388" s="87"/>
      <c r="AE388" s="87"/>
      <c r="AF388" s="87"/>
      <c r="AG388" s="87"/>
      <c r="AH388" s="87"/>
      <c r="AI388" s="87"/>
      <c r="AJ388" s="87"/>
      <c r="AK388" s="87"/>
      <c r="AL388" s="87"/>
    </row>
    <row r="389" spans="10:38" ht="15.75" customHeight="1">
      <c r="J389" s="87"/>
      <c r="O389" s="84"/>
      <c r="Q389" s="87"/>
      <c r="S389" s="87"/>
      <c r="T389" s="87"/>
      <c r="U389" s="87"/>
      <c r="V389" s="87"/>
      <c r="W389" s="87"/>
      <c r="X389" s="87"/>
      <c r="Y389" s="87"/>
      <c r="Z389" s="87"/>
      <c r="AA389" s="87"/>
      <c r="AB389" s="87"/>
      <c r="AC389" s="87"/>
      <c r="AD389" s="87"/>
      <c r="AE389" s="87"/>
      <c r="AF389" s="87"/>
      <c r="AG389" s="87"/>
      <c r="AH389" s="87"/>
      <c r="AI389" s="87"/>
      <c r="AJ389" s="87"/>
      <c r="AK389" s="87"/>
      <c r="AL389" s="87"/>
    </row>
    <row r="390" spans="10:38" ht="15.75" customHeight="1">
      <c r="J390" s="87"/>
      <c r="O390" s="84"/>
      <c r="Q390" s="87"/>
      <c r="S390" s="87"/>
      <c r="T390" s="87"/>
      <c r="U390" s="87"/>
      <c r="V390" s="87"/>
      <c r="W390" s="87"/>
      <c r="X390" s="87"/>
      <c r="Y390" s="87"/>
      <c r="Z390" s="87"/>
      <c r="AA390" s="87"/>
      <c r="AB390" s="87"/>
      <c r="AC390" s="87"/>
      <c r="AD390" s="87"/>
      <c r="AE390" s="87"/>
      <c r="AF390" s="87"/>
      <c r="AG390" s="87"/>
      <c r="AH390" s="87"/>
      <c r="AI390" s="87"/>
      <c r="AJ390" s="87"/>
      <c r="AK390" s="87"/>
      <c r="AL390" s="87"/>
    </row>
    <row r="391" spans="10:38" ht="15.75" customHeight="1">
      <c r="J391" s="87"/>
      <c r="O391" s="84"/>
      <c r="Q391" s="87"/>
      <c r="S391" s="87"/>
      <c r="T391" s="87"/>
      <c r="U391" s="87"/>
      <c r="V391" s="87"/>
      <c r="W391" s="87"/>
      <c r="X391" s="87"/>
      <c r="Y391" s="87"/>
      <c r="Z391" s="87"/>
      <c r="AA391" s="87"/>
      <c r="AB391" s="87"/>
      <c r="AC391" s="87"/>
      <c r="AD391" s="87"/>
      <c r="AE391" s="87"/>
      <c r="AF391" s="87"/>
      <c r="AG391" s="87"/>
      <c r="AH391" s="87"/>
      <c r="AI391" s="87"/>
      <c r="AJ391" s="87"/>
      <c r="AK391" s="87"/>
      <c r="AL391" s="87"/>
    </row>
    <row r="392" spans="10:38" ht="15.75" customHeight="1">
      <c r="J392" s="87"/>
      <c r="O392" s="84"/>
      <c r="Q392" s="87"/>
      <c r="S392" s="87"/>
      <c r="T392" s="87"/>
      <c r="U392" s="87"/>
      <c r="V392" s="87"/>
      <c r="W392" s="87"/>
      <c r="X392" s="87"/>
      <c r="Y392" s="87"/>
      <c r="Z392" s="87"/>
      <c r="AA392" s="87"/>
      <c r="AB392" s="87"/>
      <c r="AC392" s="87"/>
      <c r="AD392" s="87"/>
      <c r="AE392" s="87"/>
      <c r="AF392" s="87"/>
      <c r="AG392" s="87"/>
      <c r="AH392" s="87"/>
      <c r="AI392" s="87"/>
      <c r="AJ392" s="87"/>
      <c r="AK392" s="87"/>
      <c r="AL392" s="87"/>
    </row>
    <row r="393" spans="10:38" ht="15.75" customHeight="1">
      <c r="J393" s="87"/>
      <c r="O393" s="84"/>
      <c r="Q393" s="87"/>
      <c r="S393" s="87"/>
      <c r="T393" s="87"/>
      <c r="U393" s="87"/>
      <c r="V393" s="87"/>
      <c r="W393" s="87"/>
      <c r="X393" s="87"/>
      <c r="Y393" s="87"/>
      <c r="Z393" s="87"/>
      <c r="AA393" s="87"/>
      <c r="AB393" s="87"/>
      <c r="AC393" s="87"/>
      <c r="AD393" s="87"/>
      <c r="AE393" s="87"/>
      <c r="AF393" s="87"/>
      <c r="AG393" s="87"/>
      <c r="AH393" s="87"/>
      <c r="AI393" s="87"/>
      <c r="AJ393" s="87"/>
      <c r="AK393" s="87"/>
      <c r="AL393" s="87"/>
    </row>
    <row r="394" spans="10:38" ht="15.75" customHeight="1">
      <c r="J394" s="87"/>
      <c r="O394" s="84"/>
      <c r="Q394" s="87"/>
      <c r="S394" s="87"/>
      <c r="T394" s="87"/>
      <c r="U394" s="87"/>
      <c r="V394" s="87"/>
      <c r="W394" s="87"/>
      <c r="X394" s="87"/>
      <c r="Y394" s="87"/>
      <c r="Z394" s="87"/>
      <c r="AA394" s="87"/>
      <c r="AB394" s="87"/>
      <c r="AC394" s="87"/>
      <c r="AD394" s="87"/>
      <c r="AE394" s="87"/>
      <c r="AF394" s="87"/>
      <c r="AG394" s="87"/>
      <c r="AH394" s="87"/>
      <c r="AI394" s="87"/>
      <c r="AJ394" s="87"/>
      <c r="AK394" s="87"/>
      <c r="AL394" s="87"/>
    </row>
    <row r="395" spans="10:38" ht="15.75" customHeight="1">
      <c r="J395" s="87"/>
      <c r="O395" s="84"/>
      <c r="Q395" s="87"/>
      <c r="S395" s="87"/>
      <c r="T395" s="87"/>
      <c r="U395" s="87"/>
      <c r="V395" s="87"/>
      <c r="W395" s="87"/>
      <c r="X395" s="87"/>
      <c r="Y395" s="87"/>
      <c r="Z395" s="87"/>
      <c r="AA395" s="87"/>
      <c r="AB395" s="87"/>
      <c r="AC395" s="87"/>
      <c r="AD395" s="87"/>
      <c r="AE395" s="87"/>
      <c r="AF395" s="87"/>
      <c r="AG395" s="87"/>
      <c r="AH395" s="87"/>
      <c r="AI395" s="87"/>
      <c r="AJ395" s="87"/>
      <c r="AK395" s="87"/>
      <c r="AL395" s="87"/>
    </row>
    <row r="396" spans="10:38" ht="15.75" customHeight="1">
      <c r="J396" s="87"/>
      <c r="O396" s="84"/>
      <c r="Q396" s="87"/>
      <c r="S396" s="87"/>
      <c r="T396" s="87"/>
      <c r="U396" s="87"/>
      <c r="V396" s="87"/>
      <c r="W396" s="87"/>
      <c r="X396" s="87"/>
      <c r="Y396" s="87"/>
      <c r="Z396" s="87"/>
      <c r="AA396" s="87"/>
      <c r="AB396" s="87"/>
      <c r="AC396" s="87"/>
      <c r="AD396" s="87"/>
      <c r="AE396" s="87"/>
      <c r="AF396" s="87"/>
      <c r="AG396" s="87"/>
      <c r="AH396" s="87"/>
      <c r="AI396" s="87"/>
      <c r="AJ396" s="87"/>
      <c r="AK396" s="87"/>
      <c r="AL396" s="87"/>
    </row>
    <row r="397" spans="10:38" ht="15.75" customHeight="1">
      <c r="J397" s="87"/>
      <c r="O397" s="84"/>
      <c r="Q397" s="87"/>
      <c r="S397" s="87"/>
      <c r="T397" s="87"/>
      <c r="U397" s="87"/>
      <c r="V397" s="87"/>
      <c r="W397" s="87"/>
      <c r="X397" s="87"/>
      <c r="Y397" s="87"/>
      <c r="Z397" s="87"/>
      <c r="AA397" s="87"/>
      <c r="AB397" s="87"/>
      <c r="AC397" s="87"/>
      <c r="AD397" s="87"/>
      <c r="AE397" s="87"/>
      <c r="AF397" s="87"/>
      <c r="AG397" s="87"/>
      <c r="AH397" s="87"/>
      <c r="AI397" s="87"/>
      <c r="AJ397" s="87"/>
      <c r="AK397" s="87"/>
      <c r="AL397" s="87"/>
    </row>
    <row r="398" spans="10:38" ht="15.75" customHeight="1">
      <c r="J398" s="87"/>
      <c r="O398" s="84"/>
      <c r="Q398" s="87"/>
      <c r="S398" s="87"/>
      <c r="T398" s="87"/>
      <c r="U398" s="87"/>
      <c r="V398" s="87"/>
      <c r="W398" s="87"/>
      <c r="X398" s="87"/>
      <c r="Y398" s="87"/>
      <c r="Z398" s="87"/>
      <c r="AA398" s="87"/>
      <c r="AB398" s="87"/>
      <c r="AC398" s="87"/>
      <c r="AD398" s="87"/>
      <c r="AE398" s="87"/>
      <c r="AF398" s="87"/>
      <c r="AG398" s="87"/>
      <c r="AH398" s="87"/>
      <c r="AI398" s="87"/>
      <c r="AJ398" s="87"/>
      <c r="AK398" s="87"/>
      <c r="AL398" s="87"/>
    </row>
    <row r="399" spans="10:38" ht="15.75" customHeight="1">
      <c r="J399" s="87"/>
      <c r="O399" s="84"/>
      <c r="Q399" s="87"/>
      <c r="S399" s="87"/>
      <c r="T399" s="87"/>
      <c r="U399" s="87"/>
      <c r="V399" s="87"/>
      <c r="W399" s="87"/>
      <c r="X399" s="87"/>
      <c r="Y399" s="87"/>
      <c r="Z399" s="87"/>
      <c r="AA399" s="87"/>
      <c r="AB399" s="87"/>
      <c r="AC399" s="87"/>
      <c r="AD399" s="87"/>
      <c r="AE399" s="87"/>
      <c r="AF399" s="87"/>
      <c r="AG399" s="87"/>
      <c r="AH399" s="87"/>
      <c r="AI399" s="87"/>
      <c r="AJ399" s="87"/>
      <c r="AK399" s="87"/>
      <c r="AL399" s="87"/>
    </row>
    <row r="400" spans="10:38" ht="15.75" customHeight="1">
      <c r="J400" s="87"/>
      <c r="O400" s="84"/>
      <c r="Q400" s="87"/>
      <c r="S400" s="87"/>
      <c r="T400" s="87"/>
      <c r="U400" s="87"/>
      <c r="V400" s="87"/>
      <c r="W400" s="87"/>
      <c r="X400" s="87"/>
      <c r="Y400" s="87"/>
      <c r="Z400" s="87"/>
      <c r="AA400" s="87"/>
      <c r="AB400" s="87"/>
      <c r="AC400" s="87"/>
      <c r="AD400" s="87"/>
      <c r="AE400" s="87"/>
      <c r="AF400" s="87"/>
      <c r="AG400" s="87"/>
      <c r="AH400" s="87"/>
      <c r="AI400" s="87"/>
      <c r="AJ400" s="87"/>
      <c r="AK400" s="87"/>
      <c r="AL400" s="87"/>
    </row>
    <row r="401" spans="10:38" ht="15.75" customHeight="1">
      <c r="J401" s="87"/>
      <c r="O401" s="84"/>
      <c r="Q401" s="87"/>
      <c r="S401" s="87"/>
      <c r="T401" s="87"/>
      <c r="U401" s="87"/>
      <c r="V401" s="87"/>
      <c r="W401" s="87"/>
      <c r="X401" s="87"/>
      <c r="Y401" s="87"/>
      <c r="Z401" s="87"/>
      <c r="AA401" s="87"/>
      <c r="AB401" s="87"/>
      <c r="AC401" s="87"/>
      <c r="AD401" s="87"/>
      <c r="AE401" s="87"/>
      <c r="AF401" s="87"/>
      <c r="AG401" s="87"/>
      <c r="AH401" s="87"/>
      <c r="AI401" s="87"/>
      <c r="AJ401" s="87"/>
      <c r="AK401" s="87"/>
      <c r="AL401" s="87"/>
    </row>
    <row r="402" spans="10:38" ht="15.75" customHeight="1">
      <c r="J402" s="87"/>
      <c r="O402" s="84"/>
      <c r="Q402" s="87"/>
      <c r="S402" s="87"/>
      <c r="T402" s="87"/>
      <c r="U402" s="87"/>
      <c r="V402" s="87"/>
      <c r="W402" s="87"/>
      <c r="X402" s="87"/>
      <c r="Y402" s="87"/>
      <c r="Z402" s="87"/>
      <c r="AA402" s="87"/>
      <c r="AB402" s="87"/>
      <c r="AC402" s="87"/>
      <c r="AD402" s="87"/>
      <c r="AE402" s="87"/>
      <c r="AF402" s="87"/>
      <c r="AG402" s="87"/>
      <c r="AH402" s="87"/>
      <c r="AI402" s="87"/>
      <c r="AJ402" s="87"/>
      <c r="AK402" s="87"/>
      <c r="AL402" s="87"/>
    </row>
    <row r="403" spans="10:38" ht="15.75" customHeight="1">
      <c r="J403" s="87"/>
      <c r="O403" s="84"/>
      <c r="Q403" s="87"/>
      <c r="S403" s="87"/>
      <c r="T403" s="87"/>
      <c r="U403" s="87"/>
      <c r="V403" s="87"/>
      <c r="W403" s="87"/>
      <c r="X403" s="87"/>
      <c r="Y403" s="87"/>
      <c r="Z403" s="87"/>
      <c r="AA403" s="87"/>
      <c r="AB403" s="87"/>
      <c r="AC403" s="87"/>
      <c r="AD403" s="87"/>
      <c r="AE403" s="87"/>
      <c r="AF403" s="87"/>
      <c r="AG403" s="87"/>
      <c r="AH403" s="87"/>
      <c r="AI403" s="87"/>
      <c r="AJ403" s="87"/>
      <c r="AK403" s="87"/>
      <c r="AL403" s="87"/>
    </row>
    <row r="404" spans="10:38" ht="15.75" customHeight="1">
      <c r="J404" s="87"/>
      <c r="O404" s="84"/>
      <c r="Q404" s="87"/>
      <c r="S404" s="87"/>
      <c r="T404" s="87"/>
      <c r="U404" s="87"/>
      <c r="V404" s="87"/>
      <c r="W404" s="87"/>
      <c r="X404" s="87"/>
      <c r="Y404" s="87"/>
      <c r="Z404" s="87"/>
      <c r="AA404" s="87"/>
      <c r="AB404" s="87"/>
      <c r="AC404" s="87"/>
      <c r="AD404" s="87"/>
      <c r="AE404" s="87"/>
      <c r="AF404" s="87"/>
      <c r="AG404" s="87"/>
      <c r="AH404" s="87"/>
      <c r="AI404" s="87"/>
      <c r="AJ404" s="87"/>
      <c r="AK404" s="87"/>
      <c r="AL404" s="87"/>
    </row>
    <row r="405" spans="10:38" ht="15.75" customHeight="1">
      <c r="J405" s="87"/>
      <c r="O405" s="84"/>
      <c r="Q405" s="87"/>
      <c r="S405" s="87"/>
      <c r="T405" s="87"/>
      <c r="U405" s="87"/>
      <c r="V405" s="87"/>
      <c r="W405" s="87"/>
      <c r="X405" s="87"/>
      <c r="Y405" s="87"/>
      <c r="Z405" s="87"/>
      <c r="AA405" s="87"/>
      <c r="AB405" s="87"/>
      <c r="AC405" s="87"/>
      <c r="AD405" s="87"/>
      <c r="AE405" s="87"/>
      <c r="AF405" s="87"/>
      <c r="AG405" s="87"/>
      <c r="AH405" s="87"/>
      <c r="AI405" s="87"/>
      <c r="AJ405" s="87"/>
      <c r="AK405" s="87"/>
      <c r="AL405" s="87"/>
    </row>
    <row r="406" spans="10:38" ht="15.75" customHeight="1">
      <c r="J406" s="87"/>
      <c r="O406" s="84"/>
      <c r="Q406" s="87"/>
      <c r="S406" s="87"/>
      <c r="T406" s="87"/>
      <c r="U406" s="87"/>
      <c r="V406" s="87"/>
      <c r="W406" s="87"/>
      <c r="X406" s="87"/>
      <c r="Y406" s="87"/>
      <c r="Z406" s="87"/>
      <c r="AA406" s="87"/>
      <c r="AB406" s="87"/>
      <c r="AC406" s="87"/>
      <c r="AD406" s="87"/>
      <c r="AE406" s="87"/>
      <c r="AF406" s="87"/>
      <c r="AG406" s="87"/>
      <c r="AH406" s="87"/>
      <c r="AI406" s="87"/>
      <c r="AJ406" s="87"/>
      <c r="AK406" s="87"/>
      <c r="AL406" s="87"/>
    </row>
    <row r="407" spans="10:38" ht="15.75" customHeight="1">
      <c r="J407" s="87"/>
      <c r="O407" s="84"/>
      <c r="Q407" s="87"/>
      <c r="S407" s="87"/>
      <c r="T407" s="87"/>
      <c r="U407" s="87"/>
      <c r="V407" s="87"/>
      <c r="W407" s="87"/>
      <c r="X407" s="87"/>
      <c r="Y407" s="87"/>
      <c r="Z407" s="87"/>
      <c r="AA407" s="87"/>
      <c r="AB407" s="87"/>
      <c r="AC407" s="87"/>
      <c r="AD407" s="87"/>
      <c r="AE407" s="87"/>
      <c r="AF407" s="87"/>
      <c r="AG407" s="87"/>
      <c r="AH407" s="87"/>
      <c r="AI407" s="87"/>
      <c r="AJ407" s="87"/>
      <c r="AK407" s="87"/>
      <c r="AL407" s="87"/>
    </row>
    <row r="408" spans="10:38" ht="15.75" customHeight="1">
      <c r="J408" s="87"/>
      <c r="O408" s="84"/>
      <c r="Q408" s="87"/>
      <c r="S408" s="87"/>
      <c r="T408" s="87"/>
      <c r="U408" s="87"/>
      <c r="V408" s="87"/>
      <c r="W408" s="87"/>
      <c r="X408" s="87"/>
      <c r="Y408" s="87"/>
      <c r="Z408" s="87"/>
      <c r="AA408" s="87"/>
      <c r="AB408" s="87"/>
      <c r="AC408" s="87"/>
      <c r="AD408" s="87"/>
      <c r="AE408" s="87"/>
      <c r="AF408" s="87"/>
      <c r="AG408" s="87"/>
      <c r="AH408" s="87"/>
      <c r="AI408" s="87"/>
      <c r="AJ408" s="87"/>
      <c r="AK408" s="87"/>
      <c r="AL408" s="87"/>
    </row>
    <row r="409" spans="10:38" ht="15.75" customHeight="1">
      <c r="J409" s="87"/>
      <c r="O409" s="84"/>
      <c r="Q409" s="87"/>
      <c r="S409" s="87"/>
      <c r="T409" s="87"/>
      <c r="U409" s="87"/>
      <c r="V409" s="87"/>
      <c r="W409" s="87"/>
      <c r="X409" s="87"/>
      <c r="Y409" s="87"/>
      <c r="Z409" s="87"/>
      <c r="AA409" s="87"/>
      <c r="AB409" s="87"/>
      <c r="AC409" s="87"/>
      <c r="AD409" s="87"/>
      <c r="AE409" s="87"/>
      <c r="AF409" s="87"/>
      <c r="AG409" s="87"/>
      <c r="AH409" s="87"/>
      <c r="AI409" s="87"/>
      <c r="AJ409" s="87"/>
      <c r="AK409" s="87"/>
      <c r="AL409" s="87"/>
    </row>
    <row r="410" spans="10:38" ht="15.75" customHeight="1">
      <c r="J410" s="87"/>
      <c r="O410" s="84"/>
      <c r="Q410" s="87"/>
      <c r="S410" s="87"/>
      <c r="T410" s="87"/>
      <c r="U410" s="87"/>
      <c r="V410" s="87"/>
      <c r="W410" s="87"/>
      <c r="X410" s="87"/>
      <c r="Y410" s="87"/>
      <c r="Z410" s="87"/>
      <c r="AA410" s="87"/>
      <c r="AB410" s="87"/>
      <c r="AC410" s="87"/>
      <c r="AD410" s="87"/>
      <c r="AE410" s="87"/>
      <c r="AF410" s="87"/>
      <c r="AG410" s="87"/>
      <c r="AH410" s="87"/>
      <c r="AI410" s="87"/>
      <c r="AJ410" s="87"/>
      <c r="AK410" s="87"/>
      <c r="AL410" s="87"/>
    </row>
    <row r="411" spans="10:38" ht="15.75" customHeight="1">
      <c r="J411" s="87"/>
      <c r="O411" s="84"/>
      <c r="Q411" s="87"/>
      <c r="S411" s="87"/>
      <c r="T411" s="87"/>
      <c r="U411" s="87"/>
      <c r="V411" s="87"/>
      <c r="W411" s="87"/>
      <c r="X411" s="87"/>
      <c r="Y411" s="87"/>
      <c r="Z411" s="87"/>
      <c r="AA411" s="87"/>
      <c r="AB411" s="87"/>
      <c r="AC411" s="87"/>
      <c r="AD411" s="87"/>
      <c r="AE411" s="87"/>
      <c r="AF411" s="87"/>
      <c r="AG411" s="87"/>
      <c r="AH411" s="87"/>
      <c r="AI411" s="87"/>
      <c r="AJ411" s="87"/>
      <c r="AK411" s="87"/>
      <c r="AL411" s="87"/>
    </row>
    <row r="412" spans="10:38" ht="15.75" customHeight="1">
      <c r="J412" s="87"/>
      <c r="O412" s="84"/>
      <c r="Q412" s="87"/>
      <c r="S412" s="87"/>
      <c r="T412" s="87"/>
      <c r="U412" s="87"/>
      <c r="V412" s="87"/>
      <c r="W412" s="87"/>
      <c r="X412" s="87"/>
      <c r="Y412" s="87"/>
      <c r="Z412" s="87"/>
      <c r="AA412" s="87"/>
      <c r="AB412" s="87"/>
      <c r="AC412" s="87"/>
      <c r="AD412" s="87"/>
      <c r="AE412" s="87"/>
      <c r="AF412" s="87"/>
      <c r="AG412" s="87"/>
      <c r="AH412" s="87"/>
      <c r="AI412" s="87"/>
      <c r="AJ412" s="87"/>
      <c r="AK412" s="87"/>
      <c r="AL412" s="87"/>
    </row>
    <row r="413" spans="10:38" ht="15.75" customHeight="1">
      <c r="J413" s="87"/>
      <c r="O413" s="84"/>
      <c r="Q413" s="87"/>
      <c r="S413" s="87"/>
      <c r="T413" s="87"/>
      <c r="U413" s="87"/>
      <c r="V413" s="87"/>
      <c r="W413" s="87"/>
      <c r="X413" s="87"/>
      <c r="Y413" s="87"/>
      <c r="Z413" s="87"/>
      <c r="AA413" s="87"/>
      <c r="AB413" s="87"/>
      <c r="AC413" s="87"/>
      <c r="AD413" s="87"/>
      <c r="AE413" s="87"/>
      <c r="AF413" s="87"/>
      <c r="AG413" s="87"/>
      <c r="AH413" s="87"/>
      <c r="AI413" s="87"/>
      <c r="AJ413" s="87"/>
      <c r="AK413" s="87"/>
      <c r="AL413" s="87"/>
    </row>
    <row r="414" spans="10:38" ht="15.75" customHeight="1">
      <c r="J414" s="87"/>
      <c r="O414" s="84"/>
      <c r="Q414" s="87"/>
      <c r="S414" s="87"/>
      <c r="T414" s="87"/>
      <c r="U414" s="87"/>
      <c r="V414" s="87"/>
      <c r="W414" s="87"/>
      <c r="X414" s="87"/>
      <c r="Y414" s="87"/>
      <c r="Z414" s="87"/>
      <c r="AA414" s="87"/>
      <c r="AB414" s="87"/>
      <c r="AC414" s="87"/>
      <c r="AD414" s="87"/>
      <c r="AE414" s="87"/>
      <c r="AF414" s="87"/>
      <c r="AG414" s="87"/>
      <c r="AH414" s="87"/>
      <c r="AI414" s="87"/>
      <c r="AJ414" s="87"/>
      <c r="AK414" s="87"/>
      <c r="AL414" s="87"/>
    </row>
    <row r="415" spans="10:38" ht="15.75" customHeight="1">
      <c r="J415" s="87"/>
      <c r="O415" s="84"/>
      <c r="Q415" s="87"/>
      <c r="S415" s="87"/>
      <c r="T415" s="87"/>
      <c r="U415" s="87"/>
      <c r="V415" s="87"/>
      <c r="W415" s="87"/>
      <c r="X415" s="87"/>
      <c r="Y415" s="87"/>
      <c r="Z415" s="87"/>
      <c r="AA415" s="87"/>
      <c r="AB415" s="87"/>
      <c r="AC415" s="87"/>
      <c r="AD415" s="87"/>
      <c r="AE415" s="87"/>
      <c r="AF415" s="87"/>
      <c r="AG415" s="87"/>
      <c r="AH415" s="87"/>
      <c r="AI415" s="87"/>
      <c r="AJ415" s="87"/>
      <c r="AK415" s="87"/>
      <c r="AL415" s="87"/>
    </row>
    <row r="416" spans="10:38" ht="15.75" customHeight="1">
      <c r="J416" s="87"/>
      <c r="O416" s="84"/>
      <c r="Q416" s="87"/>
      <c r="S416" s="87"/>
      <c r="T416" s="87"/>
      <c r="U416" s="87"/>
      <c r="V416" s="87"/>
      <c r="W416" s="87"/>
      <c r="X416" s="87"/>
      <c r="Y416" s="87"/>
      <c r="Z416" s="87"/>
      <c r="AA416" s="87"/>
      <c r="AB416" s="87"/>
      <c r="AC416" s="87"/>
      <c r="AD416" s="87"/>
      <c r="AE416" s="87"/>
      <c r="AF416" s="87"/>
      <c r="AG416" s="87"/>
      <c r="AH416" s="87"/>
      <c r="AI416" s="87"/>
      <c r="AJ416" s="87"/>
      <c r="AK416" s="87"/>
      <c r="AL416" s="87"/>
    </row>
    <row r="417" spans="10:38" ht="15.75" customHeight="1">
      <c r="J417" s="87"/>
      <c r="O417" s="84"/>
      <c r="Q417" s="87"/>
      <c r="S417" s="87"/>
      <c r="T417" s="87"/>
      <c r="U417" s="87"/>
      <c r="V417" s="87"/>
      <c r="W417" s="87"/>
      <c r="X417" s="87"/>
      <c r="Y417" s="87"/>
      <c r="Z417" s="87"/>
      <c r="AA417" s="87"/>
      <c r="AB417" s="87"/>
      <c r="AC417" s="87"/>
      <c r="AD417" s="87"/>
      <c r="AE417" s="87"/>
      <c r="AF417" s="87"/>
      <c r="AG417" s="87"/>
      <c r="AH417" s="87"/>
      <c r="AI417" s="87"/>
      <c r="AJ417" s="87"/>
      <c r="AK417" s="87"/>
      <c r="AL417" s="87"/>
    </row>
    <row r="418" spans="10:38" ht="15.75" customHeight="1">
      <c r="J418" s="87"/>
      <c r="O418" s="84"/>
      <c r="Q418" s="87"/>
      <c r="S418" s="87"/>
      <c r="T418" s="87"/>
      <c r="U418" s="87"/>
      <c r="V418" s="87"/>
      <c r="W418" s="87"/>
      <c r="X418" s="87"/>
      <c r="Y418" s="87"/>
      <c r="Z418" s="87"/>
      <c r="AA418" s="87"/>
      <c r="AB418" s="87"/>
      <c r="AC418" s="87"/>
      <c r="AD418" s="87"/>
      <c r="AE418" s="87"/>
      <c r="AF418" s="87"/>
      <c r="AG418" s="87"/>
      <c r="AH418" s="87"/>
      <c r="AI418" s="87"/>
      <c r="AJ418" s="87"/>
      <c r="AK418" s="87"/>
      <c r="AL418" s="87"/>
    </row>
    <row r="419" spans="10:38" ht="15.75" customHeight="1">
      <c r="J419" s="87"/>
      <c r="O419" s="84"/>
      <c r="Q419" s="87"/>
      <c r="S419" s="87"/>
      <c r="T419" s="87"/>
      <c r="U419" s="87"/>
      <c r="V419" s="87"/>
      <c r="W419" s="87"/>
      <c r="X419" s="87"/>
      <c r="Y419" s="87"/>
      <c r="Z419" s="87"/>
      <c r="AA419" s="87"/>
      <c r="AB419" s="87"/>
      <c r="AC419" s="87"/>
      <c r="AD419" s="87"/>
      <c r="AE419" s="87"/>
      <c r="AF419" s="87"/>
      <c r="AG419" s="87"/>
      <c r="AH419" s="87"/>
      <c r="AI419" s="87"/>
      <c r="AJ419" s="87"/>
      <c r="AK419" s="87"/>
      <c r="AL419" s="87"/>
    </row>
    <row r="420" spans="10:38" ht="15.75" customHeight="1">
      <c r="J420" s="87"/>
      <c r="O420" s="84"/>
      <c r="Q420" s="87"/>
      <c r="S420" s="87"/>
      <c r="T420" s="87"/>
      <c r="U420" s="87"/>
      <c r="V420" s="87"/>
      <c r="W420" s="87"/>
      <c r="X420" s="87"/>
      <c r="Y420" s="87"/>
      <c r="Z420" s="87"/>
      <c r="AA420" s="87"/>
      <c r="AB420" s="87"/>
      <c r="AC420" s="87"/>
      <c r="AD420" s="87"/>
      <c r="AE420" s="87"/>
      <c r="AF420" s="87"/>
      <c r="AG420" s="87"/>
      <c r="AH420" s="87"/>
      <c r="AI420" s="87"/>
      <c r="AJ420" s="87"/>
      <c r="AK420" s="87"/>
      <c r="AL420" s="87"/>
    </row>
    <row r="421" spans="10:38" ht="15.75" customHeight="1">
      <c r="J421" s="87"/>
      <c r="O421" s="84"/>
      <c r="Q421" s="87"/>
      <c r="S421" s="87"/>
      <c r="T421" s="87"/>
      <c r="U421" s="87"/>
      <c r="V421" s="87"/>
      <c r="W421" s="87"/>
      <c r="X421" s="87"/>
      <c r="Y421" s="87"/>
      <c r="Z421" s="87"/>
      <c r="AA421" s="87"/>
      <c r="AB421" s="87"/>
      <c r="AC421" s="87"/>
      <c r="AD421" s="87"/>
      <c r="AE421" s="87"/>
      <c r="AF421" s="87"/>
      <c r="AG421" s="87"/>
      <c r="AH421" s="87"/>
      <c r="AI421" s="87"/>
      <c r="AJ421" s="87"/>
      <c r="AK421" s="87"/>
      <c r="AL421" s="87"/>
    </row>
    <row r="422" spans="10:38" ht="15.75" customHeight="1">
      <c r="J422" s="87"/>
      <c r="O422" s="84"/>
      <c r="Q422" s="87"/>
      <c r="S422" s="87"/>
      <c r="T422" s="87"/>
      <c r="U422" s="87"/>
      <c r="V422" s="87"/>
      <c r="W422" s="87"/>
      <c r="X422" s="87"/>
      <c r="Y422" s="87"/>
      <c r="Z422" s="87"/>
      <c r="AA422" s="87"/>
      <c r="AB422" s="87"/>
      <c r="AC422" s="87"/>
      <c r="AD422" s="87"/>
      <c r="AE422" s="87"/>
      <c r="AF422" s="87"/>
      <c r="AG422" s="87"/>
      <c r="AH422" s="87"/>
      <c r="AI422" s="87"/>
      <c r="AJ422" s="87"/>
      <c r="AK422" s="87"/>
      <c r="AL422" s="87"/>
    </row>
    <row r="423" spans="10:38" ht="15.75" customHeight="1">
      <c r="J423" s="87"/>
      <c r="O423" s="84"/>
      <c r="Q423" s="87"/>
      <c r="S423" s="87"/>
      <c r="T423" s="87"/>
      <c r="U423" s="87"/>
      <c r="V423" s="87"/>
      <c r="W423" s="87"/>
      <c r="X423" s="87"/>
      <c r="Y423" s="87"/>
      <c r="Z423" s="87"/>
      <c r="AA423" s="87"/>
      <c r="AB423" s="87"/>
      <c r="AC423" s="87"/>
      <c r="AD423" s="87"/>
      <c r="AE423" s="87"/>
      <c r="AF423" s="87"/>
      <c r="AG423" s="87"/>
      <c r="AH423" s="87"/>
      <c r="AI423" s="87"/>
      <c r="AJ423" s="87"/>
      <c r="AK423" s="87"/>
      <c r="AL423" s="87"/>
    </row>
    <row r="424" spans="10:38" ht="15.75" customHeight="1">
      <c r="J424" s="87"/>
      <c r="O424" s="84"/>
      <c r="Q424" s="87"/>
      <c r="S424" s="87"/>
      <c r="T424" s="87"/>
      <c r="U424" s="87"/>
      <c r="V424" s="87"/>
      <c r="W424" s="87"/>
      <c r="X424" s="87"/>
      <c r="Y424" s="87"/>
      <c r="Z424" s="87"/>
      <c r="AA424" s="87"/>
      <c r="AB424" s="87"/>
      <c r="AC424" s="87"/>
      <c r="AD424" s="87"/>
      <c r="AE424" s="87"/>
      <c r="AF424" s="87"/>
      <c r="AG424" s="87"/>
      <c r="AH424" s="87"/>
      <c r="AI424" s="87"/>
      <c r="AJ424" s="87"/>
      <c r="AK424" s="87"/>
      <c r="AL424" s="87"/>
    </row>
    <row r="425" spans="10:38" ht="15.75" customHeight="1">
      <c r="J425" s="87"/>
      <c r="O425" s="84"/>
      <c r="Q425" s="87"/>
      <c r="S425" s="87"/>
      <c r="T425" s="87"/>
      <c r="U425" s="87"/>
      <c r="V425" s="87"/>
      <c r="W425" s="87"/>
      <c r="X425" s="87"/>
      <c r="Y425" s="87"/>
      <c r="Z425" s="87"/>
      <c r="AA425" s="87"/>
      <c r="AB425" s="87"/>
      <c r="AC425" s="87"/>
      <c r="AD425" s="87"/>
      <c r="AE425" s="87"/>
      <c r="AF425" s="87"/>
      <c r="AG425" s="87"/>
      <c r="AH425" s="87"/>
      <c r="AI425" s="87"/>
      <c r="AJ425" s="87"/>
      <c r="AK425" s="87"/>
      <c r="AL425" s="87"/>
    </row>
    <row r="426" spans="10:38" ht="15.75" customHeight="1">
      <c r="J426" s="87"/>
      <c r="O426" s="84"/>
      <c r="Q426" s="87"/>
      <c r="S426" s="87"/>
      <c r="T426" s="87"/>
      <c r="U426" s="87"/>
      <c r="V426" s="87"/>
      <c r="W426" s="87"/>
      <c r="X426" s="87"/>
      <c r="Y426" s="87"/>
      <c r="Z426" s="87"/>
      <c r="AA426" s="87"/>
      <c r="AB426" s="87"/>
      <c r="AC426" s="87"/>
      <c r="AD426" s="87"/>
      <c r="AE426" s="87"/>
      <c r="AF426" s="87"/>
      <c r="AG426" s="87"/>
      <c r="AH426" s="87"/>
      <c r="AI426" s="87"/>
      <c r="AJ426" s="87"/>
      <c r="AK426" s="87"/>
      <c r="AL426" s="87"/>
    </row>
    <row r="427" spans="10:38" ht="15.75" customHeight="1">
      <c r="J427" s="87"/>
      <c r="O427" s="84"/>
      <c r="Q427" s="87"/>
      <c r="S427" s="87"/>
      <c r="T427" s="87"/>
      <c r="U427" s="87"/>
      <c r="V427" s="87"/>
      <c r="W427" s="87"/>
      <c r="X427" s="87"/>
      <c r="Y427" s="87"/>
      <c r="Z427" s="87"/>
      <c r="AA427" s="87"/>
      <c r="AB427" s="87"/>
      <c r="AC427" s="87"/>
      <c r="AD427" s="87"/>
      <c r="AE427" s="87"/>
      <c r="AF427" s="87"/>
      <c r="AG427" s="87"/>
      <c r="AH427" s="87"/>
      <c r="AI427" s="87"/>
      <c r="AJ427" s="87"/>
      <c r="AK427" s="87"/>
      <c r="AL427" s="87"/>
    </row>
    <row r="428" spans="10:38" ht="15.75" customHeight="1">
      <c r="J428" s="87"/>
      <c r="O428" s="84"/>
      <c r="Q428" s="87"/>
      <c r="S428" s="87"/>
      <c r="T428" s="87"/>
      <c r="U428" s="87"/>
      <c r="V428" s="87"/>
      <c r="W428" s="87"/>
      <c r="X428" s="87"/>
      <c r="Y428" s="87"/>
      <c r="Z428" s="87"/>
      <c r="AA428" s="87"/>
      <c r="AB428" s="87"/>
      <c r="AC428" s="87"/>
      <c r="AD428" s="87"/>
      <c r="AE428" s="87"/>
      <c r="AF428" s="87"/>
      <c r="AG428" s="87"/>
      <c r="AH428" s="87"/>
      <c r="AI428" s="87"/>
      <c r="AJ428" s="87"/>
      <c r="AK428" s="87"/>
      <c r="AL428" s="87"/>
    </row>
    <row r="429" spans="10:38" ht="15.75" customHeight="1">
      <c r="J429" s="87"/>
      <c r="O429" s="84"/>
      <c r="Q429" s="87"/>
      <c r="S429" s="87"/>
      <c r="T429" s="87"/>
      <c r="U429" s="87"/>
      <c r="V429" s="87"/>
      <c r="W429" s="87"/>
      <c r="X429" s="87"/>
      <c r="Y429" s="87"/>
      <c r="Z429" s="87"/>
      <c r="AA429" s="87"/>
      <c r="AB429" s="87"/>
      <c r="AC429" s="87"/>
      <c r="AD429" s="87"/>
      <c r="AE429" s="87"/>
      <c r="AF429" s="87"/>
      <c r="AG429" s="87"/>
      <c r="AH429" s="87"/>
      <c r="AI429" s="87"/>
      <c r="AJ429" s="87"/>
      <c r="AK429" s="87"/>
      <c r="AL429" s="87"/>
    </row>
    <row r="430" spans="10:38" ht="15.75" customHeight="1">
      <c r="J430" s="87"/>
      <c r="O430" s="84"/>
      <c r="Q430" s="87"/>
      <c r="S430" s="87"/>
      <c r="T430" s="87"/>
      <c r="U430" s="87"/>
      <c r="V430" s="87"/>
      <c r="W430" s="87"/>
      <c r="X430" s="87"/>
      <c r="Y430" s="87"/>
      <c r="Z430" s="87"/>
      <c r="AA430" s="87"/>
      <c r="AB430" s="87"/>
      <c r="AC430" s="87"/>
      <c r="AD430" s="87"/>
      <c r="AE430" s="87"/>
      <c r="AF430" s="87"/>
      <c r="AG430" s="87"/>
      <c r="AH430" s="87"/>
      <c r="AI430" s="87"/>
      <c r="AJ430" s="87"/>
      <c r="AK430" s="87"/>
      <c r="AL430" s="87"/>
    </row>
    <row r="431" spans="10:38" ht="15.75" customHeight="1">
      <c r="J431" s="87"/>
      <c r="O431" s="84"/>
      <c r="Q431" s="87"/>
      <c r="S431" s="87"/>
      <c r="T431" s="87"/>
      <c r="U431" s="87"/>
      <c r="V431" s="87"/>
      <c r="W431" s="87"/>
      <c r="X431" s="87"/>
      <c r="Y431" s="87"/>
      <c r="Z431" s="87"/>
      <c r="AA431" s="87"/>
      <c r="AB431" s="87"/>
      <c r="AC431" s="87"/>
      <c r="AD431" s="87"/>
      <c r="AE431" s="87"/>
      <c r="AF431" s="87"/>
      <c r="AG431" s="87"/>
      <c r="AH431" s="87"/>
      <c r="AI431" s="87"/>
      <c r="AJ431" s="87"/>
      <c r="AK431" s="87"/>
      <c r="AL431" s="87"/>
    </row>
    <row r="432" spans="10:38" ht="15.75" customHeight="1">
      <c r="J432" s="87"/>
      <c r="O432" s="84"/>
      <c r="Q432" s="87"/>
      <c r="S432" s="87"/>
      <c r="T432" s="87"/>
      <c r="U432" s="87"/>
      <c r="V432" s="87"/>
      <c r="W432" s="87"/>
      <c r="X432" s="87"/>
      <c r="Y432" s="87"/>
      <c r="Z432" s="87"/>
      <c r="AA432" s="87"/>
      <c r="AB432" s="87"/>
      <c r="AC432" s="87"/>
      <c r="AD432" s="87"/>
      <c r="AE432" s="87"/>
      <c r="AF432" s="87"/>
      <c r="AG432" s="87"/>
      <c r="AH432" s="87"/>
      <c r="AI432" s="87"/>
      <c r="AJ432" s="87"/>
      <c r="AK432" s="87"/>
      <c r="AL432" s="87"/>
    </row>
    <row r="433" spans="10:38" ht="15.75" customHeight="1">
      <c r="J433" s="87"/>
      <c r="O433" s="84"/>
      <c r="Q433" s="87"/>
      <c r="S433" s="87"/>
      <c r="T433" s="87"/>
      <c r="U433" s="87"/>
      <c r="V433" s="87"/>
      <c r="W433" s="87"/>
      <c r="X433" s="87"/>
      <c r="Y433" s="87"/>
      <c r="Z433" s="87"/>
      <c r="AA433" s="87"/>
      <c r="AB433" s="87"/>
      <c r="AC433" s="87"/>
      <c r="AD433" s="87"/>
      <c r="AE433" s="87"/>
      <c r="AF433" s="87"/>
      <c r="AG433" s="87"/>
      <c r="AH433" s="87"/>
      <c r="AI433" s="87"/>
      <c r="AJ433" s="87"/>
      <c r="AK433" s="87"/>
      <c r="AL433" s="87"/>
    </row>
    <row r="434" spans="10:38" ht="15.75" customHeight="1">
      <c r="J434" s="87"/>
      <c r="O434" s="84"/>
      <c r="Q434" s="87"/>
      <c r="S434" s="87"/>
      <c r="T434" s="87"/>
      <c r="U434" s="87"/>
      <c r="V434" s="87"/>
      <c r="W434" s="87"/>
      <c r="X434" s="87"/>
      <c r="Y434" s="87"/>
      <c r="Z434" s="87"/>
      <c r="AA434" s="87"/>
      <c r="AB434" s="87"/>
      <c r="AC434" s="87"/>
      <c r="AD434" s="87"/>
      <c r="AE434" s="87"/>
      <c r="AF434" s="87"/>
      <c r="AG434" s="87"/>
      <c r="AH434" s="87"/>
      <c r="AI434" s="87"/>
      <c r="AJ434" s="87"/>
      <c r="AK434" s="87"/>
      <c r="AL434" s="87"/>
    </row>
    <row r="435" spans="10:38" ht="15.75" customHeight="1">
      <c r="J435" s="87"/>
      <c r="O435" s="84"/>
      <c r="Q435" s="87"/>
      <c r="S435" s="87"/>
      <c r="T435" s="87"/>
      <c r="U435" s="87"/>
      <c r="V435" s="87"/>
      <c r="W435" s="87"/>
      <c r="X435" s="87"/>
      <c r="Y435" s="87"/>
      <c r="Z435" s="87"/>
      <c r="AA435" s="87"/>
      <c r="AB435" s="87"/>
      <c r="AC435" s="87"/>
      <c r="AD435" s="87"/>
      <c r="AE435" s="87"/>
      <c r="AF435" s="87"/>
      <c r="AG435" s="87"/>
      <c r="AH435" s="87"/>
      <c r="AI435" s="87"/>
      <c r="AJ435" s="87"/>
      <c r="AK435" s="87"/>
      <c r="AL435" s="87"/>
    </row>
    <row r="436" spans="10:38" ht="15.75" customHeight="1">
      <c r="J436" s="87"/>
      <c r="O436" s="84"/>
      <c r="Q436" s="87"/>
      <c r="S436" s="87"/>
      <c r="T436" s="87"/>
      <c r="U436" s="87"/>
      <c r="V436" s="87"/>
      <c r="W436" s="87"/>
      <c r="X436" s="87"/>
      <c r="Y436" s="87"/>
      <c r="Z436" s="87"/>
      <c r="AA436" s="87"/>
      <c r="AB436" s="87"/>
      <c r="AC436" s="87"/>
      <c r="AD436" s="87"/>
      <c r="AE436" s="87"/>
      <c r="AF436" s="87"/>
      <c r="AG436" s="87"/>
      <c r="AH436" s="87"/>
      <c r="AI436" s="87"/>
      <c r="AJ436" s="87"/>
      <c r="AK436" s="87"/>
      <c r="AL436" s="87"/>
    </row>
    <row r="437" spans="10:38" ht="15.75" customHeight="1">
      <c r="J437" s="87"/>
      <c r="O437" s="84"/>
      <c r="Q437" s="87"/>
      <c r="S437" s="87"/>
      <c r="T437" s="87"/>
      <c r="U437" s="87"/>
      <c r="V437" s="87"/>
      <c r="W437" s="87"/>
      <c r="X437" s="87"/>
      <c r="Y437" s="87"/>
      <c r="Z437" s="87"/>
      <c r="AA437" s="87"/>
      <c r="AB437" s="87"/>
      <c r="AC437" s="87"/>
      <c r="AD437" s="87"/>
      <c r="AE437" s="87"/>
      <c r="AF437" s="87"/>
      <c r="AG437" s="87"/>
      <c r="AH437" s="87"/>
      <c r="AI437" s="87"/>
      <c r="AJ437" s="87"/>
      <c r="AK437" s="87"/>
      <c r="AL437" s="87"/>
    </row>
    <row r="438" spans="10:38" ht="15.75" customHeight="1">
      <c r="J438" s="87"/>
      <c r="O438" s="84"/>
      <c r="Q438" s="87"/>
      <c r="S438" s="87"/>
      <c r="T438" s="87"/>
      <c r="U438" s="87"/>
      <c r="V438" s="87"/>
      <c r="W438" s="87"/>
      <c r="X438" s="87"/>
      <c r="Y438" s="87"/>
      <c r="Z438" s="87"/>
      <c r="AA438" s="87"/>
      <c r="AB438" s="87"/>
      <c r="AC438" s="87"/>
      <c r="AD438" s="87"/>
      <c r="AE438" s="87"/>
      <c r="AF438" s="87"/>
      <c r="AG438" s="87"/>
      <c r="AH438" s="87"/>
      <c r="AI438" s="87"/>
      <c r="AJ438" s="87"/>
      <c r="AK438" s="87"/>
      <c r="AL438" s="87"/>
    </row>
    <row r="439" spans="10:38" ht="15.75" customHeight="1">
      <c r="J439" s="87"/>
      <c r="O439" s="84"/>
      <c r="Q439" s="87"/>
      <c r="S439" s="87"/>
      <c r="T439" s="87"/>
      <c r="U439" s="87"/>
      <c r="V439" s="87"/>
      <c r="W439" s="87"/>
      <c r="X439" s="87"/>
      <c r="Y439" s="87"/>
      <c r="Z439" s="87"/>
      <c r="AA439" s="87"/>
      <c r="AB439" s="87"/>
      <c r="AC439" s="87"/>
      <c r="AD439" s="87"/>
      <c r="AE439" s="87"/>
      <c r="AF439" s="87"/>
      <c r="AG439" s="87"/>
      <c r="AH439" s="87"/>
      <c r="AI439" s="87"/>
      <c r="AJ439" s="87"/>
      <c r="AK439" s="87"/>
      <c r="AL439" s="87"/>
    </row>
    <row r="440" spans="10:38" ht="15.75" customHeight="1">
      <c r="J440" s="87"/>
      <c r="O440" s="84"/>
      <c r="Q440" s="87"/>
      <c r="S440" s="87"/>
      <c r="T440" s="87"/>
      <c r="U440" s="87"/>
      <c r="V440" s="87"/>
      <c r="W440" s="87"/>
      <c r="X440" s="87"/>
      <c r="Y440" s="87"/>
      <c r="Z440" s="87"/>
      <c r="AA440" s="87"/>
      <c r="AB440" s="87"/>
      <c r="AC440" s="87"/>
      <c r="AD440" s="87"/>
      <c r="AE440" s="87"/>
      <c r="AF440" s="87"/>
      <c r="AG440" s="87"/>
      <c r="AH440" s="87"/>
      <c r="AI440" s="87"/>
      <c r="AJ440" s="87"/>
      <c r="AK440" s="87"/>
      <c r="AL440" s="87"/>
    </row>
    <row r="441" spans="10:38" ht="15.75" customHeight="1">
      <c r="J441" s="87"/>
      <c r="O441" s="84"/>
      <c r="Q441" s="87"/>
      <c r="S441" s="87"/>
      <c r="T441" s="87"/>
      <c r="U441" s="87"/>
      <c r="V441" s="87"/>
      <c r="W441" s="87"/>
      <c r="X441" s="87"/>
      <c r="Y441" s="87"/>
      <c r="Z441" s="87"/>
      <c r="AA441" s="87"/>
      <c r="AB441" s="87"/>
      <c r="AC441" s="87"/>
      <c r="AD441" s="87"/>
      <c r="AE441" s="87"/>
      <c r="AF441" s="87"/>
      <c r="AG441" s="87"/>
      <c r="AH441" s="87"/>
      <c r="AI441" s="87"/>
      <c r="AJ441" s="87"/>
      <c r="AK441" s="87"/>
      <c r="AL441" s="87"/>
    </row>
    <row r="442" spans="10:38" ht="15.75" customHeight="1">
      <c r="J442" s="87"/>
      <c r="O442" s="84"/>
      <c r="Q442" s="87"/>
      <c r="S442" s="87"/>
      <c r="T442" s="87"/>
      <c r="U442" s="87"/>
      <c r="V442" s="87"/>
      <c r="W442" s="87"/>
      <c r="X442" s="87"/>
      <c r="Y442" s="87"/>
      <c r="Z442" s="87"/>
      <c r="AA442" s="87"/>
      <c r="AB442" s="87"/>
      <c r="AC442" s="87"/>
      <c r="AD442" s="87"/>
      <c r="AE442" s="87"/>
      <c r="AF442" s="87"/>
      <c r="AG442" s="87"/>
      <c r="AH442" s="87"/>
      <c r="AI442" s="87"/>
      <c r="AJ442" s="87"/>
      <c r="AK442" s="87"/>
      <c r="AL442" s="87"/>
    </row>
    <row r="443" spans="10:38" ht="15.75" customHeight="1">
      <c r="J443" s="87"/>
      <c r="O443" s="84"/>
      <c r="Q443" s="87"/>
      <c r="S443" s="87"/>
      <c r="T443" s="87"/>
      <c r="U443" s="87"/>
      <c r="V443" s="87"/>
      <c r="W443" s="87"/>
      <c r="X443" s="87"/>
      <c r="Y443" s="87"/>
      <c r="Z443" s="87"/>
      <c r="AA443" s="87"/>
      <c r="AB443" s="87"/>
      <c r="AC443" s="87"/>
      <c r="AD443" s="87"/>
      <c r="AE443" s="87"/>
      <c r="AF443" s="87"/>
      <c r="AG443" s="87"/>
      <c r="AH443" s="87"/>
      <c r="AI443" s="87"/>
      <c r="AJ443" s="87"/>
      <c r="AK443" s="87"/>
      <c r="AL443" s="87"/>
    </row>
    <row r="444" spans="10:38" ht="15.75" customHeight="1">
      <c r="J444" s="87"/>
      <c r="O444" s="84"/>
      <c r="Q444" s="87"/>
      <c r="S444" s="87"/>
      <c r="T444" s="87"/>
      <c r="U444" s="87"/>
      <c r="V444" s="87"/>
      <c r="W444" s="87"/>
      <c r="X444" s="87"/>
      <c r="Y444" s="87"/>
      <c r="Z444" s="87"/>
      <c r="AA444" s="87"/>
      <c r="AB444" s="87"/>
      <c r="AC444" s="87"/>
      <c r="AD444" s="87"/>
      <c r="AE444" s="87"/>
      <c r="AF444" s="87"/>
      <c r="AG444" s="87"/>
      <c r="AH444" s="87"/>
      <c r="AI444" s="87"/>
      <c r="AJ444" s="87"/>
      <c r="AK444" s="87"/>
      <c r="AL444" s="87"/>
    </row>
    <row r="445" spans="10:38" ht="15.75" customHeight="1">
      <c r="J445" s="87"/>
      <c r="O445" s="84"/>
      <c r="Q445" s="87"/>
      <c r="S445" s="87"/>
      <c r="T445" s="87"/>
      <c r="U445" s="87"/>
      <c r="V445" s="87"/>
      <c r="W445" s="87"/>
      <c r="X445" s="87"/>
      <c r="Y445" s="87"/>
      <c r="Z445" s="87"/>
      <c r="AA445" s="87"/>
      <c r="AB445" s="87"/>
      <c r="AC445" s="87"/>
      <c r="AD445" s="87"/>
      <c r="AE445" s="87"/>
      <c r="AF445" s="87"/>
      <c r="AG445" s="87"/>
      <c r="AH445" s="87"/>
      <c r="AI445" s="87"/>
      <c r="AJ445" s="87"/>
      <c r="AK445" s="87"/>
      <c r="AL445" s="87"/>
    </row>
    <row r="446" spans="10:38" ht="15.75" customHeight="1">
      <c r="J446" s="87"/>
      <c r="O446" s="84"/>
      <c r="Q446" s="87"/>
      <c r="S446" s="87"/>
      <c r="T446" s="87"/>
      <c r="U446" s="87"/>
      <c r="V446" s="87"/>
      <c r="W446" s="87"/>
      <c r="X446" s="87"/>
      <c r="Y446" s="87"/>
      <c r="Z446" s="87"/>
      <c r="AA446" s="87"/>
      <c r="AB446" s="87"/>
      <c r="AC446" s="87"/>
      <c r="AD446" s="87"/>
      <c r="AE446" s="87"/>
      <c r="AF446" s="87"/>
      <c r="AG446" s="87"/>
      <c r="AH446" s="87"/>
      <c r="AI446" s="87"/>
      <c r="AJ446" s="87"/>
      <c r="AK446" s="87"/>
      <c r="AL446" s="87"/>
    </row>
    <row r="447" spans="10:38" ht="15.75" customHeight="1">
      <c r="J447" s="87"/>
      <c r="O447" s="84"/>
      <c r="Q447" s="87"/>
      <c r="S447" s="87"/>
      <c r="T447" s="87"/>
      <c r="U447" s="87"/>
      <c r="V447" s="87"/>
      <c r="W447" s="87"/>
      <c r="X447" s="87"/>
      <c r="Y447" s="87"/>
      <c r="Z447" s="87"/>
      <c r="AA447" s="87"/>
      <c r="AB447" s="87"/>
      <c r="AC447" s="87"/>
      <c r="AD447" s="87"/>
      <c r="AE447" s="87"/>
      <c r="AF447" s="87"/>
      <c r="AG447" s="87"/>
      <c r="AH447" s="87"/>
      <c r="AI447" s="87"/>
      <c r="AJ447" s="87"/>
      <c r="AK447" s="87"/>
      <c r="AL447" s="87"/>
    </row>
    <row r="448" spans="10:38" ht="15.75" customHeight="1">
      <c r="J448" s="87"/>
      <c r="O448" s="84"/>
      <c r="Q448" s="87"/>
      <c r="S448" s="87"/>
      <c r="T448" s="87"/>
      <c r="U448" s="87"/>
      <c r="V448" s="87"/>
      <c r="W448" s="87"/>
      <c r="X448" s="87"/>
      <c r="Y448" s="87"/>
      <c r="Z448" s="87"/>
      <c r="AA448" s="87"/>
      <c r="AB448" s="87"/>
      <c r="AC448" s="87"/>
      <c r="AD448" s="87"/>
      <c r="AE448" s="87"/>
      <c r="AF448" s="87"/>
      <c r="AG448" s="87"/>
      <c r="AH448" s="87"/>
      <c r="AI448" s="87"/>
      <c r="AJ448" s="87"/>
      <c r="AK448" s="87"/>
      <c r="AL448" s="87"/>
    </row>
    <row r="449" spans="10:38" ht="15.75" customHeight="1">
      <c r="J449" s="87"/>
      <c r="O449" s="84"/>
      <c r="Q449" s="87"/>
      <c r="S449" s="87"/>
      <c r="T449" s="87"/>
      <c r="U449" s="87"/>
      <c r="V449" s="87"/>
      <c r="W449" s="87"/>
      <c r="X449" s="87"/>
      <c r="Y449" s="87"/>
      <c r="Z449" s="87"/>
      <c r="AA449" s="87"/>
      <c r="AB449" s="87"/>
      <c r="AC449" s="87"/>
      <c r="AD449" s="87"/>
      <c r="AE449" s="87"/>
      <c r="AF449" s="87"/>
      <c r="AG449" s="87"/>
      <c r="AH449" s="87"/>
      <c r="AI449" s="87"/>
      <c r="AJ449" s="87"/>
      <c r="AK449" s="87"/>
      <c r="AL449" s="87"/>
    </row>
    <row r="450" spans="10:38" ht="15.75" customHeight="1">
      <c r="J450" s="87"/>
      <c r="O450" s="84"/>
      <c r="Q450" s="87"/>
      <c r="S450" s="87"/>
      <c r="T450" s="87"/>
      <c r="U450" s="87"/>
      <c r="V450" s="87"/>
      <c r="W450" s="87"/>
      <c r="X450" s="87"/>
      <c r="Y450" s="87"/>
      <c r="Z450" s="87"/>
      <c r="AA450" s="87"/>
      <c r="AB450" s="87"/>
      <c r="AC450" s="87"/>
      <c r="AD450" s="87"/>
      <c r="AE450" s="87"/>
      <c r="AF450" s="87"/>
      <c r="AG450" s="87"/>
      <c r="AH450" s="87"/>
      <c r="AI450" s="87"/>
      <c r="AJ450" s="87"/>
      <c r="AK450" s="87"/>
      <c r="AL450" s="87"/>
    </row>
    <row r="451" spans="10:38" ht="15.75" customHeight="1">
      <c r="J451" s="87"/>
      <c r="O451" s="84"/>
      <c r="Q451" s="87"/>
      <c r="S451" s="87"/>
      <c r="T451" s="87"/>
      <c r="U451" s="87"/>
      <c r="V451" s="87"/>
      <c r="W451" s="87"/>
      <c r="X451" s="87"/>
      <c r="Y451" s="87"/>
      <c r="Z451" s="87"/>
      <c r="AA451" s="87"/>
      <c r="AB451" s="87"/>
      <c r="AC451" s="87"/>
      <c r="AD451" s="87"/>
      <c r="AE451" s="87"/>
      <c r="AF451" s="87"/>
      <c r="AG451" s="87"/>
      <c r="AH451" s="87"/>
      <c r="AI451" s="87"/>
      <c r="AJ451" s="87"/>
      <c r="AK451" s="87"/>
      <c r="AL451" s="87"/>
    </row>
    <row r="452" spans="10:38" ht="15.75" customHeight="1">
      <c r="J452" s="87"/>
      <c r="O452" s="84"/>
      <c r="Q452" s="87"/>
      <c r="S452" s="87"/>
      <c r="T452" s="87"/>
      <c r="U452" s="87"/>
      <c r="V452" s="87"/>
      <c r="W452" s="87"/>
      <c r="X452" s="87"/>
      <c r="Y452" s="87"/>
      <c r="Z452" s="87"/>
      <c r="AA452" s="87"/>
      <c r="AB452" s="87"/>
      <c r="AC452" s="87"/>
      <c r="AD452" s="87"/>
      <c r="AE452" s="87"/>
      <c r="AF452" s="87"/>
      <c r="AG452" s="87"/>
      <c r="AH452" s="87"/>
      <c r="AI452" s="87"/>
      <c r="AJ452" s="87"/>
      <c r="AK452" s="87"/>
      <c r="AL452" s="87"/>
    </row>
    <row r="453" spans="10:38" ht="15.75" customHeight="1">
      <c r="J453" s="87"/>
      <c r="O453" s="84"/>
      <c r="Q453" s="87"/>
      <c r="S453" s="87"/>
      <c r="T453" s="87"/>
      <c r="U453" s="87"/>
      <c r="V453" s="87"/>
      <c r="W453" s="87"/>
      <c r="X453" s="87"/>
      <c r="Y453" s="87"/>
      <c r="Z453" s="87"/>
      <c r="AA453" s="87"/>
      <c r="AB453" s="87"/>
      <c r="AC453" s="87"/>
      <c r="AD453" s="87"/>
      <c r="AE453" s="87"/>
      <c r="AF453" s="87"/>
      <c r="AG453" s="87"/>
      <c r="AH453" s="87"/>
      <c r="AI453" s="87"/>
      <c r="AJ453" s="87"/>
      <c r="AK453" s="87"/>
      <c r="AL453" s="87"/>
    </row>
    <row r="454" spans="10:38" ht="15.75" customHeight="1">
      <c r="J454" s="87"/>
      <c r="O454" s="84"/>
      <c r="Q454" s="87"/>
      <c r="S454" s="87"/>
      <c r="T454" s="87"/>
      <c r="U454" s="87"/>
      <c r="V454" s="87"/>
      <c r="W454" s="87"/>
      <c r="X454" s="87"/>
      <c r="Y454" s="87"/>
      <c r="Z454" s="87"/>
      <c r="AA454" s="87"/>
      <c r="AB454" s="87"/>
      <c r="AC454" s="87"/>
      <c r="AD454" s="87"/>
      <c r="AE454" s="87"/>
      <c r="AF454" s="87"/>
      <c r="AG454" s="87"/>
      <c r="AH454" s="87"/>
      <c r="AI454" s="87"/>
      <c r="AJ454" s="87"/>
      <c r="AK454" s="87"/>
      <c r="AL454" s="87"/>
    </row>
    <row r="455" spans="10:38" ht="15.75" customHeight="1">
      <c r="J455" s="87"/>
      <c r="O455" s="84"/>
      <c r="Q455" s="87"/>
      <c r="S455" s="87"/>
      <c r="T455" s="87"/>
      <c r="U455" s="87"/>
      <c r="V455" s="87"/>
      <c r="W455" s="87"/>
      <c r="X455" s="87"/>
      <c r="Y455" s="87"/>
      <c r="Z455" s="87"/>
      <c r="AA455" s="87"/>
      <c r="AB455" s="87"/>
      <c r="AC455" s="87"/>
      <c r="AD455" s="87"/>
      <c r="AE455" s="87"/>
      <c r="AF455" s="87"/>
      <c r="AG455" s="87"/>
      <c r="AH455" s="87"/>
      <c r="AI455" s="87"/>
      <c r="AJ455" s="87"/>
      <c r="AK455" s="87"/>
      <c r="AL455" s="87"/>
    </row>
    <row r="456" spans="10:38" ht="15.75" customHeight="1">
      <c r="J456" s="87"/>
      <c r="O456" s="84"/>
      <c r="Q456" s="87"/>
      <c r="S456" s="87"/>
      <c r="T456" s="87"/>
      <c r="U456" s="87"/>
      <c r="V456" s="87"/>
      <c r="W456" s="87"/>
      <c r="X456" s="87"/>
      <c r="Y456" s="87"/>
      <c r="Z456" s="87"/>
      <c r="AA456" s="87"/>
      <c r="AB456" s="87"/>
      <c r="AC456" s="87"/>
      <c r="AD456" s="87"/>
      <c r="AE456" s="87"/>
      <c r="AF456" s="87"/>
      <c r="AG456" s="87"/>
      <c r="AH456" s="87"/>
      <c r="AI456" s="87"/>
      <c r="AJ456" s="87"/>
      <c r="AK456" s="87"/>
      <c r="AL456" s="87"/>
    </row>
    <row r="457" spans="10:38" ht="15.75" customHeight="1">
      <c r="J457" s="87"/>
      <c r="O457" s="84"/>
      <c r="Q457" s="87"/>
      <c r="S457" s="87"/>
      <c r="T457" s="87"/>
      <c r="U457" s="87"/>
      <c r="V457" s="87"/>
      <c r="W457" s="87"/>
      <c r="X457" s="87"/>
      <c r="Y457" s="87"/>
      <c r="Z457" s="87"/>
      <c r="AA457" s="87"/>
      <c r="AB457" s="87"/>
      <c r="AC457" s="87"/>
      <c r="AD457" s="87"/>
      <c r="AE457" s="87"/>
      <c r="AF457" s="87"/>
      <c r="AG457" s="87"/>
      <c r="AH457" s="87"/>
      <c r="AI457" s="87"/>
      <c r="AJ457" s="87"/>
      <c r="AK457" s="87"/>
      <c r="AL457" s="87"/>
    </row>
    <row r="458" spans="10:38" ht="15.75" customHeight="1">
      <c r="J458" s="87"/>
      <c r="O458" s="84"/>
      <c r="Q458" s="87"/>
      <c r="S458" s="87"/>
      <c r="T458" s="87"/>
      <c r="U458" s="87"/>
      <c r="V458" s="87"/>
      <c r="W458" s="87"/>
      <c r="X458" s="87"/>
      <c r="Y458" s="87"/>
      <c r="Z458" s="87"/>
      <c r="AA458" s="87"/>
      <c r="AB458" s="87"/>
      <c r="AC458" s="87"/>
      <c r="AD458" s="87"/>
      <c r="AE458" s="87"/>
      <c r="AF458" s="87"/>
      <c r="AG458" s="87"/>
      <c r="AH458" s="87"/>
      <c r="AI458" s="87"/>
      <c r="AJ458" s="87"/>
      <c r="AK458" s="87"/>
      <c r="AL458" s="87"/>
    </row>
    <row r="459" spans="10:38" ht="15.75" customHeight="1">
      <c r="J459" s="87"/>
      <c r="O459" s="84"/>
      <c r="Q459" s="87"/>
      <c r="S459" s="87"/>
      <c r="T459" s="87"/>
      <c r="U459" s="87"/>
      <c r="V459" s="87"/>
      <c r="W459" s="87"/>
      <c r="X459" s="87"/>
      <c r="Y459" s="87"/>
      <c r="Z459" s="87"/>
      <c r="AA459" s="87"/>
      <c r="AB459" s="87"/>
      <c r="AC459" s="87"/>
      <c r="AD459" s="87"/>
      <c r="AE459" s="87"/>
      <c r="AF459" s="87"/>
      <c r="AG459" s="87"/>
      <c r="AH459" s="87"/>
      <c r="AI459" s="87"/>
      <c r="AJ459" s="87"/>
      <c r="AK459" s="87"/>
      <c r="AL459" s="87"/>
    </row>
    <row r="460" spans="10:38" ht="15.75" customHeight="1">
      <c r="J460" s="87"/>
      <c r="O460" s="84"/>
      <c r="Q460" s="87"/>
      <c r="S460" s="87"/>
      <c r="T460" s="87"/>
      <c r="U460" s="87"/>
      <c r="V460" s="87"/>
      <c r="W460" s="87"/>
      <c r="X460" s="87"/>
      <c r="Y460" s="87"/>
      <c r="Z460" s="87"/>
      <c r="AA460" s="87"/>
      <c r="AB460" s="87"/>
      <c r="AC460" s="87"/>
      <c r="AD460" s="87"/>
      <c r="AE460" s="87"/>
      <c r="AF460" s="87"/>
      <c r="AG460" s="87"/>
      <c r="AH460" s="87"/>
      <c r="AI460" s="87"/>
      <c r="AJ460" s="87"/>
      <c r="AK460" s="87"/>
      <c r="AL460" s="87"/>
    </row>
    <row r="461" spans="10:38" ht="15.75" customHeight="1">
      <c r="J461" s="87"/>
      <c r="O461" s="84"/>
      <c r="Q461" s="87"/>
      <c r="S461" s="87"/>
      <c r="T461" s="87"/>
      <c r="U461" s="87"/>
      <c r="V461" s="87"/>
      <c r="W461" s="87"/>
      <c r="X461" s="87"/>
      <c r="Y461" s="87"/>
      <c r="Z461" s="87"/>
      <c r="AA461" s="87"/>
      <c r="AB461" s="87"/>
      <c r="AC461" s="87"/>
      <c r="AD461" s="87"/>
      <c r="AE461" s="87"/>
      <c r="AF461" s="87"/>
      <c r="AG461" s="87"/>
      <c r="AH461" s="87"/>
      <c r="AI461" s="87"/>
      <c r="AJ461" s="87"/>
      <c r="AK461" s="87"/>
      <c r="AL461" s="87"/>
    </row>
    <row r="462" spans="10:38" ht="15.75" customHeight="1">
      <c r="J462" s="87"/>
      <c r="O462" s="84"/>
      <c r="Q462" s="87"/>
      <c r="S462" s="87"/>
      <c r="T462" s="87"/>
      <c r="U462" s="87"/>
      <c r="V462" s="87"/>
      <c r="W462" s="87"/>
      <c r="X462" s="87"/>
      <c r="Y462" s="87"/>
      <c r="Z462" s="87"/>
      <c r="AA462" s="87"/>
      <c r="AB462" s="87"/>
      <c r="AC462" s="87"/>
      <c r="AD462" s="87"/>
      <c r="AE462" s="87"/>
      <c r="AF462" s="87"/>
      <c r="AG462" s="87"/>
      <c r="AH462" s="87"/>
      <c r="AI462" s="87"/>
      <c r="AJ462" s="87"/>
      <c r="AK462" s="87"/>
      <c r="AL462" s="87"/>
    </row>
    <row r="463" spans="10:38" ht="15.75" customHeight="1">
      <c r="J463" s="87"/>
      <c r="O463" s="84"/>
      <c r="Q463" s="87"/>
      <c r="S463" s="87"/>
      <c r="T463" s="87"/>
      <c r="U463" s="87"/>
      <c r="V463" s="87"/>
      <c r="W463" s="87"/>
      <c r="X463" s="87"/>
      <c r="Y463" s="87"/>
      <c r="Z463" s="87"/>
      <c r="AA463" s="87"/>
      <c r="AB463" s="87"/>
      <c r="AC463" s="87"/>
      <c r="AD463" s="87"/>
      <c r="AE463" s="87"/>
      <c r="AF463" s="87"/>
      <c r="AG463" s="87"/>
      <c r="AH463" s="87"/>
      <c r="AI463" s="87"/>
      <c r="AJ463" s="87"/>
      <c r="AK463" s="87"/>
      <c r="AL463" s="87"/>
    </row>
    <row r="464" spans="10:38" ht="15.75" customHeight="1">
      <c r="J464" s="87"/>
      <c r="O464" s="84"/>
      <c r="Q464" s="87"/>
      <c r="S464" s="87"/>
      <c r="T464" s="87"/>
      <c r="U464" s="87"/>
      <c r="V464" s="87"/>
      <c r="W464" s="87"/>
      <c r="X464" s="87"/>
      <c r="Y464" s="87"/>
      <c r="Z464" s="87"/>
      <c r="AA464" s="87"/>
      <c r="AB464" s="87"/>
      <c r="AC464" s="87"/>
      <c r="AD464" s="87"/>
      <c r="AE464" s="87"/>
      <c r="AF464" s="87"/>
      <c r="AG464" s="87"/>
      <c r="AH464" s="87"/>
      <c r="AI464" s="87"/>
      <c r="AJ464" s="87"/>
      <c r="AK464" s="87"/>
      <c r="AL464" s="87"/>
    </row>
    <row r="465" spans="10:38" ht="15.75" customHeight="1">
      <c r="J465" s="87"/>
      <c r="O465" s="84"/>
      <c r="Q465" s="87"/>
      <c r="S465" s="87"/>
      <c r="T465" s="87"/>
      <c r="U465" s="87"/>
      <c r="V465" s="87"/>
      <c r="W465" s="87"/>
      <c r="X465" s="87"/>
      <c r="Y465" s="87"/>
      <c r="Z465" s="87"/>
      <c r="AA465" s="87"/>
      <c r="AB465" s="87"/>
      <c r="AC465" s="87"/>
      <c r="AD465" s="87"/>
      <c r="AE465" s="87"/>
      <c r="AF465" s="87"/>
      <c r="AG465" s="87"/>
      <c r="AH465" s="87"/>
      <c r="AI465" s="87"/>
      <c r="AJ465" s="87"/>
      <c r="AK465" s="87"/>
      <c r="AL465" s="87"/>
    </row>
    <row r="466" spans="10:38" ht="15.75" customHeight="1">
      <c r="J466" s="87"/>
      <c r="O466" s="84"/>
      <c r="Q466" s="87"/>
      <c r="S466" s="87"/>
      <c r="T466" s="87"/>
      <c r="U466" s="87"/>
      <c r="V466" s="87"/>
      <c r="W466" s="87"/>
      <c r="X466" s="87"/>
      <c r="Y466" s="87"/>
      <c r="Z466" s="87"/>
      <c r="AA466" s="87"/>
      <c r="AB466" s="87"/>
      <c r="AC466" s="87"/>
      <c r="AD466" s="87"/>
      <c r="AE466" s="87"/>
      <c r="AF466" s="87"/>
      <c r="AG466" s="87"/>
      <c r="AH466" s="87"/>
      <c r="AI466" s="87"/>
      <c r="AJ466" s="87"/>
      <c r="AK466" s="87"/>
      <c r="AL466" s="87"/>
    </row>
    <row r="467" spans="10:38" ht="15.75" customHeight="1">
      <c r="J467" s="87"/>
      <c r="O467" s="84"/>
      <c r="Q467" s="87"/>
      <c r="S467" s="87"/>
      <c r="T467" s="87"/>
      <c r="U467" s="87"/>
      <c r="V467" s="87"/>
      <c r="W467" s="87"/>
      <c r="X467" s="87"/>
      <c r="Y467" s="87"/>
      <c r="Z467" s="87"/>
      <c r="AA467" s="87"/>
      <c r="AB467" s="87"/>
      <c r="AC467" s="87"/>
      <c r="AD467" s="87"/>
      <c r="AE467" s="87"/>
      <c r="AF467" s="87"/>
      <c r="AG467" s="87"/>
      <c r="AH467" s="87"/>
      <c r="AI467" s="87"/>
      <c r="AJ467" s="87"/>
      <c r="AK467" s="87"/>
      <c r="AL467" s="87"/>
    </row>
    <row r="468" spans="10:38" ht="15.75" customHeight="1">
      <c r="J468" s="87"/>
      <c r="O468" s="84"/>
      <c r="Q468" s="87"/>
      <c r="S468" s="87"/>
      <c r="T468" s="87"/>
      <c r="U468" s="87"/>
      <c r="V468" s="87"/>
      <c r="W468" s="87"/>
      <c r="X468" s="87"/>
      <c r="Y468" s="87"/>
      <c r="Z468" s="87"/>
      <c r="AA468" s="87"/>
      <c r="AB468" s="87"/>
      <c r="AC468" s="87"/>
      <c r="AD468" s="87"/>
      <c r="AE468" s="87"/>
      <c r="AF468" s="87"/>
      <c r="AG468" s="87"/>
      <c r="AH468" s="87"/>
      <c r="AI468" s="87"/>
      <c r="AJ468" s="87"/>
      <c r="AK468" s="87"/>
      <c r="AL468" s="87"/>
    </row>
    <row r="469" spans="10:38" ht="15.75" customHeight="1">
      <c r="J469" s="87"/>
      <c r="O469" s="84"/>
      <c r="Q469" s="87"/>
      <c r="S469" s="87"/>
      <c r="T469" s="87"/>
      <c r="U469" s="87"/>
      <c r="V469" s="87"/>
      <c r="W469" s="87"/>
      <c r="X469" s="87"/>
      <c r="Y469" s="87"/>
      <c r="Z469" s="87"/>
      <c r="AA469" s="87"/>
      <c r="AB469" s="87"/>
      <c r="AC469" s="87"/>
      <c r="AD469" s="87"/>
      <c r="AE469" s="87"/>
      <c r="AF469" s="87"/>
      <c r="AG469" s="87"/>
      <c r="AH469" s="87"/>
      <c r="AI469" s="87"/>
      <c r="AJ469" s="87"/>
      <c r="AK469" s="87"/>
      <c r="AL469" s="87"/>
    </row>
    <row r="470" spans="10:38" ht="15.75" customHeight="1">
      <c r="J470" s="87"/>
      <c r="O470" s="84"/>
      <c r="Q470" s="87"/>
      <c r="S470" s="87"/>
      <c r="T470" s="87"/>
      <c r="U470" s="87"/>
      <c r="V470" s="87"/>
      <c r="W470" s="87"/>
      <c r="X470" s="87"/>
      <c r="Y470" s="87"/>
      <c r="Z470" s="87"/>
      <c r="AA470" s="87"/>
      <c r="AB470" s="87"/>
      <c r="AC470" s="87"/>
      <c r="AD470" s="87"/>
      <c r="AE470" s="87"/>
      <c r="AF470" s="87"/>
      <c r="AG470" s="87"/>
      <c r="AH470" s="87"/>
      <c r="AI470" s="87"/>
      <c r="AJ470" s="87"/>
      <c r="AK470" s="87"/>
      <c r="AL470" s="87"/>
    </row>
    <row r="471" spans="10:38" ht="15.75" customHeight="1">
      <c r="J471" s="87"/>
      <c r="O471" s="84"/>
      <c r="Q471" s="87"/>
      <c r="S471" s="87"/>
      <c r="T471" s="87"/>
      <c r="U471" s="87"/>
      <c r="V471" s="87"/>
      <c r="W471" s="87"/>
      <c r="X471" s="87"/>
      <c r="Y471" s="87"/>
      <c r="Z471" s="87"/>
      <c r="AA471" s="87"/>
      <c r="AB471" s="87"/>
      <c r="AC471" s="87"/>
      <c r="AD471" s="87"/>
      <c r="AE471" s="87"/>
      <c r="AF471" s="87"/>
      <c r="AG471" s="87"/>
      <c r="AH471" s="87"/>
      <c r="AI471" s="87"/>
      <c r="AJ471" s="87"/>
      <c r="AK471" s="87"/>
      <c r="AL471" s="87"/>
    </row>
    <row r="472" spans="10:38" ht="15.75" customHeight="1">
      <c r="J472" s="87"/>
      <c r="O472" s="84"/>
      <c r="Q472" s="87"/>
      <c r="S472" s="87"/>
      <c r="T472" s="87"/>
      <c r="U472" s="87"/>
      <c r="V472" s="87"/>
      <c r="W472" s="87"/>
      <c r="X472" s="87"/>
      <c r="Y472" s="87"/>
      <c r="Z472" s="87"/>
      <c r="AA472" s="87"/>
      <c r="AB472" s="87"/>
      <c r="AC472" s="87"/>
      <c r="AD472" s="87"/>
      <c r="AE472" s="87"/>
      <c r="AF472" s="87"/>
      <c r="AG472" s="87"/>
      <c r="AH472" s="87"/>
      <c r="AI472" s="87"/>
      <c r="AJ472" s="87"/>
      <c r="AK472" s="87"/>
      <c r="AL472" s="87"/>
    </row>
    <row r="473" spans="10:38" ht="15.75" customHeight="1">
      <c r="J473" s="87"/>
      <c r="O473" s="84"/>
      <c r="Q473" s="87"/>
      <c r="S473" s="87"/>
      <c r="T473" s="87"/>
      <c r="U473" s="87"/>
      <c r="V473" s="87"/>
      <c r="W473" s="87"/>
      <c r="X473" s="87"/>
      <c r="Y473" s="87"/>
      <c r="Z473" s="87"/>
      <c r="AA473" s="87"/>
      <c r="AB473" s="87"/>
      <c r="AC473" s="87"/>
      <c r="AD473" s="87"/>
      <c r="AE473" s="87"/>
      <c r="AF473" s="87"/>
      <c r="AG473" s="87"/>
      <c r="AH473" s="87"/>
      <c r="AI473" s="87"/>
      <c r="AJ473" s="87"/>
      <c r="AK473" s="87"/>
      <c r="AL473" s="87"/>
    </row>
    <row r="474" spans="10:38" ht="15.75" customHeight="1">
      <c r="J474" s="87"/>
      <c r="O474" s="84"/>
      <c r="Q474" s="87"/>
      <c r="S474" s="87"/>
      <c r="T474" s="87"/>
      <c r="U474" s="87"/>
      <c r="V474" s="87"/>
      <c r="W474" s="87"/>
      <c r="X474" s="87"/>
      <c r="Y474" s="87"/>
      <c r="Z474" s="87"/>
      <c r="AA474" s="87"/>
      <c r="AB474" s="87"/>
      <c r="AC474" s="87"/>
      <c r="AD474" s="87"/>
      <c r="AE474" s="87"/>
      <c r="AF474" s="87"/>
      <c r="AG474" s="87"/>
      <c r="AH474" s="87"/>
      <c r="AI474" s="87"/>
      <c r="AJ474" s="87"/>
      <c r="AK474" s="87"/>
      <c r="AL474" s="87"/>
    </row>
    <row r="475" spans="10:38" ht="15.75" customHeight="1">
      <c r="J475" s="87"/>
      <c r="O475" s="84"/>
      <c r="Q475" s="87"/>
      <c r="S475" s="87"/>
      <c r="T475" s="87"/>
      <c r="U475" s="87"/>
      <c r="V475" s="87"/>
      <c r="W475" s="87"/>
      <c r="X475" s="87"/>
      <c r="Y475" s="87"/>
      <c r="Z475" s="87"/>
      <c r="AA475" s="87"/>
      <c r="AB475" s="87"/>
      <c r="AC475" s="87"/>
      <c r="AD475" s="87"/>
      <c r="AE475" s="87"/>
      <c r="AF475" s="87"/>
      <c r="AG475" s="87"/>
      <c r="AH475" s="87"/>
      <c r="AI475" s="87"/>
      <c r="AJ475" s="87"/>
      <c r="AK475" s="87"/>
      <c r="AL475" s="87"/>
    </row>
    <row r="476" spans="10:38" ht="15.75" customHeight="1">
      <c r="J476" s="87"/>
      <c r="O476" s="84"/>
      <c r="Q476" s="87"/>
      <c r="S476" s="87"/>
      <c r="T476" s="87"/>
      <c r="U476" s="87"/>
      <c r="V476" s="87"/>
      <c r="W476" s="87"/>
      <c r="X476" s="87"/>
      <c r="Y476" s="87"/>
      <c r="Z476" s="87"/>
      <c r="AA476" s="87"/>
      <c r="AB476" s="87"/>
      <c r="AC476" s="87"/>
      <c r="AD476" s="87"/>
      <c r="AE476" s="87"/>
      <c r="AF476" s="87"/>
      <c r="AG476" s="87"/>
      <c r="AH476" s="87"/>
      <c r="AI476" s="87"/>
      <c r="AJ476" s="87"/>
      <c r="AK476" s="87"/>
      <c r="AL476" s="87"/>
    </row>
    <row r="477" spans="10:38" ht="15.75" customHeight="1">
      <c r="J477" s="87"/>
      <c r="O477" s="84"/>
      <c r="Q477" s="87"/>
      <c r="S477" s="87"/>
      <c r="T477" s="87"/>
      <c r="U477" s="87"/>
      <c r="V477" s="87"/>
      <c r="W477" s="87"/>
      <c r="X477" s="87"/>
      <c r="Y477" s="87"/>
      <c r="Z477" s="87"/>
      <c r="AA477" s="87"/>
      <c r="AB477" s="87"/>
      <c r="AC477" s="87"/>
      <c r="AD477" s="87"/>
      <c r="AE477" s="87"/>
      <c r="AF477" s="87"/>
      <c r="AG477" s="87"/>
      <c r="AH477" s="87"/>
      <c r="AI477" s="87"/>
      <c r="AJ477" s="87"/>
      <c r="AK477" s="87"/>
      <c r="AL477" s="87"/>
    </row>
    <row r="478" spans="10:38" ht="15.75" customHeight="1">
      <c r="J478" s="87"/>
      <c r="O478" s="84"/>
      <c r="Q478" s="87"/>
      <c r="S478" s="87"/>
      <c r="T478" s="87"/>
      <c r="U478" s="87"/>
      <c r="V478" s="87"/>
      <c r="W478" s="87"/>
      <c r="X478" s="87"/>
      <c r="Y478" s="87"/>
      <c r="Z478" s="87"/>
      <c r="AA478" s="87"/>
      <c r="AB478" s="87"/>
      <c r="AC478" s="87"/>
      <c r="AD478" s="87"/>
      <c r="AE478" s="87"/>
      <c r="AF478" s="87"/>
      <c r="AG478" s="87"/>
      <c r="AH478" s="87"/>
      <c r="AI478" s="87"/>
      <c r="AJ478" s="87"/>
      <c r="AK478" s="87"/>
      <c r="AL478" s="87"/>
    </row>
    <row r="479" spans="10:38" ht="15.75" customHeight="1">
      <c r="J479" s="87"/>
      <c r="O479" s="84"/>
      <c r="Q479" s="87"/>
      <c r="S479" s="87"/>
      <c r="T479" s="87"/>
      <c r="U479" s="87"/>
      <c r="V479" s="87"/>
      <c r="W479" s="87"/>
      <c r="X479" s="87"/>
      <c r="Y479" s="87"/>
      <c r="Z479" s="87"/>
      <c r="AA479" s="87"/>
      <c r="AB479" s="87"/>
      <c r="AC479" s="87"/>
      <c r="AD479" s="87"/>
      <c r="AE479" s="87"/>
      <c r="AF479" s="87"/>
      <c r="AG479" s="87"/>
      <c r="AH479" s="87"/>
      <c r="AI479" s="87"/>
      <c r="AJ479" s="87"/>
      <c r="AK479" s="87"/>
      <c r="AL479" s="87"/>
    </row>
    <row r="480" spans="10:38" ht="15.75" customHeight="1">
      <c r="J480" s="87"/>
      <c r="O480" s="84"/>
      <c r="Q480" s="87"/>
      <c r="S480" s="87"/>
      <c r="T480" s="87"/>
      <c r="U480" s="87"/>
      <c r="V480" s="87"/>
      <c r="W480" s="87"/>
      <c r="X480" s="87"/>
      <c r="Y480" s="87"/>
      <c r="Z480" s="87"/>
      <c r="AA480" s="87"/>
      <c r="AB480" s="87"/>
      <c r="AC480" s="87"/>
      <c r="AD480" s="87"/>
      <c r="AE480" s="87"/>
      <c r="AF480" s="87"/>
      <c r="AG480" s="87"/>
      <c r="AH480" s="87"/>
      <c r="AI480" s="87"/>
      <c r="AJ480" s="87"/>
      <c r="AK480" s="87"/>
      <c r="AL480" s="87"/>
    </row>
    <row r="481" spans="10:38" ht="15.75" customHeight="1">
      <c r="J481" s="87"/>
      <c r="O481" s="84"/>
      <c r="Q481" s="87"/>
      <c r="S481" s="87"/>
      <c r="T481" s="87"/>
      <c r="U481" s="87"/>
      <c r="V481" s="87"/>
      <c r="W481" s="87"/>
      <c r="X481" s="87"/>
      <c r="Y481" s="87"/>
      <c r="Z481" s="87"/>
      <c r="AA481" s="87"/>
      <c r="AB481" s="87"/>
      <c r="AC481" s="87"/>
      <c r="AD481" s="87"/>
      <c r="AE481" s="87"/>
      <c r="AF481" s="87"/>
      <c r="AG481" s="87"/>
      <c r="AH481" s="87"/>
      <c r="AI481" s="87"/>
      <c r="AJ481" s="87"/>
      <c r="AK481" s="87"/>
      <c r="AL481" s="87"/>
    </row>
    <row r="482" spans="10:38" ht="15.75" customHeight="1">
      <c r="J482" s="87"/>
      <c r="O482" s="84"/>
      <c r="Q482" s="87"/>
      <c r="S482" s="87"/>
      <c r="T482" s="87"/>
      <c r="U482" s="87"/>
      <c r="V482" s="87"/>
      <c r="W482" s="87"/>
      <c r="X482" s="87"/>
      <c r="Y482" s="87"/>
      <c r="Z482" s="87"/>
      <c r="AA482" s="87"/>
      <c r="AB482" s="87"/>
      <c r="AC482" s="87"/>
      <c r="AD482" s="87"/>
      <c r="AE482" s="87"/>
      <c r="AF482" s="87"/>
      <c r="AG482" s="87"/>
      <c r="AH482" s="87"/>
      <c r="AI482" s="87"/>
      <c r="AJ482" s="87"/>
      <c r="AK482" s="87"/>
      <c r="AL482" s="87"/>
    </row>
    <row r="483" spans="10:38" ht="15.75" customHeight="1">
      <c r="J483" s="87"/>
      <c r="O483" s="84"/>
      <c r="Q483" s="87"/>
      <c r="S483" s="87"/>
      <c r="T483" s="87"/>
      <c r="U483" s="87"/>
      <c r="V483" s="87"/>
      <c r="W483" s="87"/>
      <c r="X483" s="87"/>
      <c r="Y483" s="87"/>
      <c r="Z483" s="87"/>
      <c r="AA483" s="87"/>
      <c r="AB483" s="87"/>
      <c r="AC483" s="87"/>
      <c r="AD483" s="87"/>
      <c r="AE483" s="87"/>
      <c r="AF483" s="87"/>
      <c r="AG483" s="87"/>
      <c r="AH483" s="87"/>
      <c r="AI483" s="87"/>
      <c r="AJ483" s="87"/>
      <c r="AK483" s="87"/>
      <c r="AL483" s="87"/>
    </row>
    <row r="484" spans="10:38" ht="15.75" customHeight="1">
      <c r="J484" s="87"/>
      <c r="O484" s="84"/>
      <c r="Q484" s="87"/>
      <c r="S484" s="87"/>
      <c r="T484" s="87"/>
      <c r="U484" s="87"/>
      <c r="V484" s="87"/>
      <c r="W484" s="87"/>
      <c r="X484" s="87"/>
      <c r="Y484" s="87"/>
      <c r="Z484" s="87"/>
      <c r="AA484" s="87"/>
      <c r="AB484" s="87"/>
      <c r="AC484" s="87"/>
      <c r="AD484" s="87"/>
      <c r="AE484" s="87"/>
      <c r="AF484" s="87"/>
      <c r="AG484" s="87"/>
      <c r="AH484" s="87"/>
      <c r="AI484" s="87"/>
      <c r="AJ484" s="87"/>
      <c r="AK484" s="87"/>
      <c r="AL484" s="87"/>
    </row>
    <row r="485" spans="10:38" ht="15.75" customHeight="1">
      <c r="J485" s="87"/>
      <c r="O485" s="84"/>
      <c r="Q485" s="87"/>
      <c r="S485" s="87"/>
      <c r="T485" s="87"/>
      <c r="U485" s="87"/>
      <c r="V485" s="87"/>
      <c r="W485" s="87"/>
      <c r="X485" s="87"/>
      <c r="Y485" s="87"/>
      <c r="Z485" s="87"/>
      <c r="AA485" s="87"/>
      <c r="AB485" s="87"/>
      <c r="AC485" s="87"/>
      <c r="AD485" s="87"/>
      <c r="AE485" s="87"/>
      <c r="AF485" s="87"/>
      <c r="AG485" s="87"/>
      <c r="AH485" s="87"/>
      <c r="AI485" s="87"/>
      <c r="AJ485" s="87"/>
      <c r="AK485" s="87"/>
      <c r="AL485" s="87"/>
    </row>
    <row r="486" spans="10:38" ht="15.75" customHeight="1">
      <c r="J486" s="87"/>
      <c r="O486" s="84"/>
      <c r="Q486" s="87"/>
      <c r="S486" s="87"/>
      <c r="T486" s="87"/>
      <c r="U486" s="87"/>
      <c r="V486" s="87"/>
      <c r="W486" s="87"/>
      <c r="X486" s="87"/>
      <c r="Y486" s="87"/>
      <c r="Z486" s="87"/>
      <c r="AA486" s="87"/>
      <c r="AB486" s="87"/>
      <c r="AC486" s="87"/>
      <c r="AD486" s="87"/>
      <c r="AE486" s="87"/>
      <c r="AF486" s="87"/>
      <c r="AG486" s="87"/>
      <c r="AH486" s="87"/>
      <c r="AI486" s="87"/>
      <c r="AJ486" s="87"/>
      <c r="AK486" s="87"/>
      <c r="AL486" s="87"/>
    </row>
    <row r="487" spans="10:38" ht="15.75" customHeight="1">
      <c r="J487" s="87"/>
      <c r="O487" s="84"/>
      <c r="Q487" s="87"/>
      <c r="S487" s="87"/>
      <c r="T487" s="87"/>
      <c r="U487" s="87"/>
      <c r="V487" s="87"/>
      <c r="W487" s="87"/>
      <c r="X487" s="87"/>
      <c r="Y487" s="87"/>
      <c r="Z487" s="87"/>
      <c r="AA487" s="87"/>
      <c r="AB487" s="87"/>
      <c r="AC487" s="87"/>
      <c r="AD487" s="87"/>
      <c r="AE487" s="87"/>
      <c r="AF487" s="87"/>
      <c r="AG487" s="87"/>
      <c r="AH487" s="87"/>
      <c r="AI487" s="87"/>
      <c r="AJ487" s="87"/>
      <c r="AK487" s="87"/>
      <c r="AL487" s="87"/>
    </row>
    <row r="488" spans="10:38" ht="15.75" customHeight="1">
      <c r="J488" s="87"/>
      <c r="O488" s="84"/>
      <c r="Q488" s="87"/>
      <c r="S488" s="87"/>
      <c r="T488" s="87"/>
      <c r="U488" s="87"/>
      <c r="V488" s="87"/>
      <c r="W488" s="87"/>
      <c r="X488" s="87"/>
      <c r="Y488" s="87"/>
      <c r="Z488" s="87"/>
      <c r="AA488" s="87"/>
      <c r="AB488" s="87"/>
      <c r="AC488" s="87"/>
      <c r="AD488" s="87"/>
      <c r="AE488" s="87"/>
      <c r="AF488" s="87"/>
      <c r="AG488" s="87"/>
      <c r="AH488" s="87"/>
      <c r="AI488" s="87"/>
      <c r="AJ488" s="87"/>
      <c r="AK488" s="87"/>
      <c r="AL488" s="87"/>
    </row>
    <row r="489" spans="10:38" ht="15.75" customHeight="1">
      <c r="J489" s="87"/>
      <c r="O489" s="84"/>
      <c r="Q489" s="87"/>
      <c r="S489" s="87"/>
      <c r="T489" s="87"/>
      <c r="U489" s="87"/>
      <c r="V489" s="87"/>
      <c r="W489" s="87"/>
      <c r="X489" s="87"/>
      <c r="Y489" s="87"/>
      <c r="Z489" s="87"/>
      <c r="AA489" s="87"/>
      <c r="AB489" s="87"/>
      <c r="AC489" s="87"/>
      <c r="AD489" s="87"/>
      <c r="AE489" s="87"/>
      <c r="AF489" s="87"/>
      <c r="AG489" s="87"/>
      <c r="AH489" s="87"/>
      <c r="AI489" s="87"/>
      <c r="AJ489" s="87"/>
      <c r="AK489" s="87"/>
      <c r="AL489" s="87"/>
    </row>
    <row r="490" spans="10:38" ht="15.75" customHeight="1">
      <c r="J490" s="87"/>
      <c r="O490" s="84"/>
      <c r="Q490" s="87"/>
      <c r="S490" s="87"/>
      <c r="T490" s="87"/>
      <c r="U490" s="87"/>
      <c r="V490" s="87"/>
      <c r="W490" s="87"/>
      <c r="X490" s="87"/>
      <c r="Y490" s="87"/>
      <c r="Z490" s="87"/>
      <c r="AA490" s="87"/>
      <c r="AB490" s="87"/>
      <c r="AC490" s="87"/>
      <c r="AD490" s="87"/>
      <c r="AE490" s="87"/>
      <c r="AF490" s="87"/>
      <c r="AG490" s="87"/>
      <c r="AH490" s="87"/>
      <c r="AI490" s="87"/>
      <c r="AJ490" s="87"/>
      <c r="AK490" s="87"/>
      <c r="AL490" s="87"/>
    </row>
    <row r="491" spans="10:38" ht="15.75" customHeight="1">
      <c r="J491" s="87"/>
      <c r="O491" s="84"/>
      <c r="Q491" s="87"/>
      <c r="S491" s="87"/>
      <c r="T491" s="87"/>
      <c r="U491" s="87"/>
      <c r="V491" s="87"/>
      <c r="W491" s="87"/>
      <c r="X491" s="87"/>
      <c r="Y491" s="87"/>
      <c r="Z491" s="87"/>
      <c r="AA491" s="87"/>
      <c r="AB491" s="87"/>
      <c r="AC491" s="87"/>
      <c r="AD491" s="87"/>
      <c r="AE491" s="87"/>
      <c r="AF491" s="87"/>
      <c r="AG491" s="87"/>
      <c r="AH491" s="87"/>
      <c r="AI491" s="87"/>
      <c r="AJ491" s="87"/>
      <c r="AK491" s="87"/>
      <c r="AL491" s="87"/>
    </row>
    <row r="492" spans="10:38" ht="15.75" customHeight="1">
      <c r="J492" s="87"/>
      <c r="O492" s="84"/>
      <c r="Q492" s="87"/>
      <c r="S492" s="87"/>
      <c r="T492" s="87"/>
      <c r="U492" s="87"/>
      <c r="V492" s="87"/>
      <c r="W492" s="87"/>
      <c r="X492" s="87"/>
      <c r="Y492" s="87"/>
      <c r="Z492" s="87"/>
      <c r="AA492" s="87"/>
      <c r="AB492" s="87"/>
      <c r="AC492" s="87"/>
      <c r="AD492" s="87"/>
      <c r="AE492" s="87"/>
      <c r="AF492" s="87"/>
      <c r="AG492" s="87"/>
      <c r="AH492" s="87"/>
      <c r="AI492" s="87"/>
      <c r="AJ492" s="87"/>
      <c r="AK492" s="87"/>
      <c r="AL492" s="87"/>
    </row>
    <row r="493" spans="10:38" ht="15.75" customHeight="1">
      <c r="J493" s="87"/>
      <c r="O493" s="84"/>
      <c r="Q493" s="87"/>
      <c r="S493" s="87"/>
      <c r="T493" s="87"/>
      <c r="U493" s="87"/>
      <c r="V493" s="87"/>
      <c r="W493" s="87"/>
      <c r="X493" s="87"/>
      <c r="Y493" s="87"/>
      <c r="Z493" s="87"/>
      <c r="AA493" s="87"/>
      <c r="AB493" s="87"/>
      <c r="AC493" s="87"/>
      <c r="AD493" s="87"/>
      <c r="AE493" s="87"/>
      <c r="AF493" s="87"/>
      <c r="AG493" s="87"/>
      <c r="AH493" s="87"/>
      <c r="AI493" s="87"/>
      <c r="AJ493" s="87"/>
      <c r="AK493" s="87"/>
      <c r="AL493" s="87"/>
    </row>
    <row r="494" spans="10:38" ht="15.75" customHeight="1">
      <c r="J494" s="87"/>
      <c r="O494" s="84"/>
      <c r="Q494" s="87"/>
      <c r="S494" s="87"/>
      <c r="T494" s="87"/>
      <c r="U494" s="87"/>
      <c r="V494" s="87"/>
      <c r="W494" s="87"/>
      <c r="X494" s="87"/>
      <c r="Y494" s="87"/>
      <c r="Z494" s="87"/>
      <c r="AA494" s="87"/>
      <c r="AB494" s="87"/>
      <c r="AC494" s="87"/>
      <c r="AD494" s="87"/>
      <c r="AE494" s="87"/>
      <c r="AF494" s="87"/>
      <c r="AG494" s="87"/>
      <c r="AH494" s="87"/>
      <c r="AI494" s="87"/>
      <c r="AJ494" s="87"/>
      <c r="AK494" s="87"/>
      <c r="AL494" s="87"/>
    </row>
    <row r="495" spans="10:38" ht="15.75" customHeight="1">
      <c r="J495" s="87"/>
      <c r="O495" s="84"/>
      <c r="Q495" s="87"/>
      <c r="S495" s="87"/>
      <c r="T495" s="87"/>
      <c r="U495" s="87"/>
      <c r="V495" s="87"/>
      <c r="W495" s="87"/>
      <c r="X495" s="87"/>
      <c r="Y495" s="87"/>
      <c r="Z495" s="87"/>
      <c r="AA495" s="87"/>
      <c r="AB495" s="87"/>
      <c r="AC495" s="87"/>
      <c r="AD495" s="87"/>
      <c r="AE495" s="87"/>
      <c r="AF495" s="87"/>
      <c r="AG495" s="87"/>
      <c r="AH495" s="87"/>
      <c r="AI495" s="87"/>
      <c r="AJ495" s="87"/>
      <c r="AK495" s="87"/>
      <c r="AL495" s="87"/>
    </row>
    <row r="496" spans="10:38" ht="15.75" customHeight="1">
      <c r="J496" s="87"/>
      <c r="O496" s="84"/>
      <c r="Q496" s="87"/>
      <c r="S496" s="87"/>
      <c r="T496" s="87"/>
      <c r="U496" s="87"/>
      <c r="V496" s="87"/>
      <c r="W496" s="87"/>
      <c r="X496" s="87"/>
      <c r="Y496" s="87"/>
      <c r="Z496" s="87"/>
      <c r="AA496" s="87"/>
      <c r="AB496" s="87"/>
      <c r="AC496" s="87"/>
      <c r="AD496" s="87"/>
      <c r="AE496" s="87"/>
      <c r="AF496" s="87"/>
      <c r="AG496" s="87"/>
      <c r="AH496" s="87"/>
      <c r="AI496" s="87"/>
      <c r="AJ496" s="87"/>
      <c r="AK496" s="87"/>
      <c r="AL496" s="87"/>
    </row>
    <row r="497" spans="10:38" ht="15.75" customHeight="1">
      <c r="J497" s="87"/>
      <c r="O497" s="84"/>
      <c r="Q497" s="87"/>
      <c r="S497" s="87"/>
      <c r="T497" s="87"/>
      <c r="U497" s="87"/>
      <c r="V497" s="87"/>
      <c r="W497" s="87"/>
      <c r="X497" s="87"/>
      <c r="Y497" s="87"/>
      <c r="Z497" s="87"/>
      <c r="AA497" s="87"/>
      <c r="AB497" s="87"/>
      <c r="AC497" s="87"/>
      <c r="AD497" s="87"/>
      <c r="AE497" s="87"/>
      <c r="AF497" s="87"/>
      <c r="AG497" s="87"/>
      <c r="AH497" s="87"/>
      <c r="AI497" s="87"/>
      <c r="AJ497" s="87"/>
      <c r="AK497" s="87"/>
      <c r="AL497" s="87"/>
    </row>
    <row r="498" spans="10:38" ht="15.75" customHeight="1">
      <c r="J498" s="87"/>
      <c r="O498" s="84"/>
      <c r="Q498" s="87"/>
      <c r="S498" s="87"/>
      <c r="T498" s="87"/>
      <c r="U498" s="87"/>
      <c r="V498" s="87"/>
      <c r="W498" s="87"/>
      <c r="X498" s="87"/>
      <c r="Y498" s="87"/>
      <c r="Z498" s="87"/>
      <c r="AA498" s="87"/>
      <c r="AB498" s="87"/>
      <c r="AC498" s="87"/>
      <c r="AD498" s="87"/>
      <c r="AE498" s="87"/>
      <c r="AF498" s="87"/>
      <c r="AG498" s="87"/>
      <c r="AH498" s="87"/>
      <c r="AI498" s="87"/>
      <c r="AJ498" s="87"/>
      <c r="AK498" s="87"/>
      <c r="AL498" s="87"/>
    </row>
    <row r="499" spans="10:38" ht="15.75" customHeight="1">
      <c r="J499" s="87"/>
      <c r="O499" s="84"/>
      <c r="Q499" s="87"/>
      <c r="S499" s="87"/>
      <c r="T499" s="87"/>
      <c r="U499" s="87"/>
      <c r="V499" s="87"/>
      <c r="W499" s="87"/>
      <c r="X499" s="87"/>
      <c r="Y499" s="87"/>
      <c r="Z499" s="87"/>
      <c r="AA499" s="87"/>
      <c r="AB499" s="87"/>
      <c r="AC499" s="87"/>
      <c r="AD499" s="87"/>
      <c r="AE499" s="87"/>
      <c r="AF499" s="87"/>
      <c r="AG499" s="87"/>
      <c r="AH499" s="87"/>
      <c r="AI499" s="87"/>
      <c r="AJ499" s="87"/>
      <c r="AK499" s="87"/>
      <c r="AL499" s="87"/>
    </row>
    <row r="500" spans="10:38" ht="15.75" customHeight="1">
      <c r="J500" s="87"/>
      <c r="O500" s="84"/>
      <c r="Q500" s="87"/>
      <c r="S500" s="87"/>
      <c r="T500" s="87"/>
      <c r="U500" s="87"/>
      <c r="V500" s="87"/>
      <c r="W500" s="87"/>
      <c r="X500" s="87"/>
      <c r="Y500" s="87"/>
      <c r="Z500" s="87"/>
      <c r="AA500" s="87"/>
      <c r="AB500" s="87"/>
      <c r="AC500" s="87"/>
      <c r="AD500" s="87"/>
      <c r="AE500" s="87"/>
      <c r="AF500" s="87"/>
      <c r="AG500" s="87"/>
      <c r="AH500" s="87"/>
      <c r="AI500" s="87"/>
      <c r="AJ500" s="87"/>
      <c r="AK500" s="87"/>
      <c r="AL500" s="87"/>
    </row>
    <row r="501" spans="10:38" ht="15.75" customHeight="1">
      <c r="J501" s="87"/>
      <c r="O501" s="84"/>
      <c r="Q501" s="87"/>
      <c r="S501" s="87"/>
      <c r="T501" s="87"/>
      <c r="U501" s="87"/>
      <c r="V501" s="87"/>
      <c r="W501" s="87"/>
      <c r="X501" s="87"/>
      <c r="Y501" s="87"/>
      <c r="Z501" s="87"/>
      <c r="AA501" s="87"/>
      <c r="AB501" s="87"/>
      <c r="AC501" s="87"/>
      <c r="AD501" s="87"/>
      <c r="AE501" s="87"/>
      <c r="AF501" s="87"/>
      <c r="AG501" s="87"/>
      <c r="AH501" s="87"/>
      <c r="AI501" s="87"/>
      <c r="AJ501" s="87"/>
      <c r="AK501" s="87"/>
      <c r="AL501" s="87"/>
    </row>
    <row r="502" spans="10:38" ht="15.75" customHeight="1">
      <c r="J502" s="87"/>
      <c r="O502" s="84"/>
      <c r="Q502" s="87"/>
      <c r="S502" s="87"/>
      <c r="T502" s="87"/>
      <c r="U502" s="87"/>
      <c r="V502" s="87"/>
      <c r="W502" s="87"/>
      <c r="X502" s="87"/>
      <c r="Y502" s="87"/>
      <c r="Z502" s="87"/>
      <c r="AA502" s="87"/>
      <c r="AB502" s="87"/>
      <c r="AC502" s="87"/>
      <c r="AD502" s="87"/>
      <c r="AE502" s="87"/>
      <c r="AF502" s="87"/>
      <c r="AG502" s="87"/>
      <c r="AH502" s="87"/>
      <c r="AI502" s="87"/>
      <c r="AJ502" s="87"/>
      <c r="AK502" s="87"/>
      <c r="AL502" s="87"/>
    </row>
    <row r="503" spans="10:38" ht="15.75" customHeight="1">
      <c r="J503" s="87"/>
      <c r="O503" s="84"/>
      <c r="Q503" s="87"/>
      <c r="S503" s="87"/>
      <c r="T503" s="87"/>
      <c r="U503" s="87"/>
      <c r="V503" s="87"/>
      <c r="W503" s="87"/>
      <c r="X503" s="87"/>
      <c r="Y503" s="87"/>
      <c r="Z503" s="87"/>
      <c r="AA503" s="87"/>
      <c r="AB503" s="87"/>
      <c r="AC503" s="87"/>
      <c r="AD503" s="87"/>
      <c r="AE503" s="87"/>
      <c r="AF503" s="87"/>
      <c r="AG503" s="87"/>
      <c r="AH503" s="87"/>
      <c r="AI503" s="87"/>
      <c r="AJ503" s="87"/>
      <c r="AK503" s="87"/>
      <c r="AL503" s="87"/>
    </row>
    <row r="504" spans="10:38" ht="15.75" customHeight="1">
      <c r="J504" s="87"/>
      <c r="O504" s="84"/>
      <c r="Q504" s="87"/>
      <c r="S504" s="87"/>
      <c r="T504" s="87"/>
      <c r="U504" s="87"/>
      <c r="V504" s="87"/>
      <c r="W504" s="87"/>
      <c r="X504" s="87"/>
      <c r="Y504" s="87"/>
      <c r="Z504" s="87"/>
      <c r="AA504" s="87"/>
      <c r="AB504" s="87"/>
      <c r="AC504" s="87"/>
      <c r="AD504" s="87"/>
      <c r="AE504" s="87"/>
      <c r="AF504" s="87"/>
      <c r="AG504" s="87"/>
      <c r="AH504" s="87"/>
      <c r="AI504" s="87"/>
      <c r="AJ504" s="87"/>
      <c r="AK504" s="87"/>
      <c r="AL504" s="87"/>
    </row>
    <row r="505" spans="10:38" ht="15.75" customHeight="1">
      <c r="J505" s="87"/>
      <c r="O505" s="84"/>
      <c r="Q505" s="87"/>
      <c r="S505" s="87"/>
      <c r="T505" s="87"/>
      <c r="U505" s="87"/>
      <c r="V505" s="87"/>
      <c r="W505" s="87"/>
      <c r="X505" s="87"/>
      <c r="Y505" s="87"/>
      <c r="Z505" s="87"/>
      <c r="AA505" s="87"/>
      <c r="AB505" s="87"/>
      <c r="AC505" s="87"/>
      <c r="AD505" s="87"/>
      <c r="AE505" s="87"/>
      <c r="AF505" s="87"/>
      <c r="AG505" s="87"/>
      <c r="AH505" s="87"/>
      <c r="AI505" s="87"/>
      <c r="AJ505" s="87"/>
      <c r="AK505" s="87"/>
      <c r="AL505" s="87"/>
    </row>
    <row r="506" spans="10:38" ht="15.75" customHeight="1">
      <c r="J506" s="87"/>
      <c r="O506" s="84"/>
      <c r="Q506" s="87"/>
      <c r="S506" s="87"/>
      <c r="T506" s="87"/>
      <c r="U506" s="87"/>
      <c r="V506" s="87"/>
      <c r="W506" s="87"/>
      <c r="X506" s="87"/>
      <c r="Y506" s="87"/>
      <c r="Z506" s="87"/>
      <c r="AA506" s="87"/>
      <c r="AB506" s="87"/>
      <c r="AC506" s="87"/>
      <c r="AD506" s="87"/>
      <c r="AE506" s="87"/>
      <c r="AF506" s="87"/>
      <c r="AG506" s="87"/>
      <c r="AH506" s="87"/>
      <c r="AI506" s="87"/>
      <c r="AJ506" s="87"/>
      <c r="AK506" s="87"/>
      <c r="AL506" s="87"/>
    </row>
    <row r="507" spans="10:38" ht="15.75" customHeight="1">
      <c r="J507" s="87"/>
      <c r="O507" s="84"/>
      <c r="Q507" s="87"/>
      <c r="S507" s="87"/>
      <c r="T507" s="87"/>
      <c r="U507" s="87"/>
      <c r="V507" s="87"/>
      <c r="W507" s="87"/>
      <c r="X507" s="87"/>
      <c r="Y507" s="87"/>
      <c r="Z507" s="87"/>
      <c r="AA507" s="87"/>
      <c r="AB507" s="87"/>
      <c r="AC507" s="87"/>
      <c r="AD507" s="87"/>
      <c r="AE507" s="87"/>
      <c r="AF507" s="87"/>
      <c r="AG507" s="87"/>
      <c r="AH507" s="87"/>
      <c r="AI507" s="87"/>
      <c r="AJ507" s="87"/>
      <c r="AK507" s="87"/>
      <c r="AL507" s="87"/>
    </row>
    <row r="508" spans="10:38" ht="15.75" customHeight="1">
      <c r="J508" s="87"/>
      <c r="O508" s="84"/>
      <c r="Q508" s="87"/>
      <c r="S508" s="87"/>
      <c r="T508" s="87"/>
      <c r="U508" s="87"/>
      <c r="V508" s="87"/>
      <c r="W508" s="87"/>
      <c r="X508" s="87"/>
      <c r="Y508" s="87"/>
      <c r="Z508" s="87"/>
      <c r="AA508" s="87"/>
      <c r="AB508" s="87"/>
      <c r="AC508" s="87"/>
      <c r="AD508" s="87"/>
      <c r="AE508" s="87"/>
      <c r="AF508" s="87"/>
      <c r="AG508" s="87"/>
      <c r="AH508" s="87"/>
      <c r="AI508" s="87"/>
      <c r="AJ508" s="87"/>
      <c r="AK508" s="87"/>
      <c r="AL508" s="87"/>
    </row>
    <row r="509" spans="10:38" ht="15.75" customHeight="1">
      <c r="J509" s="87"/>
      <c r="O509" s="84"/>
      <c r="Q509" s="87"/>
      <c r="S509" s="87"/>
      <c r="T509" s="87"/>
      <c r="U509" s="87"/>
      <c r="V509" s="87"/>
      <c r="W509" s="87"/>
      <c r="X509" s="87"/>
      <c r="Y509" s="87"/>
      <c r="Z509" s="87"/>
      <c r="AA509" s="87"/>
      <c r="AB509" s="87"/>
      <c r="AC509" s="87"/>
      <c r="AD509" s="87"/>
      <c r="AE509" s="87"/>
      <c r="AF509" s="87"/>
      <c r="AG509" s="87"/>
      <c r="AH509" s="87"/>
      <c r="AI509" s="87"/>
      <c r="AJ509" s="87"/>
      <c r="AK509" s="87"/>
      <c r="AL509" s="87"/>
    </row>
    <row r="510" spans="10:38" ht="15.75" customHeight="1">
      <c r="J510" s="87"/>
      <c r="O510" s="84"/>
      <c r="Q510" s="87"/>
      <c r="S510" s="87"/>
      <c r="T510" s="87"/>
      <c r="U510" s="87"/>
      <c r="V510" s="87"/>
      <c r="W510" s="87"/>
      <c r="X510" s="87"/>
      <c r="Y510" s="87"/>
      <c r="Z510" s="87"/>
      <c r="AA510" s="87"/>
      <c r="AB510" s="87"/>
      <c r="AC510" s="87"/>
      <c r="AD510" s="87"/>
      <c r="AE510" s="87"/>
      <c r="AF510" s="87"/>
      <c r="AG510" s="87"/>
      <c r="AH510" s="87"/>
      <c r="AI510" s="87"/>
      <c r="AJ510" s="87"/>
      <c r="AK510" s="87"/>
      <c r="AL510" s="87"/>
    </row>
    <row r="511" spans="10:38" ht="15.75" customHeight="1">
      <c r="J511" s="87"/>
      <c r="O511" s="84"/>
      <c r="Q511" s="87"/>
      <c r="S511" s="87"/>
      <c r="T511" s="87"/>
      <c r="U511" s="87"/>
      <c r="V511" s="87"/>
      <c r="W511" s="87"/>
      <c r="X511" s="87"/>
      <c r="Y511" s="87"/>
      <c r="Z511" s="87"/>
      <c r="AA511" s="87"/>
      <c r="AB511" s="87"/>
      <c r="AC511" s="87"/>
      <c r="AD511" s="87"/>
      <c r="AE511" s="87"/>
      <c r="AF511" s="87"/>
      <c r="AG511" s="87"/>
      <c r="AH511" s="87"/>
      <c r="AI511" s="87"/>
      <c r="AJ511" s="87"/>
      <c r="AK511" s="87"/>
      <c r="AL511" s="87"/>
    </row>
    <row r="512" spans="10:38" ht="15.75" customHeight="1">
      <c r="J512" s="87"/>
      <c r="O512" s="84"/>
      <c r="Q512" s="87"/>
      <c r="S512" s="87"/>
      <c r="T512" s="87"/>
      <c r="U512" s="87"/>
      <c r="V512" s="87"/>
      <c r="W512" s="87"/>
      <c r="X512" s="87"/>
      <c r="Y512" s="87"/>
      <c r="Z512" s="87"/>
      <c r="AA512" s="87"/>
      <c r="AB512" s="87"/>
      <c r="AC512" s="87"/>
      <c r="AD512" s="87"/>
      <c r="AE512" s="87"/>
      <c r="AF512" s="87"/>
      <c r="AG512" s="87"/>
      <c r="AH512" s="87"/>
      <c r="AI512" s="87"/>
      <c r="AJ512" s="87"/>
      <c r="AK512" s="87"/>
      <c r="AL512" s="87"/>
    </row>
    <row r="513" spans="10:38" ht="15.75" customHeight="1">
      <c r="J513" s="87"/>
      <c r="O513" s="84"/>
      <c r="Q513" s="87"/>
      <c r="S513" s="87"/>
      <c r="T513" s="87"/>
      <c r="U513" s="87"/>
      <c r="V513" s="87"/>
      <c r="W513" s="87"/>
      <c r="X513" s="87"/>
      <c r="Y513" s="87"/>
      <c r="Z513" s="87"/>
      <c r="AA513" s="87"/>
      <c r="AB513" s="87"/>
      <c r="AC513" s="87"/>
      <c r="AD513" s="87"/>
      <c r="AE513" s="87"/>
      <c r="AF513" s="87"/>
      <c r="AG513" s="87"/>
      <c r="AH513" s="87"/>
      <c r="AI513" s="87"/>
      <c r="AJ513" s="87"/>
      <c r="AK513" s="87"/>
      <c r="AL513" s="87"/>
    </row>
    <row r="514" spans="10:38" ht="15.75" customHeight="1">
      <c r="J514" s="87"/>
      <c r="O514" s="84"/>
      <c r="Q514" s="87"/>
      <c r="S514" s="87"/>
      <c r="T514" s="87"/>
      <c r="U514" s="87"/>
      <c r="V514" s="87"/>
      <c r="W514" s="87"/>
      <c r="X514" s="87"/>
      <c r="Y514" s="87"/>
      <c r="Z514" s="87"/>
      <c r="AA514" s="87"/>
      <c r="AB514" s="87"/>
      <c r="AC514" s="87"/>
      <c r="AD514" s="87"/>
      <c r="AE514" s="87"/>
      <c r="AF514" s="87"/>
      <c r="AG514" s="87"/>
      <c r="AH514" s="87"/>
      <c r="AI514" s="87"/>
      <c r="AJ514" s="87"/>
      <c r="AK514" s="87"/>
      <c r="AL514" s="87"/>
    </row>
    <row r="515" spans="10:38" ht="15.75" customHeight="1">
      <c r="J515" s="87"/>
      <c r="O515" s="84"/>
      <c r="Q515" s="87"/>
      <c r="S515" s="87"/>
      <c r="T515" s="87"/>
      <c r="U515" s="87"/>
      <c r="V515" s="87"/>
      <c r="W515" s="87"/>
      <c r="X515" s="87"/>
      <c r="Y515" s="87"/>
      <c r="Z515" s="87"/>
      <c r="AA515" s="87"/>
      <c r="AB515" s="87"/>
      <c r="AC515" s="87"/>
      <c r="AD515" s="87"/>
      <c r="AE515" s="87"/>
      <c r="AF515" s="87"/>
      <c r="AG515" s="87"/>
      <c r="AH515" s="87"/>
      <c r="AI515" s="87"/>
      <c r="AJ515" s="87"/>
      <c r="AK515" s="87"/>
      <c r="AL515" s="87"/>
    </row>
    <row r="516" spans="10:38" ht="15.75" customHeight="1">
      <c r="J516" s="87"/>
      <c r="O516" s="84"/>
      <c r="Q516" s="87"/>
      <c r="S516" s="87"/>
      <c r="T516" s="87"/>
      <c r="U516" s="87"/>
      <c r="V516" s="87"/>
      <c r="W516" s="87"/>
      <c r="X516" s="87"/>
      <c r="Y516" s="87"/>
      <c r="Z516" s="87"/>
      <c r="AA516" s="87"/>
      <c r="AB516" s="87"/>
      <c r="AC516" s="87"/>
      <c r="AD516" s="87"/>
      <c r="AE516" s="87"/>
      <c r="AF516" s="87"/>
      <c r="AG516" s="87"/>
      <c r="AH516" s="87"/>
      <c r="AI516" s="87"/>
      <c r="AJ516" s="87"/>
      <c r="AK516" s="87"/>
      <c r="AL516" s="87"/>
    </row>
    <row r="517" spans="10:38" ht="15.75" customHeight="1">
      <c r="J517" s="87"/>
      <c r="O517" s="84"/>
      <c r="Q517" s="87"/>
      <c r="S517" s="87"/>
      <c r="T517" s="87"/>
      <c r="U517" s="87"/>
      <c r="V517" s="87"/>
      <c r="W517" s="87"/>
      <c r="X517" s="87"/>
      <c r="Y517" s="87"/>
      <c r="Z517" s="87"/>
      <c r="AA517" s="87"/>
      <c r="AB517" s="87"/>
      <c r="AC517" s="87"/>
      <c r="AD517" s="87"/>
      <c r="AE517" s="87"/>
      <c r="AF517" s="87"/>
      <c r="AG517" s="87"/>
      <c r="AH517" s="87"/>
      <c r="AI517" s="87"/>
      <c r="AJ517" s="87"/>
      <c r="AK517" s="87"/>
      <c r="AL517" s="87"/>
    </row>
    <row r="518" spans="10:38" ht="15.75" customHeight="1">
      <c r="J518" s="87"/>
      <c r="O518" s="84"/>
      <c r="Q518" s="87"/>
      <c r="S518" s="87"/>
      <c r="T518" s="87"/>
      <c r="U518" s="87"/>
      <c r="V518" s="87"/>
      <c r="W518" s="87"/>
      <c r="X518" s="87"/>
      <c r="Y518" s="87"/>
      <c r="Z518" s="87"/>
      <c r="AA518" s="87"/>
      <c r="AB518" s="87"/>
      <c r="AC518" s="87"/>
      <c r="AD518" s="87"/>
      <c r="AE518" s="87"/>
      <c r="AF518" s="87"/>
      <c r="AG518" s="87"/>
      <c r="AH518" s="87"/>
      <c r="AI518" s="87"/>
      <c r="AJ518" s="87"/>
      <c r="AK518" s="87"/>
      <c r="AL518" s="87"/>
    </row>
    <row r="519" spans="10:38" ht="15.75" customHeight="1">
      <c r="J519" s="87"/>
      <c r="O519" s="84"/>
      <c r="Q519" s="87"/>
      <c r="S519" s="87"/>
      <c r="T519" s="87"/>
      <c r="U519" s="87"/>
      <c r="V519" s="87"/>
      <c r="W519" s="87"/>
      <c r="X519" s="87"/>
      <c r="Y519" s="87"/>
      <c r="Z519" s="87"/>
      <c r="AA519" s="87"/>
      <c r="AB519" s="87"/>
      <c r="AC519" s="87"/>
      <c r="AD519" s="87"/>
      <c r="AE519" s="87"/>
      <c r="AF519" s="87"/>
      <c r="AG519" s="87"/>
      <c r="AH519" s="87"/>
      <c r="AI519" s="87"/>
      <c r="AJ519" s="87"/>
      <c r="AK519" s="87"/>
      <c r="AL519" s="87"/>
    </row>
    <row r="520" spans="10:38" ht="15.75" customHeight="1">
      <c r="J520" s="87"/>
      <c r="O520" s="84"/>
      <c r="Q520" s="87"/>
      <c r="S520" s="87"/>
      <c r="T520" s="87"/>
      <c r="U520" s="87"/>
      <c r="V520" s="87"/>
      <c r="W520" s="87"/>
      <c r="X520" s="87"/>
      <c r="Y520" s="87"/>
      <c r="Z520" s="87"/>
      <c r="AA520" s="87"/>
      <c r="AB520" s="87"/>
      <c r="AC520" s="87"/>
      <c r="AD520" s="87"/>
      <c r="AE520" s="87"/>
      <c r="AF520" s="87"/>
      <c r="AG520" s="87"/>
      <c r="AH520" s="87"/>
      <c r="AI520" s="87"/>
      <c r="AJ520" s="87"/>
      <c r="AK520" s="87"/>
      <c r="AL520" s="87"/>
    </row>
    <row r="521" spans="10:38" ht="15.75" customHeight="1">
      <c r="J521" s="87"/>
      <c r="O521" s="84"/>
      <c r="Q521" s="87"/>
      <c r="S521" s="87"/>
      <c r="T521" s="87"/>
      <c r="U521" s="87"/>
      <c r="V521" s="87"/>
      <c r="W521" s="87"/>
      <c r="X521" s="87"/>
      <c r="Y521" s="87"/>
      <c r="Z521" s="87"/>
      <c r="AA521" s="87"/>
      <c r="AB521" s="87"/>
      <c r="AC521" s="87"/>
      <c r="AD521" s="87"/>
      <c r="AE521" s="87"/>
      <c r="AF521" s="87"/>
      <c r="AG521" s="87"/>
      <c r="AH521" s="87"/>
      <c r="AI521" s="87"/>
      <c r="AJ521" s="87"/>
      <c r="AK521" s="87"/>
      <c r="AL521" s="87"/>
    </row>
    <row r="522" spans="10:38" ht="15.75" customHeight="1">
      <c r="J522" s="87"/>
      <c r="O522" s="84"/>
      <c r="Q522" s="87"/>
      <c r="S522" s="87"/>
      <c r="T522" s="87"/>
      <c r="U522" s="87"/>
      <c r="V522" s="87"/>
      <c r="W522" s="87"/>
      <c r="X522" s="87"/>
      <c r="Y522" s="87"/>
      <c r="Z522" s="87"/>
      <c r="AA522" s="87"/>
      <c r="AB522" s="87"/>
      <c r="AC522" s="87"/>
      <c r="AD522" s="87"/>
      <c r="AE522" s="87"/>
      <c r="AF522" s="87"/>
      <c r="AG522" s="87"/>
      <c r="AH522" s="87"/>
      <c r="AI522" s="87"/>
      <c r="AJ522" s="87"/>
      <c r="AK522" s="87"/>
      <c r="AL522" s="87"/>
    </row>
    <row r="523" spans="10:38" ht="15.75" customHeight="1">
      <c r="J523" s="87"/>
      <c r="O523" s="84"/>
      <c r="Q523" s="87"/>
      <c r="S523" s="87"/>
      <c r="T523" s="87"/>
      <c r="U523" s="87"/>
      <c r="V523" s="87"/>
      <c r="W523" s="87"/>
      <c r="X523" s="87"/>
      <c r="Y523" s="87"/>
      <c r="Z523" s="87"/>
      <c r="AA523" s="87"/>
      <c r="AB523" s="87"/>
      <c r="AC523" s="87"/>
      <c r="AD523" s="87"/>
      <c r="AE523" s="87"/>
      <c r="AF523" s="87"/>
      <c r="AG523" s="87"/>
      <c r="AH523" s="87"/>
      <c r="AI523" s="87"/>
      <c r="AJ523" s="87"/>
      <c r="AK523" s="87"/>
      <c r="AL523" s="87"/>
    </row>
    <row r="524" spans="10:38" ht="15.75" customHeight="1">
      <c r="J524" s="87"/>
      <c r="O524" s="84"/>
      <c r="Q524" s="87"/>
      <c r="S524" s="87"/>
      <c r="T524" s="87"/>
      <c r="U524" s="87"/>
      <c r="V524" s="87"/>
      <c r="W524" s="87"/>
      <c r="X524" s="87"/>
      <c r="Y524" s="87"/>
      <c r="Z524" s="87"/>
      <c r="AA524" s="87"/>
      <c r="AB524" s="87"/>
      <c r="AC524" s="87"/>
      <c r="AD524" s="87"/>
      <c r="AE524" s="87"/>
      <c r="AF524" s="87"/>
      <c r="AG524" s="87"/>
      <c r="AH524" s="87"/>
      <c r="AI524" s="87"/>
      <c r="AJ524" s="87"/>
      <c r="AK524" s="87"/>
      <c r="AL524" s="87"/>
    </row>
    <row r="525" spans="10:38" ht="15.75" customHeight="1">
      <c r="J525" s="87"/>
      <c r="O525" s="84"/>
      <c r="Q525" s="87"/>
      <c r="S525" s="87"/>
      <c r="T525" s="87"/>
      <c r="U525" s="87"/>
      <c r="V525" s="87"/>
      <c r="W525" s="87"/>
      <c r="X525" s="87"/>
      <c r="Y525" s="87"/>
      <c r="Z525" s="87"/>
      <c r="AA525" s="87"/>
      <c r="AB525" s="87"/>
      <c r="AC525" s="87"/>
      <c r="AD525" s="87"/>
      <c r="AE525" s="87"/>
      <c r="AF525" s="87"/>
      <c r="AG525" s="87"/>
      <c r="AH525" s="87"/>
      <c r="AI525" s="87"/>
      <c r="AJ525" s="87"/>
      <c r="AK525" s="87"/>
      <c r="AL525" s="87"/>
    </row>
    <row r="526" spans="10:38" ht="15.75" customHeight="1">
      <c r="J526" s="87"/>
      <c r="O526" s="84"/>
      <c r="Q526" s="87"/>
      <c r="S526" s="87"/>
      <c r="T526" s="87"/>
      <c r="U526" s="87"/>
      <c r="V526" s="87"/>
      <c r="W526" s="87"/>
      <c r="X526" s="87"/>
      <c r="Y526" s="87"/>
      <c r="Z526" s="87"/>
      <c r="AA526" s="87"/>
      <c r="AB526" s="87"/>
      <c r="AC526" s="87"/>
      <c r="AD526" s="87"/>
      <c r="AE526" s="87"/>
      <c r="AF526" s="87"/>
      <c r="AG526" s="87"/>
      <c r="AH526" s="87"/>
      <c r="AI526" s="87"/>
      <c r="AJ526" s="87"/>
      <c r="AK526" s="87"/>
      <c r="AL526" s="87"/>
    </row>
    <row r="527" spans="10:38" ht="15.75" customHeight="1">
      <c r="J527" s="87"/>
      <c r="O527" s="84"/>
      <c r="Q527" s="87"/>
      <c r="S527" s="87"/>
      <c r="T527" s="87"/>
      <c r="U527" s="87"/>
      <c r="V527" s="87"/>
      <c r="W527" s="87"/>
      <c r="X527" s="87"/>
      <c r="Y527" s="87"/>
      <c r="Z527" s="87"/>
      <c r="AA527" s="87"/>
      <c r="AB527" s="87"/>
      <c r="AC527" s="87"/>
      <c r="AD527" s="87"/>
      <c r="AE527" s="87"/>
      <c r="AF527" s="87"/>
      <c r="AG527" s="87"/>
      <c r="AH527" s="87"/>
      <c r="AI527" s="87"/>
      <c r="AJ527" s="87"/>
      <c r="AK527" s="87"/>
      <c r="AL527" s="87"/>
    </row>
    <row r="528" spans="10:38" ht="15.75" customHeight="1">
      <c r="J528" s="87"/>
      <c r="O528" s="84"/>
      <c r="Q528" s="87"/>
      <c r="S528" s="87"/>
      <c r="T528" s="87"/>
      <c r="U528" s="87"/>
      <c r="V528" s="87"/>
      <c r="W528" s="87"/>
      <c r="X528" s="87"/>
      <c r="Y528" s="87"/>
      <c r="Z528" s="87"/>
      <c r="AA528" s="87"/>
      <c r="AB528" s="87"/>
      <c r="AC528" s="87"/>
      <c r="AD528" s="87"/>
      <c r="AE528" s="87"/>
      <c r="AF528" s="87"/>
      <c r="AG528" s="87"/>
      <c r="AH528" s="87"/>
      <c r="AI528" s="87"/>
      <c r="AJ528" s="87"/>
      <c r="AK528" s="87"/>
      <c r="AL528" s="87"/>
    </row>
    <row r="529" spans="10:38" ht="15.75" customHeight="1">
      <c r="J529" s="87"/>
      <c r="O529" s="84"/>
      <c r="Q529" s="87"/>
      <c r="S529" s="87"/>
      <c r="T529" s="87"/>
      <c r="U529" s="87"/>
      <c r="V529" s="87"/>
      <c r="W529" s="87"/>
      <c r="X529" s="87"/>
      <c r="Y529" s="87"/>
      <c r="Z529" s="87"/>
      <c r="AA529" s="87"/>
      <c r="AB529" s="87"/>
      <c r="AC529" s="87"/>
      <c r="AD529" s="87"/>
      <c r="AE529" s="87"/>
      <c r="AF529" s="87"/>
      <c r="AG529" s="87"/>
      <c r="AH529" s="87"/>
      <c r="AI529" s="87"/>
      <c r="AJ529" s="87"/>
      <c r="AK529" s="87"/>
      <c r="AL529" s="87"/>
    </row>
    <row r="530" spans="10:38" ht="15.75" customHeight="1">
      <c r="J530" s="87"/>
      <c r="O530" s="84"/>
      <c r="Q530" s="87"/>
      <c r="S530" s="87"/>
      <c r="T530" s="87"/>
      <c r="U530" s="87"/>
      <c r="V530" s="87"/>
      <c r="W530" s="87"/>
      <c r="X530" s="87"/>
      <c r="Y530" s="87"/>
      <c r="Z530" s="87"/>
      <c r="AA530" s="87"/>
      <c r="AB530" s="87"/>
      <c r="AC530" s="87"/>
      <c r="AD530" s="87"/>
      <c r="AE530" s="87"/>
      <c r="AF530" s="87"/>
      <c r="AG530" s="87"/>
      <c r="AH530" s="87"/>
      <c r="AI530" s="87"/>
      <c r="AJ530" s="87"/>
      <c r="AK530" s="87"/>
      <c r="AL530" s="87"/>
    </row>
    <row r="531" spans="10:38" ht="15.75" customHeight="1">
      <c r="J531" s="87"/>
      <c r="O531" s="84"/>
      <c r="Q531" s="87"/>
      <c r="S531" s="87"/>
      <c r="T531" s="87"/>
      <c r="U531" s="87"/>
      <c r="V531" s="87"/>
      <c r="W531" s="87"/>
      <c r="X531" s="87"/>
      <c r="Y531" s="87"/>
      <c r="Z531" s="87"/>
      <c r="AA531" s="87"/>
      <c r="AB531" s="87"/>
      <c r="AC531" s="87"/>
      <c r="AD531" s="87"/>
      <c r="AE531" s="87"/>
      <c r="AF531" s="87"/>
      <c r="AG531" s="87"/>
      <c r="AH531" s="87"/>
      <c r="AI531" s="87"/>
      <c r="AJ531" s="87"/>
      <c r="AK531" s="87"/>
      <c r="AL531" s="87"/>
    </row>
    <row r="532" spans="10:38" ht="15.75" customHeight="1">
      <c r="J532" s="87"/>
      <c r="O532" s="84"/>
      <c r="Q532" s="87"/>
      <c r="S532" s="87"/>
      <c r="T532" s="87"/>
      <c r="U532" s="87"/>
      <c r="V532" s="87"/>
      <c r="W532" s="87"/>
      <c r="X532" s="87"/>
      <c r="Y532" s="87"/>
      <c r="Z532" s="87"/>
      <c r="AA532" s="87"/>
      <c r="AB532" s="87"/>
      <c r="AC532" s="87"/>
      <c r="AD532" s="87"/>
      <c r="AE532" s="87"/>
      <c r="AF532" s="87"/>
      <c r="AG532" s="87"/>
      <c r="AH532" s="87"/>
      <c r="AI532" s="87"/>
      <c r="AJ532" s="87"/>
      <c r="AK532" s="87"/>
      <c r="AL532" s="87"/>
    </row>
    <row r="533" spans="10:38" ht="15.75" customHeight="1">
      <c r="J533" s="87"/>
      <c r="O533" s="84"/>
      <c r="Q533" s="87"/>
      <c r="S533" s="87"/>
      <c r="T533" s="87"/>
      <c r="U533" s="87"/>
      <c r="V533" s="87"/>
      <c r="W533" s="87"/>
      <c r="X533" s="87"/>
      <c r="Y533" s="87"/>
      <c r="Z533" s="87"/>
      <c r="AA533" s="87"/>
      <c r="AB533" s="87"/>
      <c r="AC533" s="87"/>
      <c r="AD533" s="87"/>
      <c r="AE533" s="87"/>
      <c r="AF533" s="87"/>
      <c r="AG533" s="87"/>
      <c r="AH533" s="87"/>
      <c r="AI533" s="87"/>
      <c r="AJ533" s="87"/>
      <c r="AK533" s="87"/>
      <c r="AL533" s="87"/>
    </row>
    <row r="534" spans="10:38" ht="15.75" customHeight="1">
      <c r="J534" s="87"/>
      <c r="O534" s="84"/>
      <c r="Q534" s="87"/>
      <c r="S534" s="87"/>
      <c r="T534" s="87"/>
      <c r="U534" s="87"/>
      <c r="V534" s="87"/>
      <c r="W534" s="87"/>
      <c r="X534" s="87"/>
      <c r="Y534" s="87"/>
      <c r="Z534" s="87"/>
      <c r="AA534" s="87"/>
      <c r="AB534" s="87"/>
      <c r="AC534" s="87"/>
      <c r="AD534" s="87"/>
      <c r="AE534" s="87"/>
      <c r="AF534" s="87"/>
      <c r="AG534" s="87"/>
      <c r="AH534" s="87"/>
      <c r="AI534" s="87"/>
      <c r="AJ534" s="87"/>
      <c r="AK534" s="87"/>
      <c r="AL534" s="87"/>
    </row>
    <row r="535" spans="10:38" ht="15.75" customHeight="1">
      <c r="J535" s="87"/>
      <c r="O535" s="84"/>
      <c r="Q535" s="87"/>
      <c r="S535" s="87"/>
      <c r="T535" s="87"/>
      <c r="U535" s="87"/>
      <c r="V535" s="87"/>
      <c r="W535" s="87"/>
      <c r="X535" s="87"/>
      <c r="Y535" s="87"/>
      <c r="Z535" s="87"/>
      <c r="AA535" s="87"/>
      <c r="AB535" s="87"/>
      <c r="AC535" s="87"/>
      <c r="AD535" s="87"/>
      <c r="AE535" s="87"/>
      <c r="AF535" s="87"/>
      <c r="AG535" s="87"/>
      <c r="AH535" s="87"/>
      <c r="AI535" s="87"/>
      <c r="AJ535" s="87"/>
      <c r="AK535" s="87"/>
      <c r="AL535" s="87"/>
    </row>
    <row r="536" spans="10:38" ht="15.75" customHeight="1">
      <c r="J536" s="87"/>
      <c r="O536" s="84"/>
      <c r="Q536" s="87"/>
      <c r="S536" s="87"/>
      <c r="T536" s="87"/>
      <c r="U536" s="87"/>
      <c r="V536" s="87"/>
      <c r="W536" s="87"/>
      <c r="X536" s="87"/>
      <c r="Y536" s="87"/>
      <c r="Z536" s="87"/>
      <c r="AA536" s="87"/>
      <c r="AB536" s="87"/>
      <c r="AC536" s="87"/>
      <c r="AD536" s="87"/>
      <c r="AE536" s="87"/>
      <c r="AF536" s="87"/>
      <c r="AG536" s="87"/>
      <c r="AH536" s="87"/>
      <c r="AI536" s="87"/>
      <c r="AJ536" s="87"/>
      <c r="AK536" s="87"/>
      <c r="AL536" s="87"/>
    </row>
    <row r="537" spans="10:38" ht="15.75" customHeight="1">
      <c r="J537" s="87"/>
      <c r="O537" s="84"/>
      <c r="Q537" s="87"/>
      <c r="S537" s="87"/>
      <c r="T537" s="87"/>
      <c r="U537" s="87"/>
      <c r="V537" s="87"/>
      <c r="W537" s="87"/>
      <c r="X537" s="87"/>
      <c r="Y537" s="87"/>
      <c r="Z537" s="87"/>
      <c r="AA537" s="87"/>
      <c r="AB537" s="87"/>
      <c r="AC537" s="87"/>
      <c r="AD537" s="87"/>
      <c r="AE537" s="87"/>
      <c r="AF537" s="87"/>
      <c r="AG537" s="87"/>
      <c r="AH537" s="87"/>
      <c r="AI537" s="87"/>
      <c r="AJ537" s="87"/>
      <c r="AK537" s="87"/>
      <c r="AL537" s="87"/>
    </row>
    <row r="538" spans="10:38" ht="15.75" customHeight="1">
      <c r="J538" s="87"/>
      <c r="O538" s="84"/>
      <c r="Q538" s="87"/>
      <c r="S538" s="87"/>
      <c r="T538" s="87"/>
      <c r="U538" s="87"/>
      <c r="V538" s="87"/>
      <c r="W538" s="87"/>
      <c r="X538" s="87"/>
      <c r="Y538" s="87"/>
      <c r="Z538" s="87"/>
      <c r="AA538" s="87"/>
      <c r="AB538" s="87"/>
      <c r="AC538" s="87"/>
      <c r="AD538" s="87"/>
      <c r="AE538" s="87"/>
      <c r="AF538" s="87"/>
      <c r="AG538" s="87"/>
      <c r="AH538" s="87"/>
      <c r="AI538" s="87"/>
      <c r="AJ538" s="87"/>
      <c r="AK538" s="87"/>
      <c r="AL538" s="87"/>
    </row>
    <row r="539" spans="10:38" ht="15.75" customHeight="1">
      <c r="J539" s="87"/>
      <c r="O539" s="84"/>
      <c r="Q539" s="87"/>
      <c r="S539" s="87"/>
      <c r="T539" s="87"/>
      <c r="U539" s="87"/>
      <c r="V539" s="87"/>
      <c r="W539" s="87"/>
      <c r="X539" s="87"/>
      <c r="Y539" s="87"/>
      <c r="Z539" s="87"/>
      <c r="AA539" s="87"/>
      <c r="AB539" s="87"/>
      <c r="AC539" s="87"/>
      <c r="AD539" s="87"/>
      <c r="AE539" s="87"/>
      <c r="AF539" s="87"/>
      <c r="AG539" s="87"/>
      <c r="AH539" s="87"/>
      <c r="AI539" s="87"/>
      <c r="AJ539" s="87"/>
      <c r="AK539" s="87"/>
      <c r="AL539" s="87"/>
    </row>
    <row r="540" spans="10:38" ht="15.75" customHeight="1">
      <c r="J540" s="87"/>
      <c r="O540" s="84"/>
      <c r="Q540" s="87"/>
      <c r="S540" s="87"/>
      <c r="T540" s="87"/>
      <c r="U540" s="87"/>
      <c r="V540" s="87"/>
      <c r="W540" s="87"/>
      <c r="X540" s="87"/>
      <c r="Y540" s="87"/>
      <c r="Z540" s="87"/>
      <c r="AA540" s="87"/>
      <c r="AB540" s="87"/>
      <c r="AC540" s="87"/>
      <c r="AD540" s="87"/>
      <c r="AE540" s="87"/>
      <c r="AF540" s="87"/>
      <c r="AG540" s="87"/>
      <c r="AH540" s="87"/>
      <c r="AI540" s="87"/>
      <c r="AJ540" s="87"/>
      <c r="AK540" s="87"/>
      <c r="AL540" s="87"/>
    </row>
    <row r="541" spans="10:38" ht="15.75" customHeight="1">
      <c r="J541" s="87"/>
      <c r="O541" s="84"/>
      <c r="Q541" s="87"/>
      <c r="S541" s="87"/>
      <c r="T541" s="87"/>
      <c r="U541" s="87"/>
      <c r="V541" s="87"/>
      <c r="W541" s="87"/>
      <c r="X541" s="87"/>
      <c r="Y541" s="87"/>
      <c r="Z541" s="87"/>
      <c r="AA541" s="87"/>
      <c r="AB541" s="87"/>
      <c r="AC541" s="87"/>
      <c r="AD541" s="87"/>
      <c r="AE541" s="87"/>
      <c r="AF541" s="87"/>
      <c r="AG541" s="87"/>
      <c r="AH541" s="87"/>
      <c r="AI541" s="87"/>
      <c r="AJ541" s="87"/>
      <c r="AK541" s="87"/>
      <c r="AL541" s="87"/>
    </row>
    <row r="542" spans="10:38" ht="15.75" customHeight="1">
      <c r="J542" s="87"/>
      <c r="O542" s="84"/>
      <c r="Q542" s="87"/>
      <c r="S542" s="87"/>
      <c r="T542" s="87"/>
      <c r="U542" s="87"/>
      <c r="V542" s="87"/>
      <c r="W542" s="87"/>
      <c r="X542" s="87"/>
      <c r="Y542" s="87"/>
      <c r="Z542" s="87"/>
      <c r="AA542" s="87"/>
      <c r="AB542" s="87"/>
      <c r="AC542" s="87"/>
      <c r="AD542" s="87"/>
      <c r="AE542" s="87"/>
      <c r="AF542" s="87"/>
      <c r="AG542" s="87"/>
      <c r="AH542" s="87"/>
      <c r="AI542" s="87"/>
      <c r="AJ542" s="87"/>
      <c r="AK542" s="87"/>
      <c r="AL542" s="87"/>
    </row>
    <row r="543" spans="10:38" ht="15.75" customHeight="1">
      <c r="J543" s="87"/>
      <c r="O543" s="84"/>
      <c r="Q543" s="87"/>
      <c r="S543" s="87"/>
      <c r="T543" s="87"/>
      <c r="U543" s="87"/>
      <c r="V543" s="87"/>
      <c r="W543" s="87"/>
      <c r="X543" s="87"/>
      <c r="Y543" s="87"/>
      <c r="Z543" s="87"/>
      <c r="AA543" s="87"/>
      <c r="AB543" s="87"/>
      <c r="AC543" s="87"/>
      <c r="AD543" s="87"/>
      <c r="AE543" s="87"/>
      <c r="AF543" s="87"/>
      <c r="AG543" s="87"/>
      <c r="AH543" s="87"/>
      <c r="AI543" s="87"/>
      <c r="AJ543" s="87"/>
      <c r="AK543" s="87"/>
      <c r="AL543" s="87"/>
    </row>
    <row r="544" spans="10:38" ht="15.75" customHeight="1">
      <c r="J544" s="87"/>
      <c r="O544" s="84"/>
      <c r="Q544" s="87"/>
      <c r="S544" s="87"/>
      <c r="T544" s="87"/>
      <c r="U544" s="87"/>
      <c r="V544" s="87"/>
      <c r="W544" s="87"/>
      <c r="X544" s="87"/>
      <c r="Y544" s="87"/>
      <c r="Z544" s="87"/>
      <c r="AA544" s="87"/>
      <c r="AB544" s="87"/>
      <c r="AC544" s="87"/>
      <c r="AD544" s="87"/>
      <c r="AE544" s="87"/>
      <c r="AF544" s="87"/>
      <c r="AG544" s="87"/>
      <c r="AH544" s="87"/>
      <c r="AI544" s="87"/>
      <c r="AJ544" s="87"/>
      <c r="AK544" s="87"/>
      <c r="AL544" s="87"/>
    </row>
    <row r="545" spans="10:38" ht="15.75" customHeight="1">
      <c r="J545" s="87"/>
      <c r="O545" s="84"/>
      <c r="Q545" s="87"/>
      <c r="S545" s="87"/>
      <c r="T545" s="87"/>
      <c r="U545" s="87"/>
      <c r="V545" s="87"/>
      <c r="W545" s="87"/>
      <c r="X545" s="87"/>
      <c r="Y545" s="87"/>
      <c r="Z545" s="87"/>
      <c r="AA545" s="87"/>
      <c r="AB545" s="87"/>
      <c r="AC545" s="87"/>
      <c r="AD545" s="87"/>
      <c r="AE545" s="87"/>
      <c r="AF545" s="87"/>
      <c r="AG545" s="87"/>
      <c r="AH545" s="87"/>
      <c r="AI545" s="87"/>
      <c r="AJ545" s="87"/>
      <c r="AK545" s="87"/>
      <c r="AL545" s="87"/>
    </row>
    <row r="546" spans="10:38" ht="15.75" customHeight="1">
      <c r="J546" s="87"/>
      <c r="O546" s="84"/>
      <c r="Q546" s="87"/>
      <c r="S546" s="87"/>
      <c r="T546" s="87"/>
      <c r="U546" s="87"/>
      <c r="V546" s="87"/>
      <c r="W546" s="87"/>
      <c r="X546" s="87"/>
      <c r="Y546" s="87"/>
      <c r="Z546" s="87"/>
      <c r="AA546" s="87"/>
      <c r="AB546" s="87"/>
      <c r="AC546" s="87"/>
      <c r="AD546" s="87"/>
      <c r="AE546" s="87"/>
      <c r="AF546" s="87"/>
      <c r="AG546" s="87"/>
      <c r="AH546" s="87"/>
      <c r="AI546" s="87"/>
      <c r="AJ546" s="87"/>
      <c r="AK546" s="87"/>
      <c r="AL546" s="87"/>
    </row>
    <row r="547" spans="10:38" ht="15.75" customHeight="1">
      <c r="J547" s="87"/>
      <c r="O547" s="84"/>
      <c r="Q547" s="87"/>
      <c r="S547" s="87"/>
      <c r="T547" s="87"/>
      <c r="U547" s="87"/>
      <c r="V547" s="87"/>
      <c r="W547" s="87"/>
      <c r="X547" s="87"/>
      <c r="Y547" s="87"/>
      <c r="Z547" s="87"/>
      <c r="AA547" s="87"/>
      <c r="AB547" s="87"/>
      <c r="AC547" s="87"/>
      <c r="AD547" s="87"/>
      <c r="AE547" s="87"/>
      <c r="AF547" s="87"/>
      <c r="AG547" s="87"/>
      <c r="AH547" s="87"/>
      <c r="AI547" s="87"/>
      <c r="AJ547" s="87"/>
      <c r="AK547" s="87"/>
      <c r="AL547" s="87"/>
    </row>
    <row r="548" spans="10:38" ht="15.75" customHeight="1">
      <c r="J548" s="87"/>
      <c r="O548" s="84"/>
      <c r="Q548" s="87"/>
      <c r="S548" s="87"/>
      <c r="T548" s="87"/>
      <c r="U548" s="87"/>
      <c r="V548" s="87"/>
      <c r="W548" s="87"/>
      <c r="X548" s="87"/>
      <c r="Y548" s="87"/>
      <c r="Z548" s="87"/>
      <c r="AA548" s="87"/>
      <c r="AB548" s="87"/>
      <c r="AC548" s="87"/>
      <c r="AD548" s="87"/>
      <c r="AE548" s="87"/>
      <c r="AF548" s="87"/>
      <c r="AG548" s="87"/>
      <c r="AH548" s="87"/>
      <c r="AI548" s="87"/>
      <c r="AJ548" s="87"/>
      <c r="AK548" s="87"/>
      <c r="AL548" s="87"/>
    </row>
    <row r="549" spans="10:38" ht="15.75" customHeight="1">
      <c r="J549" s="87"/>
      <c r="O549" s="84"/>
      <c r="Q549" s="87"/>
      <c r="S549" s="87"/>
      <c r="T549" s="87"/>
      <c r="U549" s="87"/>
      <c r="V549" s="87"/>
      <c r="W549" s="87"/>
      <c r="X549" s="87"/>
      <c r="Y549" s="87"/>
      <c r="Z549" s="87"/>
      <c r="AA549" s="87"/>
      <c r="AB549" s="87"/>
      <c r="AC549" s="87"/>
      <c r="AD549" s="87"/>
      <c r="AE549" s="87"/>
      <c r="AF549" s="87"/>
      <c r="AG549" s="87"/>
      <c r="AH549" s="87"/>
      <c r="AI549" s="87"/>
      <c r="AJ549" s="87"/>
      <c r="AK549" s="87"/>
      <c r="AL549" s="87"/>
    </row>
    <row r="550" spans="10:38" ht="15.75" customHeight="1">
      <c r="J550" s="87"/>
      <c r="O550" s="84"/>
      <c r="Q550" s="87"/>
      <c r="S550" s="87"/>
      <c r="T550" s="87"/>
      <c r="U550" s="87"/>
      <c r="V550" s="87"/>
      <c r="W550" s="87"/>
      <c r="X550" s="87"/>
      <c r="Y550" s="87"/>
      <c r="Z550" s="87"/>
      <c r="AA550" s="87"/>
      <c r="AB550" s="87"/>
      <c r="AC550" s="87"/>
      <c r="AD550" s="87"/>
      <c r="AE550" s="87"/>
      <c r="AF550" s="87"/>
      <c r="AG550" s="87"/>
      <c r="AH550" s="87"/>
      <c r="AI550" s="87"/>
      <c r="AJ550" s="87"/>
      <c r="AK550" s="87"/>
      <c r="AL550" s="87"/>
    </row>
    <row r="551" spans="10:38" ht="15.75" customHeight="1">
      <c r="J551" s="87"/>
      <c r="O551" s="84"/>
      <c r="Q551" s="87"/>
      <c r="S551" s="87"/>
      <c r="T551" s="87"/>
      <c r="U551" s="87"/>
      <c r="V551" s="87"/>
      <c r="W551" s="87"/>
      <c r="X551" s="87"/>
      <c r="Y551" s="87"/>
      <c r="Z551" s="87"/>
      <c r="AA551" s="87"/>
      <c r="AB551" s="87"/>
      <c r="AC551" s="87"/>
      <c r="AD551" s="87"/>
      <c r="AE551" s="87"/>
      <c r="AF551" s="87"/>
      <c r="AG551" s="87"/>
      <c r="AH551" s="87"/>
      <c r="AI551" s="87"/>
      <c r="AJ551" s="87"/>
      <c r="AK551" s="87"/>
      <c r="AL551" s="87"/>
    </row>
    <row r="552" spans="10:38" ht="15.75" customHeight="1">
      <c r="J552" s="87"/>
      <c r="O552" s="84"/>
      <c r="Q552" s="87"/>
      <c r="S552" s="87"/>
      <c r="T552" s="87"/>
      <c r="U552" s="87"/>
      <c r="V552" s="87"/>
      <c r="W552" s="87"/>
      <c r="X552" s="87"/>
      <c r="Y552" s="87"/>
      <c r="Z552" s="87"/>
      <c r="AA552" s="87"/>
      <c r="AB552" s="87"/>
      <c r="AC552" s="87"/>
      <c r="AD552" s="87"/>
      <c r="AE552" s="87"/>
      <c r="AF552" s="87"/>
      <c r="AG552" s="87"/>
      <c r="AH552" s="87"/>
      <c r="AI552" s="87"/>
      <c r="AJ552" s="87"/>
      <c r="AK552" s="87"/>
      <c r="AL552" s="87"/>
    </row>
    <row r="553" spans="10:38" ht="15.75" customHeight="1">
      <c r="J553" s="87"/>
      <c r="O553" s="84"/>
      <c r="Q553" s="87"/>
      <c r="S553" s="87"/>
      <c r="T553" s="87"/>
      <c r="U553" s="87"/>
      <c r="V553" s="87"/>
      <c r="W553" s="87"/>
      <c r="X553" s="87"/>
      <c r="Y553" s="87"/>
      <c r="Z553" s="87"/>
      <c r="AA553" s="87"/>
      <c r="AB553" s="87"/>
      <c r="AC553" s="87"/>
      <c r="AD553" s="87"/>
      <c r="AE553" s="87"/>
      <c r="AF553" s="87"/>
      <c r="AG553" s="87"/>
      <c r="AH553" s="87"/>
      <c r="AI553" s="87"/>
      <c r="AJ553" s="87"/>
      <c r="AK553" s="87"/>
      <c r="AL553" s="87"/>
    </row>
    <row r="554" spans="10:38" ht="15.75" customHeight="1">
      <c r="J554" s="87"/>
      <c r="O554" s="84"/>
      <c r="Q554" s="87"/>
      <c r="S554" s="87"/>
      <c r="T554" s="87"/>
      <c r="U554" s="87"/>
      <c r="V554" s="87"/>
      <c r="W554" s="87"/>
      <c r="X554" s="87"/>
      <c r="Y554" s="87"/>
      <c r="Z554" s="87"/>
      <c r="AA554" s="87"/>
      <c r="AB554" s="87"/>
      <c r="AC554" s="87"/>
      <c r="AD554" s="87"/>
      <c r="AE554" s="87"/>
      <c r="AF554" s="87"/>
      <c r="AG554" s="87"/>
      <c r="AH554" s="87"/>
      <c r="AI554" s="87"/>
      <c r="AJ554" s="87"/>
      <c r="AK554" s="87"/>
      <c r="AL554" s="87"/>
    </row>
    <row r="555" spans="10:38" ht="15.75" customHeight="1">
      <c r="J555" s="87"/>
      <c r="O555" s="84"/>
      <c r="Q555" s="87"/>
      <c r="S555" s="87"/>
      <c r="T555" s="87"/>
      <c r="U555" s="87"/>
      <c r="V555" s="87"/>
      <c r="W555" s="87"/>
      <c r="X555" s="87"/>
      <c r="Y555" s="87"/>
      <c r="Z555" s="87"/>
      <c r="AA555" s="87"/>
      <c r="AB555" s="87"/>
      <c r="AC555" s="87"/>
      <c r="AD555" s="87"/>
      <c r="AE555" s="87"/>
      <c r="AF555" s="87"/>
      <c r="AG555" s="87"/>
      <c r="AH555" s="87"/>
      <c r="AI555" s="87"/>
      <c r="AJ555" s="87"/>
      <c r="AK555" s="87"/>
      <c r="AL555" s="87"/>
    </row>
    <row r="556" spans="10:38" ht="15.75" customHeight="1">
      <c r="J556" s="87"/>
      <c r="O556" s="84"/>
      <c r="Q556" s="87"/>
      <c r="S556" s="87"/>
      <c r="T556" s="87"/>
      <c r="U556" s="87"/>
      <c r="V556" s="87"/>
      <c r="W556" s="87"/>
      <c r="X556" s="87"/>
      <c r="Y556" s="87"/>
      <c r="Z556" s="87"/>
      <c r="AA556" s="87"/>
      <c r="AB556" s="87"/>
      <c r="AC556" s="87"/>
      <c r="AD556" s="87"/>
      <c r="AE556" s="87"/>
      <c r="AF556" s="87"/>
      <c r="AG556" s="87"/>
      <c r="AH556" s="87"/>
      <c r="AI556" s="87"/>
      <c r="AJ556" s="87"/>
      <c r="AK556" s="87"/>
      <c r="AL556" s="87"/>
    </row>
    <row r="557" spans="10:38" ht="15.75" customHeight="1">
      <c r="J557" s="87"/>
      <c r="O557" s="84"/>
      <c r="Q557" s="87"/>
      <c r="S557" s="87"/>
      <c r="T557" s="87"/>
      <c r="U557" s="87"/>
      <c r="V557" s="87"/>
      <c r="W557" s="87"/>
      <c r="X557" s="87"/>
      <c r="Y557" s="87"/>
      <c r="Z557" s="87"/>
      <c r="AA557" s="87"/>
      <c r="AB557" s="87"/>
      <c r="AC557" s="87"/>
      <c r="AD557" s="87"/>
      <c r="AE557" s="87"/>
      <c r="AF557" s="87"/>
      <c r="AG557" s="87"/>
      <c r="AH557" s="87"/>
      <c r="AI557" s="87"/>
      <c r="AJ557" s="87"/>
      <c r="AK557" s="87"/>
      <c r="AL557" s="87"/>
    </row>
    <row r="558" spans="10:38" ht="15.75" customHeight="1">
      <c r="J558" s="87"/>
      <c r="O558" s="84"/>
      <c r="Q558" s="87"/>
      <c r="S558" s="87"/>
      <c r="T558" s="87"/>
      <c r="U558" s="87"/>
      <c r="V558" s="87"/>
      <c r="W558" s="87"/>
      <c r="X558" s="87"/>
      <c r="Y558" s="87"/>
      <c r="Z558" s="87"/>
      <c r="AA558" s="87"/>
      <c r="AB558" s="87"/>
      <c r="AC558" s="87"/>
      <c r="AD558" s="87"/>
      <c r="AE558" s="87"/>
      <c r="AF558" s="87"/>
      <c r="AG558" s="87"/>
      <c r="AH558" s="87"/>
      <c r="AI558" s="87"/>
      <c r="AJ558" s="87"/>
      <c r="AK558" s="87"/>
      <c r="AL558" s="87"/>
    </row>
    <row r="559" spans="10:38" ht="15.75" customHeight="1">
      <c r="J559" s="87"/>
      <c r="O559" s="84"/>
      <c r="Q559" s="87"/>
      <c r="S559" s="87"/>
      <c r="T559" s="87"/>
      <c r="U559" s="87"/>
      <c r="V559" s="87"/>
      <c r="W559" s="87"/>
      <c r="X559" s="87"/>
      <c r="Y559" s="87"/>
      <c r="Z559" s="87"/>
      <c r="AA559" s="87"/>
      <c r="AB559" s="87"/>
      <c r="AC559" s="87"/>
      <c r="AD559" s="87"/>
      <c r="AE559" s="87"/>
      <c r="AF559" s="87"/>
      <c r="AG559" s="87"/>
      <c r="AH559" s="87"/>
      <c r="AI559" s="87"/>
      <c r="AJ559" s="87"/>
      <c r="AK559" s="87"/>
      <c r="AL559" s="87"/>
    </row>
    <row r="560" spans="10:38" ht="15.75" customHeight="1">
      <c r="J560" s="87"/>
      <c r="O560" s="84"/>
      <c r="Q560" s="87"/>
      <c r="S560" s="87"/>
      <c r="T560" s="87"/>
      <c r="U560" s="87"/>
      <c r="V560" s="87"/>
      <c r="W560" s="87"/>
      <c r="X560" s="87"/>
      <c r="Y560" s="87"/>
      <c r="Z560" s="87"/>
      <c r="AA560" s="87"/>
      <c r="AB560" s="87"/>
      <c r="AC560" s="87"/>
      <c r="AD560" s="87"/>
      <c r="AE560" s="87"/>
      <c r="AF560" s="87"/>
      <c r="AG560" s="87"/>
      <c r="AH560" s="87"/>
      <c r="AI560" s="87"/>
      <c r="AJ560" s="87"/>
      <c r="AK560" s="87"/>
      <c r="AL560" s="87"/>
    </row>
    <row r="561" spans="10:38" ht="15.75" customHeight="1">
      <c r="J561" s="87"/>
      <c r="O561" s="84"/>
      <c r="Q561" s="87"/>
      <c r="S561" s="87"/>
      <c r="T561" s="87"/>
      <c r="U561" s="87"/>
      <c r="V561" s="87"/>
      <c r="W561" s="87"/>
      <c r="X561" s="87"/>
      <c r="Y561" s="87"/>
      <c r="Z561" s="87"/>
      <c r="AA561" s="87"/>
      <c r="AB561" s="87"/>
      <c r="AC561" s="87"/>
      <c r="AD561" s="87"/>
      <c r="AE561" s="87"/>
      <c r="AF561" s="87"/>
      <c r="AG561" s="87"/>
      <c r="AH561" s="87"/>
      <c r="AI561" s="87"/>
      <c r="AJ561" s="87"/>
      <c r="AK561" s="87"/>
      <c r="AL561" s="87"/>
    </row>
    <row r="562" spans="10:38" ht="15.75" customHeight="1">
      <c r="J562" s="87"/>
      <c r="O562" s="84"/>
      <c r="Q562" s="87"/>
      <c r="S562" s="87"/>
      <c r="T562" s="87"/>
      <c r="U562" s="87"/>
      <c r="V562" s="87"/>
      <c r="W562" s="87"/>
      <c r="X562" s="87"/>
      <c r="Y562" s="87"/>
      <c r="Z562" s="87"/>
      <c r="AA562" s="87"/>
      <c r="AB562" s="87"/>
      <c r="AC562" s="87"/>
      <c r="AD562" s="87"/>
      <c r="AE562" s="87"/>
      <c r="AF562" s="87"/>
      <c r="AG562" s="87"/>
      <c r="AH562" s="87"/>
      <c r="AI562" s="87"/>
      <c r="AJ562" s="87"/>
      <c r="AK562" s="87"/>
      <c r="AL562" s="87"/>
    </row>
    <row r="563" spans="10:38" ht="15.75" customHeight="1">
      <c r="J563" s="87"/>
      <c r="O563" s="84"/>
      <c r="Q563" s="87"/>
      <c r="S563" s="87"/>
      <c r="T563" s="87"/>
      <c r="U563" s="87"/>
      <c r="V563" s="87"/>
      <c r="W563" s="87"/>
      <c r="X563" s="87"/>
      <c r="Y563" s="87"/>
      <c r="Z563" s="87"/>
      <c r="AA563" s="87"/>
      <c r="AB563" s="87"/>
      <c r="AC563" s="87"/>
      <c r="AD563" s="87"/>
      <c r="AE563" s="87"/>
      <c r="AF563" s="87"/>
      <c r="AG563" s="87"/>
      <c r="AH563" s="87"/>
      <c r="AI563" s="87"/>
      <c r="AJ563" s="87"/>
      <c r="AK563" s="87"/>
      <c r="AL563" s="87"/>
    </row>
    <row r="564" spans="10:38" ht="15.75" customHeight="1">
      <c r="J564" s="87"/>
      <c r="O564" s="84"/>
      <c r="Q564" s="87"/>
      <c r="S564" s="87"/>
      <c r="T564" s="87"/>
      <c r="U564" s="87"/>
      <c r="V564" s="87"/>
      <c r="W564" s="87"/>
      <c r="X564" s="87"/>
      <c r="Y564" s="87"/>
      <c r="Z564" s="87"/>
      <c r="AA564" s="87"/>
      <c r="AB564" s="87"/>
      <c r="AC564" s="87"/>
      <c r="AD564" s="87"/>
      <c r="AE564" s="87"/>
      <c r="AF564" s="87"/>
      <c r="AG564" s="87"/>
      <c r="AH564" s="87"/>
      <c r="AI564" s="87"/>
      <c r="AJ564" s="87"/>
      <c r="AK564" s="87"/>
      <c r="AL564" s="87"/>
    </row>
    <row r="565" spans="10:38" ht="15.75" customHeight="1">
      <c r="J565" s="87"/>
      <c r="O565" s="84"/>
      <c r="Q565" s="87"/>
      <c r="S565" s="87"/>
      <c r="T565" s="87"/>
      <c r="U565" s="87"/>
      <c r="V565" s="87"/>
      <c r="W565" s="87"/>
      <c r="X565" s="87"/>
      <c r="Y565" s="87"/>
      <c r="Z565" s="87"/>
      <c r="AA565" s="87"/>
      <c r="AB565" s="87"/>
      <c r="AC565" s="87"/>
      <c r="AD565" s="87"/>
      <c r="AE565" s="87"/>
      <c r="AF565" s="87"/>
      <c r="AG565" s="87"/>
      <c r="AH565" s="87"/>
      <c r="AI565" s="87"/>
      <c r="AJ565" s="87"/>
      <c r="AK565" s="87"/>
      <c r="AL565" s="87"/>
    </row>
    <row r="566" spans="10:38" ht="15.75" customHeight="1">
      <c r="J566" s="87"/>
      <c r="O566" s="84"/>
      <c r="Q566" s="87"/>
      <c r="S566" s="87"/>
      <c r="T566" s="87"/>
      <c r="U566" s="87"/>
      <c r="V566" s="87"/>
      <c r="W566" s="87"/>
      <c r="X566" s="87"/>
      <c r="Y566" s="87"/>
      <c r="Z566" s="87"/>
      <c r="AA566" s="87"/>
      <c r="AB566" s="87"/>
      <c r="AC566" s="87"/>
      <c r="AD566" s="87"/>
      <c r="AE566" s="87"/>
      <c r="AF566" s="87"/>
      <c r="AG566" s="87"/>
      <c r="AH566" s="87"/>
      <c r="AI566" s="87"/>
      <c r="AJ566" s="87"/>
      <c r="AK566" s="87"/>
      <c r="AL566" s="87"/>
    </row>
    <row r="567" spans="10:38" ht="15.75" customHeight="1">
      <c r="J567" s="87"/>
      <c r="O567" s="84"/>
      <c r="Q567" s="87"/>
      <c r="S567" s="87"/>
      <c r="T567" s="87"/>
      <c r="U567" s="87"/>
      <c r="V567" s="87"/>
      <c r="W567" s="87"/>
      <c r="X567" s="87"/>
      <c r="Y567" s="87"/>
      <c r="Z567" s="87"/>
      <c r="AA567" s="87"/>
      <c r="AB567" s="87"/>
      <c r="AC567" s="87"/>
      <c r="AD567" s="87"/>
      <c r="AE567" s="87"/>
      <c r="AF567" s="87"/>
      <c r="AG567" s="87"/>
      <c r="AH567" s="87"/>
      <c r="AI567" s="87"/>
      <c r="AJ567" s="87"/>
      <c r="AK567" s="87"/>
      <c r="AL567" s="87"/>
    </row>
    <row r="568" spans="10:38" ht="15.75" customHeight="1">
      <c r="J568" s="87"/>
      <c r="O568" s="84"/>
      <c r="Q568" s="87"/>
      <c r="S568" s="87"/>
      <c r="T568" s="87"/>
      <c r="U568" s="87"/>
      <c r="V568" s="87"/>
      <c r="W568" s="87"/>
      <c r="X568" s="87"/>
      <c r="Y568" s="87"/>
      <c r="Z568" s="87"/>
      <c r="AA568" s="87"/>
      <c r="AB568" s="87"/>
      <c r="AC568" s="87"/>
      <c r="AD568" s="87"/>
      <c r="AE568" s="87"/>
      <c r="AF568" s="87"/>
      <c r="AG568" s="87"/>
      <c r="AH568" s="87"/>
      <c r="AI568" s="87"/>
      <c r="AJ568" s="87"/>
      <c r="AK568" s="87"/>
      <c r="AL568" s="87"/>
    </row>
    <row r="569" spans="10:38" ht="15.75" customHeight="1">
      <c r="J569" s="87"/>
      <c r="O569" s="84"/>
      <c r="Q569" s="87"/>
      <c r="S569" s="87"/>
      <c r="T569" s="87"/>
      <c r="U569" s="87"/>
      <c r="V569" s="87"/>
      <c r="W569" s="87"/>
      <c r="X569" s="87"/>
      <c r="Y569" s="87"/>
      <c r="Z569" s="87"/>
      <c r="AA569" s="87"/>
      <c r="AB569" s="87"/>
      <c r="AC569" s="87"/>
      <c r="AD569" s="87"/>
      <c r="AE569" s="87"/>
      <c r="AF569" s="87"/>
      <c r="AG569" s="87"/>
      <c r="AH569" s="87"/>
      <c r="AI569" s="87"/>
      <c r="AJ569" s="87"/>
      <c r="AK569" s="87"/>
      <c r="AL569" s="87"/>
    </row>
    <row r="570" spans="10:38" ht="15.75" customHeight="1">
      <c r="J570" s="87"/>
      <c r="O570" s="84"/>
      <c r="Q570" s="87"/>
      <c r="S570" s="87"/>
      <c r="T570" s="87"/>
      <c r="U570" s="87"/>
      <c r="V570" s="87"/>
      <c r="W570" s="87"/>
      <c r="X570" s="87"/>
      <c r="Y570" s="87"/>
      <c r="Z570" s="87"/>
      <c r="AA570" s="87"/>
      <c r="AB570" s="87"/>
      <c r="AC570" s="87"/>
      <c r="AD570" s="87"/>
      <c r="AE570" s="87"/>
      <c r="AF570" s="87"/>
      <c r="AG570" s="87"/>
      <c r="AH570" s="87"/>
      <c r="AI570" s="87"/>
      <c r="AJ570" s="87"/>
      <c r="AK570" s="87"/>
      <c r="AL570" s="87"/>
    </row>
    <row r="571" spans="10:38" ht="15.75" customHeight="1">
      <c r="J571" s="87"/>
      <c r="O571" s="84"/>
      <c r="Q571" s="87"/>
      <c r="S571" s="87"/>
      <c r="T571" s="87"/>
      <c r="U571" s="87"/>
      <c r="V571" s="87"/>
      <c r="W571" s="87"/>
      <c r="X571" s="87"/>
      <c r="Y571" s="87"/>
      <c r="Z571" s="87"/>
      <c r="AA571" s="87"/>
      <c r="AB571" s="87"/>
      <c r="AC571" s="87"/>
      <c r="AD571" s="87"/>
      <c r="AE571" s="87"/>
      <c r="AF571" s="87"/>
      <c r="AG571" s="87"/>
      <c r="AH571" s="87"/>
      <c r="AI571" s="87"/>
      <c r="AJ571" s="87"/>
      <c r="AK571" s="87"/>
      <c r="AL571" s="87"/>
    </row>
    <row r="572" spans="10:38" ht="15.75" customHeight="1">
      <c r="J572" s="87"/>
      <c r="O572" s="84"/>
      <c r="Q572" s="87"/>
      <c r="S572" s="87"/>
      <c r="T572" s="87"/>
      <c r="U572" s="87"/>
      <c r="V572" s="87"/>
      <c r="W572" s="87"/>
      <c r="X572" s="87"/>
      <c r="Y572" s="87"/>
      <c r="Z572" s="87"/>
      <c r="AA572" s="87"/>
      <c r="AB572" s="87"/>
      <c r="AC572" s="87"/>
      <c r="AD572" s="87"/>
      <c r="AE572" s="87"/>
      <c r="AF572" s="87"/>
      <c r="AG572" s="87"/>
      <c r="AH572" s="87"/>
      <c r="AI572" s="87"/>
      <c r="AJ572" s="87"/>
      <c r="AK572" s="87"/>
      <c r="AL572" s="87"/>
    </row>
    <row r="573" spans="10:38" ht="15.75" customHeight="1">
      <c r="J573" s="87"/>
      <c r="O573" s="84"/>
      <c r="Q573" s="87"/>
      <c r="S573" s="87"/>
      <c r="T573" s="87"/>
      <c r="U573" s="87"/>
      <c r="V573" s="87"/>
      <c r="W573" s="87"/>
      <c r="X573" s="87"/>
      <c r="Y573" s="87"/>
      <c r="Z573" s="87"/>
      <c r="AA573" s="87"/>
      <c r="AB573" s="87"/>
      <c r="AC573" s="87"/>
      <c r="AD573" s="87"/>
      <c r="AE573" s="87"/>
      <c r="AF573" s="87"/>
      <c r="AG573" s="87"/>
      <c r="AH573" s="87"/>
      <c r="AI573" s="87"/>
      <c r="AJ573" s="87"/>
      <c r="AK573" s="87"/>
      <c r="AL573" s="87"/>
    </row>
    <row r="574" spans="10:38" ht="15.75" customHeight="1">
      <c r="J574" s="87"/>
      <c r="O574" s="84"/>
      <c r="Q574" s="87"/>
      <c r="S574" s="87"/>
      <c r="T574" s="87"/>
      <c r="U574" s="87"/>
      <c r="V574" s="87"/>
      <c r="W574" s="87"/>
      <c r="X574" s="87"/>
      <c r="Y574" s="87"/>
      <c r="Z574" s="87"/>
      <c r="AA574" s="87"/>
      <c r="AB574" s="87"/>
      <c r="AC574" s="87"/>
      <c r="AD574" s="87"/>
      <c r="AE574" s="87"/>
      <c r="AF574" s="87"/>
      <c r="AG574" s="87"/>
      <c r="AH574" s="87"/>
      <c r="AI574" s="87"/>
      <c r="AJ574" s="87"/>
      <c r="AK574" s="87"/>
      <c r="AL574" s="87"/>
    </row>
    <row r="575" spans="10:38" ht="15.75" customHeight="1">
      <c r="J575" s="87"/>
      <c r="O575" s="84"/>
      <c r="Q575" s="87"/>
      <c r="S575" s="87"/>
      <c r="T575" s="87"/>
      <c r="U575" s="87"/>
      <c r="V575" s="87"/>
      <c r="W575" s="87"/>
      <c r="X575" s="87"/>
      <c r="Y575" s="87"/>
      <c r="Z575" s="87"/>
      <c r="AA575" s="87"/>
      <c r="AB575" s="87"/>
      <c r="AC575" s="87"/>
      <c r="AD575" s="87"/>
      <c r="AE575" s="87"/>
      <c r="AF575" s="87"/>
      <c r="AG575" s="87"/>
      <c r="AH575" s="87"/>
      <c r="AI575" s="87"/>
      <c r="AJ575" s="87"/>
      <c r="AK575" s="87"/>
      <c r="AL575" s="87"/>
    </row>
    <row r="576" spans="10:38" ht="15.75" customHeight="1">
      <c r="J576" s="87"/>
      <c r="O576" s="84"/>
      <c r="Q576" s="87"/>
      <c r="S576" s="87"/>
      <c r="T576" s="87"/>
      <c r="U576" s="87"/>
      <c r="V576" s="87"/>
      <c r="W576" s="87"/>
      <c r="X576" s="87"/>
      <c r="Y576" s="87"/>
      <c r="Z576" s="87"/>
      <c r="AA576" s="87"/>
      <c r="AB576" s="87"/>
      <c r="AC576" s="87"/>
      <c r="AD576" s="87"/>
      <c r="AE576" s="87"/>
      <c r="AF576" s="87"/>
      <c r="AG576" s="87"/>
      <c r="AH576" s="87"/>
      <c r="AI576" s="87"/>
      <c r="AJ576" s="87"/>
      <c r="AK576" s="87"/>
      <c r="AL576" s="87"/>
    </row>
    <row r="577" spans="10:38" ht="15.75" customHeight="1">
      <c r="J577" s="87"/>
      <c r="O577" s="84"/>
      <c r="Q577" s="87"/>
      <c r="S577" s="87"/>
      <c r="T577" s="87"/>
      <c r="U577" s="87"/>
      <c r="V577" s="87"/>
      <c r="W577" s="87"/>
      <c r="X577" s="87"/>
      <c r="Y577" s="87"/>
      <c r="Z577" s="87"/>
      <c r="AA577" s="87"/>
      <c r="AB577" s="87"/>
      <c r="AC577" s="87"/>
      <c r="AD577" s="87"/>
      <c r="AE577" s="87"/>
      <c r="AF577" s="87"/>
      <c r="AG577" s="87"/>
      <c r="AH577" s="87"/>
      <c r="AI577" s="87"/>
      <c r="AJ577" s="87"/>
      <c r="AK577" s="87"/>
      <c r="AL577" s="87"/>
    </row>
    <row r="578" spans="10:38" ht="15.75" customHeight="1">
      <c r="J578" s="87"/>
      <c r="O578" s="84"/>
      <c r="Q578" s="87"/>
      <c r="S578" s="87"/>
      <c r="T578" s="87"/>
      <c r="U578" s="87"/>
      <c r="V578" s="87"/>
      <c r="W578" s="87"/>
      <c r="X578" s="87"/>
      <c r="Y578" s="87"/>
      <c r="Z578" s="87"/>
      <c r="AA578" s="87"/>
      <c r="AB578" s="87"/>
      <c r="AC578" s="87"/>
      <c r="AD578" s="87"/>
      <c r="AE578" s="87"/>
      <c r="AF578" s="87"/>
      <c r="AG578" s="87"/>
      <c r="AH578" s="87"/>
      <c r="AI578" s="87"/>
      <c r="AJ578" s="87"/>
      <c r="AK578" s="87"/>
      <c r="AL578" s="87"/>
    </row>
    <row r="579" spans="10:38" ht="15.75" customHeight="1">
      <c r="J579" s="87"/>
      <c r="O579" s="84"/>
      <c r="Q579" s="87"/>
      <c r="S579" s="87"/>
      <c r="T579" s="87"/>
      <c r="U579" s="87"/>
      <c r="V579" s="87"/>
      <c r="W579" s="87"/>
      <c r="X579" s="87"/>
      <c r="Y579" s="87"/>
      <c r="Z579" s="87"/>
      <c r="AA579" s="87"/>
      <c r="AB579" s="87"/>
      <c r="AC579" s="87"/>
      <c r="AD579" s="87"/>
      <c r="AE579" s="87"/>
      <c r="AF579" s="87"/>
      <c r="AG579" s="87"/>
      <c r="AH579" s="87"/>
      <c r="AI579" s="87"/>
      <c r="AJ579" s="87"/>
      <c r="AK579" s="87"/>
      <c r="AL579" s="87"/>
    </row>
    <row r="580" spans="10:38" ht="15.75" customHeight="1">
      <c r="J580" s="87"/>
      <c r="O580" s="84"/>
      <c r="Q580" s="87"/>
      <c r="S580" s="87"/>
      <c r="T580" s="87"/>
      <c r="U580" s="87"/>
      <c r="V580" s="87"/>
      <c r="W580" s="87"/>
      <c r="X580" s="87"/>
      <c r="Y580" s="87"/>
      <c r="Z580" s="87"/>
      <c r="AA580" s="87"/>
      <c r="AB580" s="87"/>
      <c r="AC580" s="87"/>
      <c r="AD580" s="87"/>
      <c r="AE580" s="87"/>
      <c r="AF580" s="87"/>
      <c r="AG580" s="87"/>
      <c r="AH580" s="87"/>
      <c r="AI580" s="87"/>
      <c r="AJ580" s="87"/>
      <c r="AK580" s="87"/>
      <c r="AL580" s="87"/>
    </row>
    <row r="581" spans="10:38" ht="15.75" customHeight="1">
      <c r="J581" s="87"/>
      <c r="O581" s="84"/>
      <c r="Q581" s="87"/>
      <c r="S581" s="87"/>
      <c r="T581" s="87"/>
      <c r="U581" s="87"/>
      <c r="V581" s="87"/>
      <c r="W581" s="87"/>
      <c r="X581" s="87"/>
      <c r="Y581" s="87"/>
      <c r="Z581" s="87"/>
      <c r="AA581" s="87"/>
      <c r="AB581" s="87"/>
      <c r="AC581" s="87"/>
      <c r="AD581" s="87"/>
      <c r="AE581" s="87"/>
      <c r="AF581" s="87"/>
      <c r="AG581" s="87"/>
      <c r="AH581" s="87"/>
      <c r="AI581" s="87"/>
      <c r="AJ581" s="87"/>
      <c r="AK581" s="87"/>
      <c r="AL581" s="87"/>
    </row>
    <row r="582" spans="10:38" ht="15.75" customHeight="1">
      <c r="J582" s="87"/>
      <c r="O582" s="84"/>
      <c r="Q582" s="87"/>
      <c r="S582" s="87"/>
      <c r="T582" s="87"/>
      <c r="U582" s="87"/>
      <c r="V582" s="87"/>
      <c r="W582" s="87"/>
      <c r="X582" s="87"/>
      <c r="Y582" s="87"/>
      <c r="Z582" s="87"/>
      <c r="AA582" s="87"/>
      <c r="AB582" s="87"/>
      <c r="AC582" s="87"/>
      <c r="AD582" s="87"/>
      <c r="AE582" s="87"/>
      <c r="AF582" s="87"/>
      <c r="AG582" s="87"/>
      <c r="AH582" s="87"/>
      <c r="AI582" s="87"/>
      <c r="AJ582" s="87"/>
      <c r="AK582" s="87"/>
      <c r="AL582" s="87"/>
    </row>
    <row r="583" spans="10:38" ht="15.75" customHeight="1">
      <c r="J583" s="87"/>
      <c r="O583" s="84"/>
      <c r="Q583" s="87"/>
      <c r="S583" s="87"/>
      <c r="T583" s="87"/>
      <c r="U583" s="87"/>
      <c r="V583" s="87"/>
      <c r="W583" s="87"/>
      <c r="X583" s="87"/>
      <c r="Y583" s="87"/>
      <c r="Z583" s="87"/>
      <c r="AA583" s="87"/>
      <c r="AB583" s="87"/>
      <c r="AC583" s="87"/>
      <c r="AD583" s="87"/>
      <c r="AE583" s="87"/>
      <c r="AF583" s="87"/>
      <c r="AG583" s="87"/>
      <c r="AH583" s="87"/>
      <c r="AI583" s="87"/>
      <c r="AJ583" s="87"/>
      <c r="AK583" s="87"/>
      <c r="AL583" s="87"/>
    </row>
    <row r="584" spans="10:38" ht="15.75" customHeight="1">
      <c r="J584" s="87"/>
      <c r="O584" s="84"/>
      <c r="Q584" s="87"/>
      <c r="S584" s="87"/>
      <c r="T584" s="87"/>
      <c r="U584" s="87"/>
      <c r="V584" s="87"/>
      <c r="W584" s="87"/>
      <c r="X584" s="87"/>
      <c r="Y584" s="87"/>
      <c r="Z584" s="87"/>
      <c r="AA584" s="87"/>
      <c r="AB584" s="87"/>
      <c r="AC584" s="87"/>
      <c r="AD584" s="87"/>
      <c r="AE584" s="87"/>
      <c r="AF584" s="87"/>
      <c r="AG584" s="87"/>
      <c r="AH584" s="87"/>
      <c r="AI584" s="87"/>
      <c r="AJ584" s="87"/>
      <c r="AK584" s="87"/>
      <c r="AL584" s="87"/>
    </row>
    <row r="585" spans="10:38" ht="15.75" customHeight="1">
      <c r="J585" s="87"/>
      <c r="O585" s="84"/>
      <c r="Q585" s="87"/>
      <c r="S585" s="87"/>
      <c r="T585" s="87"/>
      <c r="U585" s="87"/>
      <c r="V585" s="87"/>
      <c r="W585" s="87"/>
      <c r="X585" s="87"/>
      <c r="Y585" s="87"/>
      <c r="Z585" s="87"/>
      <c r="AA585" s="87"/>
      <c r="AB585" s="87"/>
      <c r="AC585" s="87"/>
      <c r="AD585" s="87"/>
      <c r="AE585" s="87"/>
      <c r="AF585" s="87"/>
      <c r="AG585" s="87"/>
      <c r="AH585" s="87"/>
      <c r="AI585" s="87"/>
      <c r="AJ585" s="87"/>
      <c r="AK585" s="87"/>
      <c r="AL585" s="87"/>
    </row>
    <row r="586" spans="10:38" ht="15.75" customHeight="1">
      <c r="J586" s="87"/>
      <c r="O586" s="84"/>
      <c r="Q586" s="87"/>
      <c r="S586" s="87"/>
      <c r="T586" s="87"/>
      <c r="U586" s="87"/>
      <c r="V586" s="87"/>
      <c r="W586" s="87"/>
      <c r="X586" s="87"/>
      <c r="Y586" s="87"/>
      <c r="Z586" s="87"/>
      <c r="AA586" s="87"/>
      <c r="AB586" s="87"/>
      <c r="AC586" s="87"/>
      <c r="AD586" s="87"/>
      <c r="AE586" s="87"/>
      <c r="AF586" s="87"/>
      <c r="AG586" s="87"/>
      <c r="AH586" s="87"/>
      <c r="AI586" s="87"/>
      <c r="AJ586" s="87"/>
      <c r="AK586" s="87"/>
      <c r="AL586" s="87"/>
    </row>
    <row r="587" spans="10:38" ht="15.75" customHeight="1">
      <c r="J587" s="87"/>
      <c r="O587" s="84"/>
      <c r="Q587" s="87"/>
      <c r="S587" s="87"/>
      <c r="T587" s="87"/>
      <c r="U587" s="87"/>
      <c r="V587" s="87"/>
      <c r="W587" s="87"/>
      <c r="X587" s="87"/>
      <c r="Y587" s="87"/>
      <c r="Z587" s="87"/>
      <c r="AA587" s="87"/>
      <c r="AB587" s="87"/>
      <c r="AC587" s="87"/>
      <c r="AD587" s="87"/>
      <c r="AE587" s="87"/>
      <c r="AF587" s="87"/>
      <c r="AG587" s="87"/>
      <c r="AH587" s="87"/>
      <c r="AI587" s="87"/>
      <c r="AJ587" s="87"/>
      <c r="AK587" s="87"/>
      <c r="AL587" s="87"/>
    </row>
    <row r="588" spans="10:38" ht="15.75" customHeight="1">
      <c r="J588" s="87"/>
      <c r="O588" s="84"/>
      <c r="Q588" s="87"/>
      <c r="S588" s="87"/>
      <c r="T588" s="87"/>
      <c r="U588" s="87"/>
      <c r="V588" s="87"/>
      <c r="W588" s="87"/>
      <c r="X588" s="87"/>
      <c r="Y588" s="87"/>
      <c r="Z588" s="87"/>
      <c r="AA588" s="87"/>
      <c r="AB588" s="87"/>
      <c r="AC588" s="87"/>
      <c r="AD588" s="87"/>
      <c r="AE588" s="87"/>
      <c r="AF588" s="87"/>
      <c r="AG588" s="87"/>
      <c r="AH588" s="87"/>
      <c r="AI588" s="87"/>
      <c r="AJ588" s="87"/>
      <c r="AK588" s="87"/>
      <c r="AL588" s="87"/>
    </row>
    <row r="589" spans="10:38" ht="15.75" customHeight="1">
      <c r="J589" s="87"/>
      <c r="O589" s="84"/>
      <c r="Q589" s="87"/>
      <c r="S589" s="87"/>
      <c r="T589" s="87"/>
      <c r="U589" s="87"/>
      <c r="V589" s="87"/>
      <c r="W589" s="87"/>
      <c r="X589" s="87"/>
      <c r="Y589" s="87"/>
      <c r="Z589" s="87"/>
      <c r="AA589" s="87"/>
      <c r="AB589" s="87"/>
      <c r="AC589" s="87"/>
      <c r="AD589" s="87"/>
      <c r="AE589" s="87"/>
      <c r="AF589" s="87"/>
      <c r="AG589" s="87"/>
      <c r="AH589" s="87"/>
      <c r="AI589" s="87"/>
      <c r="AJ589" s="87"/>
      <c r="AK589" s="87"/>
      <c r="AL589" s="87"/>
    </row>
    <row r="590" spans="10:38" ht="15.75" customHeight="1">
      <c r="J590" s="87"/>
      <c r="O590" s="84"/>
      <c r="Q590" s="87"/>
      <c r="S590" s="87"/>
      <c r="T590" s="87"/>
      <c r="U590" s="87"/>
      <c r="V590" s="87"/>
      <c r="W590" s="87"/>
      <c r="X590" s="87"/>
      <c r="Y590" s="87"/>
      <c r="Z590" s="87"/>
      <c r="AA590" s="87"/>
      <c r="AB590" s="87"/>
      <c r="AC590" s="87"/>
      <c r="AD590" s="87"/>
      <c r="AE590" s="87"/>
      <c r="AF590" s="87"/>
      <c r="AG590" s="87"/>
      <c r="AH590" s="87"/>
      <c r="AI590" s="87"/>
      <c r="AJ590" s="87"/>
      <c r="AK590" s="87"/>
      <c r="AL590" s="87"/>
    </row>
    <row r="591" spans="10:38" ht="15.75" customHeight="1">
      <c r="J591" s="87"/>
      <c r="O591" s="84"/>
      <c r="Q591" s="87"/>
      <c r="S591" s="87"/>
      <c r="T591" s="87"/>
      <c r="U591" s="87"/>
      <c r="V591" s="87"/>
      <c r="W591" s="87"/>
      <c r="X591" s="87"/>
      <c r="Y591" s="87"/>
      <c r="Z591" s="87"/>
      <c r="AA591" s="87"/>
      <c r="AB591" s="87"/>
      <c r="AC591" s="87"/>
      <c r="AD591" s="87"/>
      <c r="AE591" s="87"/>
      <c r="AF591" s="87"/>
      <c r="AG591" s="87"/>
      <c r="AH591" s="87"/>
      <c r="AI591" s="87"/>
      <c r="AJ591" s="87"/>
      <c r="AK591" s="87"/>
      <c r="AL591" s="87"/>
    </row>
    <row r="592" spans="10:38" ht="15.75" customHeight="1">
      <c r="J592" s="87"/>
      <c r="O592" s="84"/>
      <c r="Q592" s="87"/>
      <c r="S592" s="87"/>
      <c r="T592" s="87"/>
      <c r="U592" s="87"/>
      <c r="V592" s="87"/>
      <c r="W592" s="87"/>
      <c r="X592" s="87"/>
      <c r="Y592" s="87"/>
      <c r="Z592" s="87"/>
      <c r="AA592" s="87"/>
      <c r="AB592" s="87"/>
      <c r="AC592" s="87"/>
      <c r="AD592" s="87"/>
      <c r="AE592" s="87"/>
      <c r="AF592" s="87"/>
      <c r="AG592" s="87"/>
      <c r="AH592" s="87"/>
      <c r="AI592" s="87"/>
      <c r="AJ592" s="87"/>
      <c r="AK592" s="87"/>
      <c r="AL592" s="87"/>
    </row>
    <row r="593" spans="10:38" ht="15.75" customHeight="1">
      <c r="J593" s="87"/>
      <c r="O593" s="84"/>
      <c r="Q593" s="87"/>
      <c r="S593" s="87"/>
      <c r="T593" s="87"/>
      <c r="U593" s="87"/>
      <c r="V593" s="87"/>
      <c r="W593" s="87"/>
      <c r="X593" s="87"/>
      <c r="Y593" s="87"/>
      <c r="Z593" s="87"/>
      <c r="AA593" s="87"/>
      <c r="AB593" s="87"/>
      <c r="AC593" s="87"/>
      <c r="AD593" s="87"/>
      <c r="AE593" s="87"/>
      <c r="AF593" s="87"/>
      <c r="AG593" s="87"/>
      <c r="AH593" s="87"/>
      <c r="AI593" s="87"/>
      <c r="AJ593" s="87"/>
      <c r="AK593" s="87"/>
      <c r="AL593" s="87"/>
    </row>
    <row r="594" spans="10:38" ht="15.75" customHeight="1">
      <c r="J594" s="87"/>
      <c r="O594" s="84"/>
      <c r="Q594" s="87"/>
      <c r="S594" s="87"/>
      <c r="T594" s="87"/>
      <c r="U594" s="87"/>
      <c r="V594" s="87"/>
      <c r="W594" s="87"/>
      <c r="X594" s="87"/>
      <c r="Y594" s="87"/>
      <c r="Z594" s="87"/>
      <c r="AA594" s="87"/>
      <c r="AB594" s="87"/>
      <c r="AC594" s="87"/>
      <c r="AD594" s="87"/>
      <c r="AE594" s="87"/>
      <c r="AF594" s="87"/>
      <c r="AG594" s="87"/>
      <c r="AH594" s="87"/>
      <c r="AI594" s="87"/>
      <c r="AJ594" s="87"/>
      <c r="AK594" s="87"/>
      <c r="AL594" s="87"/>
    </row>
    <row r="595" spans="10:38" ht="15.75" customHeight="1">
      <c r="J595" s="87"/>
      <c r="O595" s="84"/>
      <c r="Q595" s="87"/>
      <c r="S595" s="87"/>
      <c r="T595" s="87"/>
      <c r="U595" s="87"/>
      <c r="V595" s="87"/>
      <c r="W595" s="87"/>
      <c r="X595" s="87"/>
      <c r="Y595" s="87"/>
      <c r="Z595" s="87"/>
      <c r="AA595" s="87"/>
      <c r="AB595" s="87"/>
      <c r="AC595" s="87"/>
      <c r="AD595" s="87"/>
      <c r="AE595" s="87"/>
      <c r="AF595" s="87"/>
      <c r="AG595" s="87"/>
      <c r="AH595" s="87"/>
      <c r="AI595" s="87"/>
      <c r="AJ595" s="87"/>
      <c r="AK595" s="87"/>
      <c r="AL595" s="87"/>
    </row>
    <row r="596" spans="10:38" ht="15.75" customHeight="1">
      <c r="J596" s="87"/>
      <c r="O596" s="84"/>
      <c r="Q596" s="87"/>
      <c r="S596" s="87"/>
      <c r="T596" s="87"/>
      <c r="U596" s="87"/>
      <c r="V596" s="87"/>
      <c r="W596" s="87"/>
      <c r="X596" s="87"/>
      <c r="Y596" s="87"/>
      <c r="Z596" s="87"/>
      <c r="AA596" s="87"/>
      <c r="AB596" s="87"/>
      <c r="AC596" s="87"/>
      <c r="AD596" s="87"/>
      <c r="AE596" s="87"/>
      <c r="AF596" s="87"/>
      <c r="AG596" s="87"/>
      <c r="AH596" s="87"/>
      <c r="AI596" s="87"/>
      <c r="AJ596" s="87"/>
      <c r="AK596" s="87"/>
      <c r="AL596" s="87"/>
    </row>
    <row r="597" spans="10:38" ht="15.75" customHeight="1">
      <c r="J597" s="87"/>
      <c r="O597" s="84"/>
      <c r="Q597" s="87"/>
      <c r="S597" s="87"/>
      <c r="T597" s="87"/>
      <c r="U597" s="87"/>
      <c r="V597" s="87"/>
      <c r="W597" s="87"/>
      <c r="X597" s="87"/>
      <c r="Y597" s="87"/>
      <c r="Z597" s="87"/>
      <c r="AA597" s="87"/>
      <c r="AB597" s="87"/>
      <c r="AC597" s="87"/>
      <c r="AD597" s="87"/>
      <c r="AE597" s="87"/>
      <c r="AF597" s="87"/>
      <c r="AG597" s="87"/>
      <c r="AH597" s="87"/>
      <c r="AI597" s="87"/>
      <c r="AJ597" s="87"/>
      <c r="AK597" s="87"/>
      <c r="AL597" s="87"/>
    </row>
    <row r="598" spans="10:38" ht="15.75" customHeight="1">
      <c r="J598" s="87"/>
      <c r="O598" s="84"/>
      <c r="Q598" s="87"/>
      <c r="S598" s="87"/>
      <c r="T598" s="87"/>
      <c r="U598" s="87"/>
      <c r="V598" s="87"/>
      <c r="W598" s="87"/>
      <c r="X598" s="87"/>
      <c r="Y598" s="87"/>
      <c r="Z598" s="87"/>
      <c r="AA598" s="87"/>
      <c r="AB598" s="87"/>
      <c r="AC598" s="87"/>
      <c r="AD598" s="87"/>
      <c r="AE598" s="87"/>
      <c r="AF598" s="87"/>
      <c r="AG598" s="87"/>
      <c r="AH598" s="87"/>
      <c r="AI598" s="87"/>
      <c r="AJ598" s="87"/>
      <c r="AK598" s="87"/>
      <c r="AL598" s="87"/>
    </row>
    <row r="599" spans="10:38" ht="15.75" customHeight="1">
      <c r="J599" s="87"/>
      <c r="O599" s="84"/>
      <c r="Q599" s="87"/>
      <c r="S599" s="87"/>
      <c r="T599" s="87"/>
      <c r="U599" s="87"/>
      <c r="V599" s="87"/>
      <c r="W599" s="87"/>
      <c r="X599" s="87"/>
      <c r="Y599" s="87"/>
      <c r="Z599" s="87"/>
      <c r="AA599" s="87"/>
      <c r="AB599" s="87"/>
      <c r="AC599" s="87"/>
      <c r="AD599" s="87"/>
      <c r="AE599" s="87"/>
      <c r="AF599" s="87"/>
      <c r="AG599" s="87"/>
      <c r="AH599" s="87"/>
      <c r="AI599" s="87"/>
      <c r="AJ599" s="87"/>
      <c r="AK599" s="87"/>
      <c r="AL599" s="87"/>
    </row>
    <row r="600" spans="10:38" ht="15.75" customHeight="1">
      <c r="J600" s="87"/>
      <c r="O600" s="84"/>
      <c r="Q600" s="87"/>
      <c r="S600" s="87"/>
      <c r="T600" s="87"/>
      <c r="U600" s="87"/>
      <c r="V600" s="87"/>
      <c r="W600" s="87"/>
      <c r="X600" s="87"/>
      <c r="Y600" s="87"/>
      <c r="Z600" s="87"/>
      <c r="AA600" s="87"/>
      <c r="AB600" s="87"/>
      <c r="AC600" s="87"/>
      <c r="AD600" s="87"/>
      <c r="AE600" s="87"/>
      <c r="AF600" s="87"/>
      <c r="AG600" s="87"/>
      <c r="AH600" s="87"/>
      <c r="AI600" s="87"/>
      <c r="AJ600" s="87"/>
      <c r="AK600" s="87"/>
      <c r="AL600" s="87"/>
    </row>
    <row r="601" spans="10:38" ht="15.75" customHeight="1">
      <c r="J601" s="87"/>
      <c r="O601" s="84"/>
      <c r="Q601" s="87"/>
      <c r="S601" s="87"/>
      <c r="T601" s="87"/>
      <c r="U601" s="87"/>
      <c r="V601" s="87"/>
      <c r="W601" s="87"/>
      <c r="X601" s="87"/>
      <c r="Y601" s="87"/>
      <c r="Z601" s="87"/>
      <c r="AA601" s="87"/>
      <c r="AB601" s="87"/>
      <c r="AC601" s="87"/>
      <c r="AD601" s="87"/>
      <c r="AE601" s="87"/>
      <c r="AF601" s="87"/>
      <c r="AG601" s="87"/>
      <c r="AH601" s="87"/>
      <c r="AI601" s="87"/>
      <c r="AJ601" s="87"/>
      <c r="AK601" s="87"/>
      <c r="AL601" s="87"/>
    </row>
    <row r="602" spans="10:38" ht="15.75" customHeight="1">
      <c r="J602" s="87"/>
      <c r="O602" s="84"/>
      <c r="Q602" s="87"/>
      <c r="S602" s="87"/>
      <c r="T602" s="87"/>
      <c r="U602" s="87"/>
      <c r="V602" s="87"/>
      <c r="W602" s="87"/>
      <c r="X602" s="87"/>
      <c r="Y602" s="87"/>
      <c r="Z602" s="87"/>
      <c r="AA602" s="87"/>
      <c r="AB602" s="87"/>
      <c r="AC602" s="87"/>
      <c r="AD602" s="87"/>
      <c r="AE602" s="87"/>
      <c r="AF602" s="87"/>
      <c r="AG602" s="87"/>
      <c r="AH602" s="87"/>
      <c r="AI602" s="87"/>
      <c r="AJ602" s="87"/>
      <c r="AK602" s="87"/>
      <c r="AL602" s="87"/>
    </row>
    <row r="603" spans="10:38" ht="15.75" customHeight="1">
      <c r="J603" s="87"/>
      <c r="O603" s="84"/>
      <c r="Q603" s="87"/>
      <c r="S603" s="87"/>
      <c r="T603" s="87"/>
      <c r="U603" s="87"/>
      <c r="V603" s="87"/>
      <c r="W603" s="87"/>
      <c r="X603" s="87"/>
      <c r="Y603" s="87"/>
      <c r="Z603" s="87"/>
      <c r="AA603" s="87"/>
      <c r="AB603" s="87"/>
      <c r="AC603" s="87"/>
      <c r="AD603" s="87"/>
      <c r="AE603" s="87"/>
      <c r="AF603" s="87"/>
      <c r="AG603" s="87"/>
      <c r="AH603" s="87"/>
      <c r="AI603" s="87"/>
      <c r="AJ603" s="87"/>
      <c r="AK603" s="87"/>
      <c r="AL603" s="87"/>
    </row>
    <row r="604" spans="10:38" ht="15.75" customHeight="1">
      <c r="J604" s="87"/>
      <c r="O604" s="84"/>
      <c r="Q604" s="87"/>
      <c r="S604" s="87"/>
      <c r="T604" s="87"/>
      <c r="U604" s="87"/>
      <c r="V604" s="87"/>
      <c r="W604" s="87"/>
      <c r="X604" s="87"/>
      <c r="Y604" s="87"/>
      <c r="Z604" s="87"/>
      <c r="AA604" s="87"/>
      <c r="AB604" s="87"/>
      <c r="AC604" s="87"/>
      <c r="AD604" s="87"/>
      <c r="AE604" s="87"/>
      <c r="AF604" s="87"/>
      <c r="AG604" s="87"/>
      <c r="AH604" s="87"/>
      <c r="AI604" s="87"/>
      <c r="AJ604" s="87"/>
      <c r="AK604" s="87"/>
      <c r="AL604" s="87"/>
    </row>
    <row r="605" spans="10:38" ht="15.75" customHeight="1">
      <c r="J605" s="87"/>
      <c r="O605" s="84"/>
      <c r="Q605" s="87"/>
      <c r="S605" s="87"/>
      <c r="T605" s="87"/>
      <c r="U605" s="87"/>
      <c r="V605" s="87"/>
      <c r="W605" s="87"/>
      <c r="X605" s="87"/>
      <c r="Y605" s="87"/>
      <c r="Z605" s="87"/>
      <c r="AA605" s="87"/>
      <c r="AB605" s="87"/>
      <c r="AC605" s="87"/>
      <c r="AD605" s="87"/>
      <c r="AE605" s="87"/>
      <c r="AF605" s="87"/>
      <c r="AG605" s="87"/>
      <c r="AH605" s="87"/>
      <c r="AI605" s="87"/>
      <c r="AJ605" s="87"/>
      <c r="AK605" s="87"/>
      <c r="AL605" s="87"/>
    </row>
    <row r="606" spans="10:38" ht="15.75" customHeight="1">
      <c r="J606" s="87"/>
      <c r="O606" s="84"/>
      <c r="Q606" s="87"/>
      <c r="S606" s="87"/>
      <c r="T606" s="87"/>
      <c r="U606" s="87"/>
      <c r="V606" s="87"/>
      <c r="W606" s="87"/>
      <c r="X606" s="87"/>
      <c r="Y606" s="87"/>
      <c r="Z606" s="87"/>
      <c r="AA606" s="87"/>
      <c r="AB606" s="87"/>
      <c r="AC606" s="87"/>
      <c r="AD606" s="87"/>
      <c r="AE606" s="87"/>
      <c r="AF606" s="87"/>
      <c r="AG606" s="87"/>
      <c r="AH606" s="87"/>
      <c r="AI606" s="87"/>
      <c r="AJ606" s="87"/>
      <c r="AK606" s="87"/>
      <c r="AL606" s="87"/>
    </row>
    <row r="607" spans="10:38" ht="15.75" customHeight="1">
      <c r="J607" s="87"/>
      <c r="O607" s="84"/>
      <c r="Q607" s="87"/>
      <c r="S607" s="87"/>
      <c r="T607" s="87"/>
      <c r="U607" s="87"/>
      <c r="V607" s="87"/>
      <c r="W607" s="87"/>
      <c r="X607" s="87"/>
      <c r="Y607" s="87"/>
      <c r="Z607" s="87"/>
      <c r="AA607" s="87"/>
      <c r="AB607" s="87"/>
      <c r="AC607" s="87"/>
      <c r="AD607" s="87"/>
      <c r="AE607" s="87"/>
      <c r="AF607" s="87"/>
      <c r="AG607" s="87"/>
      <c r="AH607" s="87"/>
      <c r="AI607" s="87"/>
      <c r="AJ607" s="87"/>
      <c r="AK607" s="87"/>
      <c r="AL607" s="87"/>
    </row>
    <row r="608" spans="10:38" ht="15.75" customHeight="1">
      <c r="J608" s="87"/>
      <c r="O608" s="84"/>
      <c r="Q608" s="87"/>
      <c r="S608" s="87"/>
      <c r="T608" s="87"/>
      <c r="U608" s="87"/>
      <c r="V608" s="87"/>
      <c r="W608" s="87"/>
      <c r="X608" s="87"/>
      <c r="Y608" s="87"/>
      <c r="Z608" s="87"/>
      <c r="AA608" s="87"/>
      <c r="AB608" s="87"/>
      <c r="AC608" s="87"/>
      <c r="AD608" s="87"/>
      <c r="AE608" s="87"/>
      <c r="AF608" s="87"/>
      <c r="AG608" s="87"/>
      <c r="AH608" s="87"/>
      <c r="AI608" s="87"/>
      <c r="AJ608" s="87"/>
      <c r="AK608" s="87"/>
      <c r="AL608" s="87"/>
    </row>
    <row r="609" spans="10:38" ht="15.75" customHeight="1">
      <c r="J609" s="87"/>
      <c r="O609" s="84"/>
      <c r="Q609" s="87"/>
      <c r="S609" s="87"/>
      <c r="T609" s="87"/>
      <c r="U609" s="87"/>
      <c r="V609" s="87"/>
      <c r="W609" s="87"/>
      <c r="X609" s="87"/>
      <c r="Y609" s="87"/>
      <c r="Z609" s="87"/>
      <c r="AA609" s="87"/>
      <c r="AB609" s="87"/>
      <c r="AC609" s="87"/>
      <c r="AD609" s="87"/>
      <c r="AE609" s="87"/>
      <c r="AF609" s="87"/>
      <c r="AG609" s="87"/>
      <c r="AH609" s="87"/>
      <c r="AI609" s="87"/>
      <c r="AJ609" s="87"/>
      <c r="AK609" s="87"/>
      <c r="AL609" s="87"/>
    </row>
    <row r="610" spans="10:38" ht="15.75" customHeight="1">
      <c r="J610" s="87"/>
      <c r="O610" s="84"/>
      <c r="Q610" s="87"/>
      <c r="S610" s="87"/>
      <c r="T610" s="87"/>
      <c r="U610" s="87"/>
      <c r="V610" s="87"/>
      <c r="W610" s="87"/>
      <c r="X610" s="87"/>
      <c r="Y610" s="87"/>
      <c r="Z610" s="87"/>
      <c r="AA610" s="87"/>
      <c r="AB610" s="87"/>
      <c r="AC610" s="87"/>
      <c r="AD610" s="87"/>
      <c r="AE610" s="87"/>
      <c r="AF610" s="87"/>
      <c r="AG610" s="87"/>
      <c r="AH610" s="87"/>
      <c r="AI610" s="87"/>
      <c r="AJ610" s="87"/>
      <c r="AK610" s="87"/>
      <c r="AL610" s="87"/>
    </row>
    <row r="611" spans="10:38" ht="15.75" customHeight="1">
      <c r="J611" s="87"/>
      <c r="O611" s="84"/>
      <c r="Q611" s="87"/>
      <c r="S611" s="87"/>
      <c r="T611" s="87"/>
      <c r="U611" s="87"/>
      <c r="V611" s="87"/>
      <c r="W611" s="87"/>
      <c r="X611" s="87"/>
      <c r="Y611" s="87"/>
      <c r="Z611" s="87"/>
      <c r="AA611" s="87"/>
      <c r="AB611" s="87"/>
      <c r="AC611" s="87"/>
      <c r="AD611" s="87"/>
      <c r="AE611" s="87"/>
      <c r="AF611" s="87"/>
      <c r="AG611" s="87"/>
      <c r="AH611" s="87"/>
      <c r="AI611" s="87"/>
      <c r="AJ611" s="87"/>
      <c r="AK611" s="87"/>
      <c r="AL611" s="87"/>
    </row>
    <row r="612" spans="10:38" ht="15.75" customHeight="1">
      <c r="J612" s="87"/>
      <c r="O612" s="84"/>
      <c r="Q612" s="87"/>
      <c r="S612" s="87"/>
      <c r="T612" s="87"/>
      <c r="U612" s="87"/>
      <c r="V612" s="87"/>
      <c r="W612" s="87"/>
      <c r="X612" s="87"/>
      <c r="Y612" s="87"/>
      <c r="Z612" s="87"/>
      <c r="AA612" s="87"/>
      <c r="AB612" s="87"/>
      <c r="AC612" s="87"/>
      <c r="AD612" s="87"/>
      <c r="AE612" s="87"/>
      <c r="AF612" s="87"/>
      <c r="AG612" s="87"/>
      <c r="AH612" s="87"/>
      <c r="AI612" s="87"/>
      <c r="AJ612" s="87"/>
      <c r="AK612" s="87"/>
      <c r="AL612" s="87"/>
    </row>
    <row r="613" spans="10:38" ht="15.75" customHeight="1">
      <c r="J613" s="87"/>
      <c r="O613" s="84"/>
      <c r="Q613" s="87"/>
      <c r="S613" s="87"/>
      <c r="T613" s="87"/>
      <c r="U613" s="87"/>
      <c r="V613" s="87"/>
      <c r="W613" s="87"/>
      <c r="X613" s="87"/>
      <c r="Y613" s="87"/>
      <c r="Z613" s="87"/>
      <c r="AA613" s="87"/>
      <c r="AB613" s="87"/>
      <c r="AC613" s="87"/>
      <c r="AD613" s="87"/>
      <c r="AE613" s="87"/>
      <c r="AF613" s="87"/>
      <c r="AG613" s="87"/>
      <c r="AH613" s="87"/>
      <c r="AI613" s="87"/>
      <c r="AJ613" s="87"/>
      <c r="AK613" s="87"/>
      <c r="AL613" s="87"/>
    </row>
    <row r="614" spans="10:38" ht="15.75" customHeight="1">
      <c r="J614" s="87"/>
      <c r="O614" s="84"/>
      <c r="Q614" s="87"/>
      <c r="S614" s="87"/>
      <c r="T614" s="87"/>
      <c r="U614" s="87"/>
      <c r="V614" s="87"/>
      <c r="W614" s="87"/>
      <c r="X614" s="87"/>
      <c r="Y614" s="87"/>
      <c r="Z614" s="87"/>
      <c r="AA614" s="87"/>
      <c r="AB614" s="87"/>
      <c r="AC614" s="87"/>
      <c r="AD614" s="87"/>
      <c r="AE614" s="87"/>
      <c r="AF614" s="87"/>
      <c r="AG614" s="87"/>
      <c r="AH614" s="87"/>
      <c r="AI614" s="87"/>
      <c r="AJ614" s="87"/>
      <c r="AK614" s="87"/>
      <c r="AL614" s="87"/>
    </row>
    <row r="615" spans="10:38" ht="15.75" customHeight="1">
      <c r="J615" s="87"/>
      <c r="O615" s="84"/>
      <c r="Q615" s="87"/>
      <c r="S615" s="87"/>
      <c r="T615" s="87"/>
      <c r="U615" s="87"/>
      <c r="V615" s="87"/>
      <c r="W615" s="87"/>
      <c r="X615" s="87"/>
      <c r="Y615" s="87"/>
      <c r="Z615" s="87"/>
      <c r="AA615" s="87"/>
      <c r="AB615" s="87"/>
      <c r="AC615" s="87"/>
      <c r="AD615" s="87"/>
      <c r="AE615" s="87"/>
      <c r="AF615" s="87"/>
      <c r="AG615" s="87"/>
      <c r="AH615" s="87"/>
      <c r="AI615" s="87"/>
      <c r="AJ615" s="87"/>
      <c r="AK615" s="87"/>
      <c r="AL615" s="87"/>
    </row>
    <row r="616" spans="10:38" ht="15.75" customHeight="1">
      <c r="J616" s="87"/>
      <c r="O616" s="84"/>
      <c r="Q616" s="87"/>
      <c r="S616" s="87"/>
      <c r="T616" s="87"/>
      <c r="U616" s="87"/>
      <c r="V616" s="87"/>
      <c r="W616" s="87"/>
      <c r="X616" s="87"/>
      <c r="Y616" s="87"/>
      <c r="Z616" s="87"/>
      <c r="AA616" s="87"/>
      <c r="AB616" s="87"/>
      <c r="AC616" s="87"/>
      <c r="AD616" s="87"/>
      <c r="AE616" s="87"/>
      <c r="AF616" s="87"/>
      <c r="AG616" s="87"/>
      <c r="AH616" s="87"/>
      <c r="AI616" s="87"/>
      <c r="AJ616" s="87"/>
      <c r="AK616" s="87"/>
      <c r="AL616" s="87"/>
    </row>
    <row r="617" spans="10:38" ht="15.75" customHeight="1">
      <c r="J617" s="87"/>
      <c r="O617" s="84"/>
      <c r="Q617" s="87"/>
      <c r="S617" s="87"/>
      <c r="T617" s="87"/>
      <c r="U617" s="87"/>
      <c r="V617" s="87"/>
      <c r="W617" s="87"/>
      <c r="X617" s="87"/>
      <c r="Y617" s="87"/>
      <c r="Z617" s="87"/>
      <c r="AA617" s="87"/>
      <c r="AB617" s="87"/>
      <c r="AC617" s="87"/>
      <c r="AD617" s="87"/>
      <c r="AE617" s="87"/>
      <c r="AF617" s="87"/>
      <c r="AG617" s="87"/>
      <c r="AH617" s="87"/>
      <c r="AI617" s="87"/>
      <c r="AJ617" s="87"/>
      <c r="AK617" s="87"/>
      <c r="AL617" s="87"/>
    </row>
    <row r="618" spans="10:38" ht="15.75" customHeight="1">
      <c r="J618" s="87"/>
      <c r="O618" s="84"/>
      <c r="Q618" s="87"/>
      <c r="S618" s="87"/>
      <c r="T618" s="87"/>
      <c r="U618" s="87"/>
      <c r="V618" s="87"/>
      <c r="W618" s="87"/>
      <c r="X618" s="87"/>
      <c r="Y618" s="87"/>
      <c r="Z618" s="87"/>
      <c r="AA618" s="87"/>
      <c r="AB618" s="87"/>
      <c r="AC618" s="87"/>
      <c r="AD618" s="87"/>
      <c r="AE618" s="87"/>
      <c r="AF618" s="87"/>
      <c r="AG618" s="87"/>
      <c r="AH618" s="87"/>
      <c r="AI618" s="87"/>
      <c r="AJ618" s="87"/>
      <c r="AK618" s="87"/>
      <c r="AL618" s="87"/>
    </row>
    <row r="619" spans="10:38" ht="15.75" customHeight="1">
      <c r="J619" s="87"/>
      <c r="O619" s="84"/>
      <c r="Q619" s="87"/>
      <c r="S619" s="87"/>
      <c r="T619" s="87"/>
      <c r="U619" s="87"/>
      <c r="V619" s="87"/>
      <c r="W619" s="87"/>
      <c r="X619" s="87"/>
      <c r="Y619" s="87"/>
      <c r="Z619" s="87"/>
      <c r="AA619" s="87"/>
      <c r="AB619" s="87"/>
      <c r="AC619" s="87"/>
      <c r="AD619" s="87"/>
      <c r="AE619" s="87"/>
      <c r="AF619" s="87"/>
      <c r="AG619" s="87"/>
      <c r="AH619" s="87"/>
      <c r="AI619" s="87"/>
      <c r="AJ619" s="87"/>
      <c r="AK619" s="87"/>
      <c r="AL619" s="87"/>
    </row>
    <row r="620" spans="10:38" ht="15.75" customHeight="1">
      <c r="J620" s="87"/>
      <c r="O620" s="84"/>
      <c r="Q620" s="87"/>
      <c r="S620" s="87"/>
      <c r="T620" s="87"/>
      <c r="U620" s="87"/>
      <c r="V620" s="87"/>
      <c r="W620" s="87"/>
      <c r="X620" s="87"/>
      <c r="Y620" s="87"/>
      <c r="Z620" s="87"/>
      <c r="AA620" s="87"/>
      <c r="AB620" s="87"/>
      <c r="AC620" s="87"/>
      <c r="AD620" s="87"/>
      <c r="AE620" s="87"/>
      <c r="AF620" s="87"/>
      <c r="AG620" s="87"/>
      <c r="AH620" s="87"/>
      <c r="AI620" s="87"/>
      <c r="AJ620" s="87"/>
      <c r="AK620" s="87"/>
      <c r="AL620" s="87"/>
    </row>
    <row r="621" spans="10:38" ht="15.75" customHeight="1">
      <c r="J621" s="87"/>
      <c r="O621" s="84"/>
      <c r="Q621" s="87"/>
      <c r="S621" s="87"/>
      <c r="T621" s="87"/>
      <c r="U621" s="87"/>
      <c r="V621" s="87"/>
      <c r="W621" s="87"/>
      <c r="X621" s="87"/>
      <c r="Y621" s="87"/>
      <c r="Z621" s="87"/>
      <c r="AA621" s="87"/>
      <c r="AB621" s="87"/>
      <c r="AC621" s="87"/>
      <c r="AD621" s="87"/>
      <c r="AE621" s="87"/>
      <c r="AF621" s="87"/>
      <c r="AG621" s="87"/>
      <c r="AH621" s="87"/>
      <c r="AI621" s="87"/>
      <c r="AJ621" s="87"/>
      <c r="AK621" s="87"/>
      <c r="AL621" s="87"/>
    </row>
    <row r="622" spans="10:38" ht="15.75" customHeight="1">
      <c r="J622" s="87"/>
      <c r="O622" s="84"/>
      <c r="Q622" s="87"/>
      <c r="S622" s="87"/>
      <c r="T622" s="87"/>
      <c r="U622" s="87"/>
      <c r="V622" s="87"/>
      <c r="W622" s="87"/>
      <c r="X622" s="87"/>
      <c r="Y622" s="87"/>
      <c r="Z622" s="87"/>
      <c r="AA622" s="87"/>
      <c r="AB622" s="87"/>
      <c r="AC622" s="87"/>
      <c r="AD622" s="87"/>
      <c r="AE622" s="87"/>
      <c r="AF622" s="87"/>
      <c r="AG622" s="87"/>
      <c r="AH622" s="87"/>
      <c r="AI622" s="87"/>
      <c r="AJ622" s="87"/>
      <c r="AK622" s="87"/>
      <c r="AL622" s="87"/>
    </row>
    <row r="623" spans="10:38" ht="15.75" customHeight="1">
      <c r="J623" s="87"/>
      <c r="O623" s="84"/>
      <c r="Q623" s="87"/>
      <c r="S623" s="87"/>
      <c r="T623" s="87"/>
      <c r="U623" s="87"/>
      <c r="V623" s="87"/>
      <c r="W623" s="87"/>
      <c r="X623" s="87"/>
      <c r="Y623" s="87"/>
      <c r="Z623" s="87"/>
      <c r="AA623" s="87"/>
      <c r="AB623" s="87"/>
      <c r="AC623" s="87"/>
      <c r="AD623" s="87"/>
      <c r="AE623" s="87"/>
      <c r="AF623" s="87"/>
      <c r="AG623" s="87"/>
      <c r="AH623" s="87"/>
      <c r="AI623" s="87"/>
      <c r="AJ623" s="87"/>
      <c r="AK623" s="87"/>
      <c r="AL623" s="87"/>
    </row>
    <row r="624" spans="10:38" ht="15.75" customHeight="1">
      <c r="J624" s="87"/>
      <c r="O624" s="84"/>
      <c r="Q624" s="87"/>
      <c r="S624" s="87"/>
      <c r="T624" s="87"/>
      <c r="U624" s="87"/>
      <c r="V624" s="87"/>
      <c r="W624" s="87"/>
      <c r="X624" s="87"/>
      <c r="Y624" s="87"/>
      <c r="Z624" s="87"/>
      <c r="AA624" s="87"/>
      <c r="AB624" s="87"/>
      <c r="AC624" s="87"/>
      <c r="AD624" s="87"/>
      <c r="AE624" s="87"/>
      <c r="AF624" s="87"/>
      <c r="AG624" s="87"/>
      <c r="AH624" s="87"/>
      <c r="AI624" s="87"/>
      <c r="AJ624" s="87"/>
      <c r="AK624" s="87"/>
      <c r="AL624" s="87"/>
    </row>
    <row r="625" spans="10:38" ht="15.75" customHeight="1">
      <c r="J625" s="87"/>
      <c r="O625" s="84"/>
      <c r="Q625" s="87"/>
      <c r="S625" s="87"/>
      <c r="T625" s="87"/>
      <c r="U625" s="87"/>
      <c r="V625" s="87"/>
      <c r="W625" s="87"/>
      <c r="X625" s="87"/>
      <c r="Y625" s="87"/>
      <c r="Z625" s="87"/>
      <c r="AA625" s="87"/>
      <c r="AB625" s="87"/>
      <c r="AC625" s="87"/>
      <c r="AD625" s="87"/>
      <c r="AE625" s="87"/>
      <c r="AF625" s="87"/>
      <c r="AG625" s="87"/>
      <c r="AH625" s="87"/>
      <c r="AI625" s="87"/>
      <c r="AJ625" s="87"/>
      <c r="AK625" s="87"/>
      <c r="AL625" s="87"/>
    </row>
    <row r="626" spans="10:38" ht="15.75" customHeight="1">
      <c r="J626" s="87"/>
      <c r="O626" s="84"/>
      <c r="Q626" s="87"/>
      <c r="S626" s="87"/>
      <c r="T626" s="87"/>
      <c r="U626" s="87"/>
      <c r="V626" s="87"/>
      <c r="W626" s="87"/>
      <c r="X626" s="87"/>
      <c r="Y626" s="87"/>
      <c r="Z626" s="87"/>
      <c r="AA626" s="87"/>
      <c r="AB626" s="87"/>
      <c r="AC626" s="87"/>
      <c r="AD626" s="87"/>
      <c r="AE626" s="87"/>
      <c r="AF626" s="87"/>
      <c r="AG626" s="87"/>
      <c r="AH626" s="87"/>
      <c r="AI626" s="87"/>
      <c r="AJ626" s="87"/>
      <c r="AK626" s="87"/>
      <c r="AL626" s="87"/>
    </row>
    <row r="627" spans="10:38" ht="15.75" customHeight="1">
      <c r="J627" s="87"/>
      <c r="O627" s="84"/>
      <c r="Q627" s="87"/>
      <c r="S627" s="87"/>
      <c r="T627" s="87"/>
      <c r="U627" s="87"/>
      <c r="V627" s="87"/>
      <c r="W627" s="87"/>
      <c r="X627" s="87"/>
      <c r="Y627" s="87"/>
      <c r="Z627" s="87"/>
      <c r="AA627" s="87"/>
      <c r="AB627" s="87"/>
      <c r="AC627" s="87"/>
      <c r="AD627" s="87"/>
      <c r="AE627" s="87"/>
      <c r="AF627" s="87"/>
      <c r="AG627" s="87"/>
      <c r="AH627" s="87"/>
      <c r="AI627" s="87"/>
      <c r="AJ627" s="87"/>
      <c r="AK627" s="87"/>
      <c r="AL627" s="87"/>
    </row>
    <row r="628" spans="10:38" ht="15.75" customHeight="1">
      <c r="J628" s="87"/>
      <c r="O628" s="84"/>
      <c r="Q628" s="87"/>
      <c r="S628" s="87"/>
      <c r="T628" s="87"/>
      <c r="U628" s="87"/>
      <c r="V628" s="87"/>
      <c r="W628" s="87"/>
      <c r="X628" s="87"/>
      <c r="Y628" s="87"/>
      <c r="Z628" s="87"/>
      <c r="AA628" s="87"/>
      <c r="AB628" s="87"/>
      <c r="AC628" s="87"/>
      <c r="AD628" s="87"/>
      <c r="AE628" s="87"/>
      <c r="AF628" s="87"/>
      <c r="AG628" s="87"/>
      <c r="AH628" s="87"/>
      <c r="AI628" s="87"/>
      <c r="AJ628" s="87"/>
      <c r="AK628" s="87"/>
      <c r="AL628" s="87"/>
    </row>
    <row r="629" spans="10:38" ht="15.75" customHeight="1">
      <c r="J629" s="87"/>
      <c r="O629" s="84"/>
      <c r="Q629" s="87"/>
      <c r="S629" s="87"/>
      <c r="T629" s="87"/>
      <c r="U629" s="87"/>
      <c r="V629" s="87"/>
      <c r="W629" s="87"/>
      <c r="X629" s="87"/>
      <c r="Y629" s="87"/>
      <c r="Z629" s="87"/>
      <c r="AA629" s="87"/>
      <c r="AB629" s="87"/>
      <c r="AC629" s="87"/>
      <c r="AD629" s="87"/>
      <c r="AE629" s="87"/>
      <c r="AF629" s="87"/>
      <c r="AG629" s="87"/>
      <c r="AH629" s="87"/>
      <c r="AI629" s="87"/>
      <c r="AJ629" s="87"/>
      <c r="AK629" s="87"/>
      <c r="AL629" s="87"/>
    </row>
    <row r="630" spans="10:38" ht="15.75" customHeight="1">
      <c r="J630" s="87"/>
      <c r="O630" s="84"/>
      <c r="Q630" s="87"/>
      <c r="S630" s="87"/>
      <c r="T630" s="87"/>
      <c r="U630" s="87"/>
      <c r="V630" s="87"/>
      <c r="W630" s="87"/>
      <c r="X630" s="87"/>
      <c r="Y630" s="87"/>
      <c r="Z630" s="87"/>
      <c r="AA630" s="87"/>
      <c r="AB630" s="87"/>
      <c r="AC630" s="87"/>
      <c r="AD630" s="87"/>
      <c r="AE630" s="87"/>
      <c r="AF630" s="87"/>
      <c r="AG630" s="87"/>
      <c r="AH630" s="87"/>
      <c r="AI630" s="87"/>
      <c r="AJ630" s="87"/>
      <c r="AK630" s="87"/>
      <c r="AL630" s="87"/>
    </row>
    <row r="631" spans="10:38" ht="15.75" customHeight="1">
      <c r="J631" s="87"/>
      <c r="O631" s="84"/>
      <c r="Q631" s="87"/>
      <c r="S631" s="87"/>
      <c r="T631" s="87"/>
      <c r="U631" s="87"/>
      <c r="V631" s="87"/>
      <c r="W631" s="87"/>
      <c r="X631" s="87"/>
      <c r="Y631" s="87"/>
      <c r="Z631" s="87"/>
      <c r="AA631" s="87"/>
      <c r="AB631" s="87"/>
      <c r="AC631" s="87"/>
      <c r="AD631" s="87"/>
      <c r="AE631" s="87"/>
      <c r="AF631" s="87"/>
      <c r="AG631" s="87"/>
      <c r="AH631" s="87"/>
      <c r="AI631" s="87"/>
      <c r="AJ631" s="87"/>
      <c r="AK631" s="87"/>
      <c r="AL631" s="87"/>
    </row>
    <row r="632" spans="10:38" ht="15.75" customHeight="1">
      <c r="J632" s="87"/>
      <c r="O632" s="84"/>
      <c r="Q632" s="87"/>
      <c r="S632" s="87"/>
      <c r="T632" s="87"/>
      <c r="U632" s="87"/>
      <c r="V632" s="87"/>
      <c r="W632" s="87"/>
      <c r="X632" s="87"/>
      <c r="Y632" s="87"/>
      <c r="Z632" s="87"/>
      <c r="AA632" s="87"/>
      <c r="AB632" s="87"/>
      <c r="AC632" s="87"/>
      <c r="AD632" s="87"/>
      <c r="AE632" s="87"/>
      <c r="AF632" s="87"/>
      <c r="AG632" s="87"/>
      <c r="AH632" s="87"/>
      <c r="AI632" s="87"/>
      <c r="AJ632" s="87"/>
      <c r="AK632" s="87"/>
      <c r="AL632" s="87"/>
    </row>
    <row r="633" spans="10:38" ht="15.75" customHeight="1">
      <c r="J633" s="87"/>
      <c r="O633" s="84"/>
      <c r="Q633" s="87"/>
      <c r="S633" s="87"/>
      <c r="T633" s="87"/>
      <c r="U633" s="87"/>
      <c r="V633" s="87"/>
      <c r="W633" s="87"/>
      <c r="X633" s="87"/>
      <c r="Y633" s="87"/>
      <c r="Z633" s="87"/>
      <c r="AA633" s="87"/>
      <c r="AB633" s="87"/>
      <c r="AC633" s="87"/>
      <c r="AD633" s="87"/>
      <c r="AE633" s="87"/>
      <c r="AF633" s="87"/>
      <c r="AG633" s="87"/>
      <c r="AH633" s="87"/>
      <c r="AI633" s="87"/>
      <c r="AJ633" s="87"/>
      <c r="AK633" s="87"/>
      <c r="AL633" s="87"/>
    </row>
    <row r="634" spans="10:38" ht="15.75" customHeight="1">
      <c r="J634" s="87"/>
      <c r="O634" s="84"/>
      <c r="Q634" s="87"/>
      <c r="S634" s="87"/>
      <c r="T634" s="87"/>
      <c r="U634" s="87"/>
      <c r="V634" s="87"/>
      <c r="W634" s="87"/>
      <c r="X634" s="87"/>
      <c r="Y634" s="87"/>
      <c r="Z634" s="87"/>
      <c r="AA634" s="87"/>
      <c r="AB634" s="87"/>
      <c r="AC634" s="87"/>
      <c r="AD634" s="87"/>
      <c r="AE634" s="87"/>
      <c r="AF634" s="87"/>
      <c r="AG634" s="87"/>
      <c r="AH634" s="87"/>
      <c r="AI634" s="87"/>
      <c r="AJ634" s="87"/>
      <c r="AK634" s="87"/>
      <c r="AL634" s="87"/>
    </row>
    <row r="635" spans="10:38" ht="15.75" customHeight="1">
      <c r="J635" s="87"/>
      <c r="O635" s="84"/>
      <c r="Q635" s="87"/>
      <c r="S635" s="87"/>
      <c r="T635" s="87"/>
      <c r="U635" s="87"/>
      <c r="V635" s="87"/>
      <c r="W635" s="87"/>
      <c r="X635" s="87"/>
      <c r="Y635" s="87"/>
      <c r="Z635" s="87"/>
      <c r="AA635" s="87"/>
      <c r="AB635" s="87"/>
      <c r="AC635" s="87"/>
      <c r="AD635" s="87"/>
      <c r="AE635" s="87"/>
      <c r="AF635" s="87"/>
      <c r="AG635" s="87"/>
      <c r="AH635" s="87"/>
      <c r="AI635" s="87"/>
      <c r="AJ635" s="87"/>
      <c r="AK635" s="87"/>
      <c r="AL635" s="87"/>
    </row>
    <row r="636" spans="10:38" ht="15.75" customHeight="1">
      <c r="J636" s="87"/>
      <c r="O636" s="84"/>
      <c r="Q636" s="87"/>
      <c r="S636" s="87"/>
      <c r="T636" s="87"/>
      <c r="U636" s="87"/>
      <c r="V636" s="87"/>
      <c r="W636" s="87"/>
      <c r="X636" s="87"/>
      <c r="Y636" s="87"/>
      <c r="Z636" s="87"/>
      <c r="AA636" s="87"/>
      <c r="AB636" s="87"/>
      <c r="AC636" s="87"/>
      <c r="AD636" s="87"/>
      <c r="AE636" s="87"/>
      <c r="AF636" s="87"/>
      <c r="AG636" s="87"/>
      <c r="AH636" s="87"/>
      <c r="AI636" s="87"/>
      <c r="AJ636" s="87"/>
      <c r="AK636" s="87"/>
      <c r="AL636" s="87"/>
    </row>
    <row r="637" spans="10:38" ht="15.75" customHeight="1">
      <c r="J637" s="87"/>
      <c r="O637" s="84"/>
      <c r="Q637" s="87"/>
      <c r="S637" s="87"/>
      <c r="T637" s="87"/>
      <c r="U637" s="87"/>
      <c r="V637" s="87"/>
      <c r="W637" s="87"/>
      <c r="X637" s="87"/>
      <c r="Y637" s="87"/>
      <c r="Z637" s="87"/>
      <c r="AA637" s="87"/>
      <c r="AB637" s="87"/>
      <c r="AC637" s="87"/>
      <c r="AD637" s="87"/>
      <c r="AE637" s="87"/>
      <c r="AF637" s="87"/>
      <c r="AG637" s="87"/>
      <c r="AH637" s="87"/>
      <c r="AI637" s="87"/>
      <c r="AJ637" s="87"/>
      <c r="AK637" s="87"/>
      <c r="AL637" s="87"/>
    </row>
    <row r="638" spans="10:38" ht="15.75" customHeight="1">
      <c r="J638" s="87"/>
      <c r="O638" s="84"/>
      <c r="Q638" s="87"/>
      <c r="S638" s="87"/>
      <c r="T638" s="87"/>
      <c r="U638" s="87"/>
      <c r="V638" s="87"/>
      <c r="W638" s="87"/>
      <c r="X638" s="87"/>
      <c r="Y638" s="87"/>
      <c r="Z638" s="87"/>
      <c r="AA638" s="87"/>
      <c r="AB638" s="87"/>
      <c r="AC638" s="87"/>
      <c r="AD638" s="87"/>
      <c r="AE638" s="87"/>
      <c r="AF638" s="87"/>
      <c r="AG638" s="87"/>
      <c r="AH638" s="87"/>
      <c r="AI638" s="87"/>
      <c r="AJ638" s="87"/>
      <c r="AK638" s="87"/>
      <c r="AL638" s="87"/>
    </row>
    <row r="639" spans="10:38" ht="15.75" customHeight="1">
      <c r="J639" s="87"/>
      <c r="O639" s="84"/>
      <c r="Q639" s="87"/>
      <c r="S639" s="87"/>
      <c r="T639" s="87"/>
      <c r="U639" s="87"/>
      <c r="V639" s="87"/>
      <c r="W639" s="87"/>
      <c r="X639" s="87"/>
      <c r="Y639" s="87"/>
      <c r="Z639" s="87"/>
      <c r="AA639" s="87"/>
      <c r="AB639" s="87"/>
      <c r="AC639" s="87"/>
      <c r="AD639" s="87"/>
      <c r="AE639" s="87"/>
      <c r="AF639" s="87"/>
      <c r="AG639" s="87"/>
      <c r="AH639" s="87"/>
      <c r="AI639" s="87"/>
      <c r="AJ639" s="87"/>
      <c r="AK639" s="87"/>
      <c r="AL639" s="87"/>
    </row>
    <row r="640" spans="10:38" ht="15.75" customHeight="1">
      <c r="J640" s="87"/>
      <c r="O640" s="84"/>
      <c r="Q640" s="87"/>
      <c r="S640" s="87"/>
      <c r="T640" s="87"/>
      <c r="U640" s="87"/>
      <c r="V640" s="87"/>
      <c r="W640" s="87"/>
      <c r="X640" s="87"/>
      <c r="Y640" s="87"/>
      <c r="Z640" s="87"/>
      <c r="AA640" s="87"/>
      <c r="AB640" s="87"/>
      <c r="AC640" s="87"/>
      <c r="AD640" s="87"/>
      <c r="AE640" s="87"/>
      <c r="AF640" s="87"/>
      <c r="AG640" s="87"/>
      <c r="AH640" s="87"/>
      <c r="AI640" s="87"/>
      <c r="AJ640" s="87"/>
      <c r="AK640" s="87"/>
      <c r="AL640" s="87"/>
    </row>
    <row r="641" spans="10:38" ht="15.75" customHeight="1">
      <c r="J641" s="87"/>
      <c r="O641" s="84"/>
      <c r="Q641" s="87"/>
      <c r="S641" s="87"/>
      <c r="T641" s="87"/>
      <c r="U641" s="87"/>
      <c r="V641" s="87"/>
      <c r="W641" s="87"/>
      <c r="X641" s="87"/>
      <c r="Y641" s="87"/>
      <c r="Z641" s="87"/>
      <c r="AA641" s="87"/>
      <c r="AB641" s="87"/>
      <c r="AC641" s="87"/>
      <c r="AD641" s="87"/>
      <c r="AE641" s="87"/>
      <c r="AF641" s="87"/>
      <c r="AG641" s="87"/>
      <c r="AH641" s="87"/>
      <c r="AI641" s="87"/>
      <c r="AJ641" s="87"/>
      <c r="AK641" s="87"/>
      <c r="AL641" s="87"/>
    </row>
    <row r="642" spans="10:38" ht="15.75" customHeight="1">
      <c r="J642" s="87"/>
      <c r="O642" s="84"/>
      <c r="Q642" s="87"/>
      <c r="S642" s="87"/>
      <c r="T642" s="87"/>
      <c r="U642" s="87"/>
      <c r="V642" s="87"/>
      <c r="W642" s="87"/>
      <c r="X642" s="87"/>
      <c r="Y642" s="87"/>
      <c r="Z642" s="87"/>
      <c r="AA642" s="87"/>
      <c r="AB642" s="87"/>
      <c r="AC642" s="87"/>
      <c r="AD642" s="87"/>
      <c r="AE642" s="87"/>
      <c r="AF642" s="87"/>
      <c r="AG642" s="87"/>
      <c r="AH642" s="87"/>
      <c r="AI642" s="87"/>
      <c r="AJ642" s="87"/>
      <c r="AK642" s="87"/>
      <c r="AL642" s="87"/>
    </row>
    <row r="643" spans="10:38" ht="15.75" customHeight="1">
      <c r="J643" s="87"/>
      <c r="O643" s="84"/>
      <c r="Q643" s="87"/>
      <c r="S643" s="87"/>
      <c r="T643" s="87"/>
      <c r="U643" s="87"/>
      <c r="V643" s="87"/>
      <c r="W643" s="87"/>
      <c r="X643" s="87"/>
      <c r="Y643" s="87"/>
      <c r="Z643" s="87"/>
      <c r="AA643" s="87"/>
      <c r="AB643" s="87"/>
      <c r="AC643" s="87"/>
      <c r="AD643" s="87"/>
      <c r="AE643" s="87"/>
      <c r="AF643" s="87"/>
      <c r="AG643" s="87"/>
      <c r="AH643" s="87"/>
      <c r="AI643" s="87"/>
      <c r="AJ643" s="87"/>
      <c r="AK643" s="87"/>
      <c r="AL643" s="87"/>
    </row>
    <row r="644" spans="10:38" ht="15.75" customHeight="1">
      <c r="J644" s="87"/>
      <c r="O644" s="84"/>
      <c r="Q644" s="87"/>
      <c r="S644" s="87"/>
      <c r="T644" s="87"/>
      <c r="U644" s="87"/>
      <c r="V644" s="87"/>
      <c r="W644" s="87"/>
      <c r="X644" s="87"/>
      <c r="Y644" s="87"/>
      <c r="Z644" s="87"/>
      <c r="AA644" s="87"/>
      <c r="AB644" s="87"/>
      <c r="AC644" s="87"/>
      <c r="AD644" s="87"/>
      <c r="AE644" s="87"/>
      <c r="AF644" s="87"/>
      <c r="AG644" s="87"/>
      <c r="AH644" s="87"/>
      <c r="AI644" s="87"/>
      <c r="AJ644" s="87"/>
      <c r="AK644" s="87"/>
      <c r="AL644" s="87"/>
    </row>
    <row r="645" spans="10:38" ht="15.75" customHeight="1">
      <c r="J645" s="87"/>
      <c r="O645" s="84"/>
      <c r="Q645" s="87"/>
      <c r="S645" s="87"/>
      <c r="T645" s="87"/>
      <c r="U645" s="87"/>
      <c r="V645" s="87"/>
      <c r="W645" s="87"/>
      <c r="X645" s="87"/>
      <c r="Y645" s="87"/>
      <c r="Z645" s="87"/>
      <c r="AA645" s="87"/>
      <c r="AB645" s="87"/>
      <c r="AC645" s="87"/>
      <c r="AD645" s="87"/>
      <c r="AE645" s="87"/>
      <c r="AF645" s="87"/>
      <c r="AG645" s="87"/>
      <c r="AH645" s="87"/>
      <c r="AI645" s="87"/>
      <c r="AJ645" s="87"/>
      <c r="AK645" s="87"/>
      <c r="AL645" s="87"/>
    </row>
    <row r="646" spans="10:38" ht="15.75" customHeight="1">
      <c r="J646" s="87"/>
      <c r="O646" s="84"/>
      <c r="Q646" s="87"/>
      <c r="S646" s="87"/>
      <c r="T646" s="87"/>
      <c r="U646" s="87"/>
      <c r="V646" s="87"/>
      <c r="W646" s="87"/>
      <c r="X646" s="87"/>
      <c r="Y646" s="87"/>
      <c r="Z646" s="87"/>
      <c r="AA646" s="87"/>
      <c r="AB646" s="87"/>
      <c r="AC646" s="87"/>
      <c r="AD646" s="87"/>
      <c r="AE646" s="87"/>
      <c r="AF646" s="87"/>
      <c r="AG646" s="87"/>
      <c r="AH646" s="87"/>
      <c r="AI646" s="87"/>
      <c r="AJ646" s="87"/>
      <c r="AK646" s="87"/>
      <c r="AL646" s="87"/>
    </row>
    <row r="647" spans="10:38" ht="15.75" customHeight="1">
      <c r="J647" s="87"/>
      <c r="O647" s="84"/>
      <c r="Q647" s="87"/>
      <c r="S647" s="87"/>
      <c r="T647" s="87"/>
      <c r="U647" s="87"/>
      <c r="V647" s="87"/>
      <c r="W647" s="87"/>
      <c r="X647" s="87"/>
      <c r="Y647" s="87"/>
      <c r="Z647" s="87"/>
      <c r="AA647" s="87"/>
      <c r="AB647" s="87"/>
      <c r="AC647" s="87"/>
      <c r="AD647" s="87"/>
      <c r="AE647" s="87"/>
      <c r="AF647" s="87"/>
      <c r="AG647" s="87"/>
      <c r="AH647" s="87"/>
      <c r="AI647" s="87"/>
      <c r="AJ647" s="87"/>
      <c r="AK647" s="87"/>
      <c r="AL647" s="87"/>
    </row>
    <row r="648" spans="10:38" ht="15.75" customHeight="1">
      <c r="J648" s="87"/>
      <c r="O648" s="84"/>
      <c r="Q648" s="87"/>
      <c r="S648" s="87"/>
      <c r="T648" s="87"/>
      <c r="U648" s="87"/>
      <c r="V648" s="87"/>
      <c r="W648" s="87"/>
      <c r="X648" s="87"/>
      <c r="Y648" s="87"/>
      <c r="Z648" s="87"/>
      <c r="AA648" s="87"/>
      <c r="AB648" s="87"/>
      <c r="AC648" s="87"/>
      <c r="AD648" s="87"/>
      <c r="AE648" s="87"/>
      <c r="AF648" s="87"/>
      <c r="AG648" s="87"/>
      <c r="AH648" s="87"/>
      <c r="AI648" s="87"/>
      <c r="AJ648" s="87"/>
      <c r="AK648" s="87"/>
      <c r="AL648" s="87"/>
    </row>
    <row r="649" spans="10:38" ht="15.75" customHeight="1">
      <c r="J649" s="87"/>
      <c r="O649" s="84"/>
      <c r="Q649" s="87"/>
      <c r="S649" s="87"/>
      <c r="T649" s="87"/>
      <c r="U649" s="87"/>
      <c r="V649" s="87"/>
      <c r="W649" s="87"/>
      <c r="X649" s="87"/>
      <c r="Y649" s="87"/>
      <c r="Z649" s="87"/>
      <c r="AA649" s="87"/>
      <c r="AB649" s="87"/>
      <c r="AC649" s="87"/>
      <c r="AD649" s="87"/>
      <c r="AE649" s="87"/>
      <c r="AF649" s="87"/>
      <c r="AG649" s="87"/>
      <c r="AH649" s="87"/>
      <c r="AI649" s="87"/>
      <c r="AJ649" s="87"/>
      <c r="AK649" s="87"/>
      <c r="AL649" s="87"/>
    </row>
    <row r="650" spans="10:38" ht="15.75" customHeight="1">
      <c r="J650" s="87"/>
      <c r="O650" s="84"/>
      <c r="Q650" s="87"/>
      <c r="S650" s="87"/>
      <c r="T650" s="87"/>
      <c r="U650" s="87"/>
      <c r="V650" s="87"/>
      <c r="W650" s="87"/>
      <c r="X650" s="87"/>
      <c r="Y650" s="87"/>
      <c r="Z650" s="87"/>
      <c r="AA650" s="87"/>
      <c r="AB650" s="87"/>
      <c r="AC650" s="87"/>
      <c r="AD650" s="87"/>
      <c r="AE650" s="87"/>
      <c r="AF650" s="87"/>
      <c r="AG650" s="87"/>
      <c r="AH650" s="87"/>
      <c r="AI650" s="87"/>
      <c r="AJ650" s="87"/>
      <c r="AK650" s="87"/>
      <c r="AL650" s="87"/>
    </row>
    <row r="651" spans="10:38" ht="15.75" customHeight="1">
      <c r="J651" s="87"/>
      <c r="O651" s="84"/>
      <c r="Q651" s="87"/>
      <c r="S651" s="87"/>
      <c r="T651" s="87"/>
      <c r="U651" s="87"/>
      <c r="V651" s="87"/>
      <c r="W651" s="87"/>
      <c r="X651" s="87"/>
      <c r="Y651" s="87"/>
      <c r="Z651" s="87"/>
      <c r="AA651" s="87"/>
      <c r="AB651" s="87"/>
      <c r="AC651" s="87"/>
      <c r="AD651" s="87"/>
      <c r="AE651" s="87"/>
      <c r="AF651" s="87"/>
      <c r="AG651" s="87"/>
      <c r="AH651" s="87"/>
      <c r="AI651" s="87"/>
      <c r="AJ651" s="87"/>
      <c r="AK651" s="87"/>
      <c r="AL651" s="87"/>
    </row>
    <row r="652" spans="10:38" ht="15.75" customHeight="1">
      <c r="J652" s="87"/>
      <c r="O652" s="84"/>
      <c r="Q652" s="87"/>
      <c r="S652" s="87"/>
      <c r="T652" s="87"/>
      <c r="U652" s="87"/>
      <c r="V652" s="87"/>
      <c r="W652" s="87"/>
      <c r="X652" s="87"/>
      <c r="Y652" s="87"/>
      <c r="Z652" s="87"/>
      <c r="AA652" s="87"/>
      <c r="AB652" s="87"/>
      <c r="AC652" s="87"/>
      <c r="AD652" s="87"/>
      <c r="AE652" s="87"/>
      <c r="AF652" s="87"/>
      <c r="AG652" s="87"/>
      <c r="AH652" s="87"/>
      <c r="AI652" s="87"/>
      <c r="AJ652" s="87"/>
      <c r="AK652" s="87"/>
      <c r="AL652" s="87"/>
    </row>
    <row r="653" spans="10:38" ht="15.75" customHeight="1">
      <c r="J653" s="87"/>
      <c r="O653" s="84"/>
      <c r="Q653" s="87"/>
      <c r="S653" s="87"/>
      <c r="T653" s="87"/>
      <c r="U653" s="87"/>
      <c r="V653" s="87"/>
      <c r="W653" s="87"/>
      <c r="X653" s="87"/>
      <c r="Y653" s="87"/>
      <c r="Z653" s="87"/>
      <c r="AA653" s="87"/>
      <c r="AB653" s="87"/>
      <c r="AC653" s="87"/>
      <c r="AD653" s="87"/>
      <c r="AE653" s="87"/>
      <c r="AF653" s="87"/>
      <c r="AG653" s="87"/>
      <c r="AH653" s="87"/>
      <c r="AI653" s="87"/>
      <c r="AJ653" s="87"/>
      <c r="AK653" s="87"/>
      <c r="AL653" s="87"/>
    </row>
    <row r="654" spans="10:38" ht="15.75" customHeight="1">
      <c r="J654" s="87"/>
      <c r="O654" s="84"/>
      <c r="Q654" s="87"/>
      <c r="S654" s="87"/>
      <c r="T654" s="87"/>
      <c r="U654" s="87"/>
      <c r="V654" s="87"/>
      <c r="W654" s="87"/>
      <c r="X654" s="87"/>
      <c r="Y654" s="87"/>
      <c r="Z654" s="87"/>
      <c r="AA654" s="87"/>
      <c r="AB654" s="87"/>
      <c r="AC654" s="87"/>
      <c r="AD654" s="87"/>
      <c r="AE654" s="87"/>
      <c r="AF654" s="87"/>
      <c r="AG654" s="87"/>
      <c r="AH654" s="87"/>
      <c r="AI654" s="87"/>
      <c r="AJ654" s="87"/>
      <c r="AK654" s="87"/>
      <c r="AL654" s="87"/>
    </row>
    <row r="655" spans="10:38" ht="15.75" customHeight="1">
      <c r="J655" s="87"/>
      <c r="O655" s="84"/>
      <c r="Q655" s="87"/>
      <c r="S655" s="87"/>
      <c r="T655" s="87"/>
      <c r="U655" s="87"/>
      <c r="V655" s="87"/>
      <c r="W655" s="87"/>
      <c r="X655" s="87"/>
      <c r="Y655" s="87"/>
      <c r="Z655" s="87"/>
      <c r="AA655" s="87"/>
      <c r="AB655" s="87"/>
      <c r="AC655" s="87"/>
      <c r="AD655" s="87"/>
      <c r="AE655" s="87"/>
      <c r="AF655" s="87"/>
      <c r="AG655" s="87"/>
      <c r="AH655" s="87"/>
      <c r="AI655" s="87"/>
      <c r="AJ655" s="87"/>
      <c r="AK655" s="87"/>
      <c r="AL655" s="87"/>
    </row>
    <row r="656" spans="10:38" ht="15.75" customHeight="1">
      <c r="J656" s="87"/>
      <c r="O656" s="84"/>
      <c r="Q656" s="87"/>
      <c r="S656" s="87"/>
      <c r="T656" s="87"/>
      <c r="U656" s="87"/>
      <c r="V656" s="87"/>
      <c r="W656" s="87"/>
      <c r="X656" s="87"/>
      <c r="Y656" s="87"/>
      <c r="Z656" s="87"/>
      <c r="AA656" s="87"/>
      <c r="AB656" s="87"/>
      <c r="AC656" s="87"/>
      <c r="AD656" s="87"/>
      <c r="AE656" s="87"/>
      <c r="AF656" s="87"/>
      <c r="AG656" s="87"/>
      <c r="AH656" s="87"/>
      <c r="AI656" s="87"/>
      <c r="AJ656" s="87"/>
      <c r="AK656" s="87"/>
      <c r="AL656" s="87"/>
    </row>
    <row r="657" spans="10:38" ht="15.75" customHeight="1">
      <c r="J657" s="87"/>
      <c r="O657" s="84"/>
      <c r="Q657" s="87"/>
      <c r="S657" s="87"/>
      <c r="T657" s="87"/>
      <c r="U657" s="87"/>
      <c r="V657" s="87"/>
      <c r="W657" s="87"/>
      <c r="X657" s="87"/>
      <c r="Y657" s="87"/>
      <c r="Z657" s="87"/>
      <c r="AA657" s="87"/>
      <c r="AB657" s="87"/>
      <c r="AC657" s="87"/>
      <c r="AD657" s="87"/>
      <c r="AE657" s="87"/>
      <c r="AF657" s="87"/>
      <c r="AG657" s="87"/>
      <c r="AH657" s="87"/>
      <c r="AI657" s="87"/>
      <c r="AJ657" s="87"/>
      <c r="AK657" s="87"/>
      <c r="AL657" s="87"/>
    </row>
    <row r="658" spans="10:38" ht="15.75" customHeight="1">
      <c r="J658" s="87"/>
      <c r="O658" s="84"/>
      <c r="Q658" s="87"/>
      <c r="S658" s="87"/>
      <c r="T658" s="87"/>
      <c r="U658" s="87"/>
      <c r="V658" s="87"/>
      <c r="W658" s="87"/>
      <c r="X658" s="87"/>
      <c r="Y658" s="87"/>
      <c r="Z658" s="87"/>
      <c r="AA658" s="87"/>
      <c r="AB658" s="87"/>
      <c r="AC658" s="87"/>
      <c r="AD658" s="87"/>
      <c r="AE658" s="87"/>
      <c r="AF658" s="87"/>
      <c r="AG658" s="87"/>
      <c r="AH658" s="87"/>
      <c r="AI658" s="87"/>
      <c r="AJ658" s="87"/>
      <c r="AK658" s="87"/>
      <c r="AL658" s="87"/>
    </row>
    <row r="659" spans="10:38" ht="15.75" customHeight="1">
      <c r="J659" s="87"/>
      <c r="O659" s="84"/>
      <c r="Q659" s="87"/>
      <c r="S659" s="87"/>
      <c r="T659" s="87"/>
      <c r="U659" s="87"/>
      <c r="V659" s="87"/>
      <c r="W659" s="87"/>
      <c r="X659" s="87"/>
      <c r="Y659" s="87"/>
      <c r="Z659" s="87"/>
      <c r="AA659" s="87"/>
      <c r="AB659" s="87"/>
      <c r="AC659" s="87"/>
      <c r="AD659" s="87"/>
      <c r="AE659" s="87"/>
      <c r="AF659" s="87"/>
      <c r="AG659" s="87"/>
      <c r="AH659" s="87"/>
      <c r="AI659" s="87"/>
      <c r="AJ659" s="87"/>
      <c r="AK659" s="87"/>
      <c r="AL659" s="87"/>
    </row>
    <row r="660" spans="10:38" ht="15.75" customHeight="1">
      <c r="J660" s="87"/>
      <c r="O660" s="84"/>
      <c r="Q660" s="87"/>
      <c r="S660" s="87"/>
      <c r="T660" s="87"/>
      <c r="U660" s="87"/>
      <c r="V660" s="87"/>
      <c r="W660" s="87"/>
      <c r="X660" s="87"/>
      <c r="Y660" s="87"/>
      <c r="Z660" s="87"/>
      <c r="AA660" s="87"/>
      <c r="AB660" s="87"/>
      <c r="AC660" s="87"/>
      <c r="AD660" s="87"/>
      <c r="AE660" s="87"/>
      <c r="AF660" s="87"/>
      <c r="AG660" s="87"/>
      <c r="AH660" s="87"/>
      <c r="AI660" s="87"/>
      <c r="AJ660" s="87"/>
      <c r="AK660" s="87"/>
      <c r="AL660" s="87"/>
    </row>
    <row r="661" spans="10:38" ht="15.75" customHeight="1">
      <c r="J661" s="87"/>
      <c r="O661" s="84"/>
      <c r="Q661" s="87"/>
      <c r="S661" s="87"/>
      <c r="T661" s="87"/>
      <c r="U661" s="87"/>
      <c r="V661" s="87"/>
      <c r="W661" s="87"/>
      <c r="X661" s="87"/>
      <c r="Y661" s="87"/>
      <c r="Z661" s="87"/>
      <c r="AA661" s="87"/>
      <c r="AB661" s="87"/>
      <c r="AC661" s="87"/>
      <c r="AD661" s="87"/>
      <c r="AE661" s="87"/>
      <c r="AF661" s="87"/>
      <c r="AG661" s="87"/>
      <c r="AH661" s="87"/>
      <c r="AI661" s="87"/>
      <c r="AJ661" s="87"/>
      <c r="AK661" s="87"/>
      <c r="AL661" s="87"/>
    </row>
    <row r="662" spans="10:38" ht="15.75" customHeight="1">
      <c r="J662" s="87"/>
      <c r="O662" s="84"/>
      <c r="Q662" s="87"/>
      <c r="S662" s="87"/>
      <c r="T662" s="87"/>
      <c r="U662" s="87"/>
      <c r="V662" s="87"/>
      <c r="W662" s="87"/>
      <c r="X662" s="87"/>
      <c r="Y662" s="87"/>
      <c r="Z662" s="87"/>
      <c r="AA662" s="87"/>
      <c r="AB662" s="87"/>
      <c r="AC662" s="87"/>
      <c r="AD662" s="87"/>
      <c r="AE662" s="87"/>
      <c r="AF662" s="87"/>
      <c r="AG662" s="87"/>
      <c r="AH662" s="87"/>
      <c r="AI662" s="87"/>
      <c r="AJ662" s="87"/>
      <c r="AK662" s="87"/>
      <c r="AL662" s="87"/>
    </row>
    <row r="663" spans="10:38" ht="15.75" customHeight="1">
      <c r="J663" s="87"/>
      <c r="O663" s="84"/>
      <c r="Q663" s="87"/>
      <c r="S663" s="87"/>
      <c r="T663" s="87"/>
      <c r="U663" s="87"/>
      <c r="V663" s="87"/>
      <c r="W663" s="87"/>
      <c r="X663" s="87"/>
      <c r="Y663" s="87"/>
      <c r="Z663" s="87"/>
      <c r="AA663" s="87"/>
      <c r="AB663" s="87"/>
      <c r="AC663" s="87"/>
      <c r="AD663" s="87"/>
      <c r="AE663" s="87"/>
      <c r="AF663" s="87"/>
      <c r="AG663" s="87"/>
      <c r="AH663" s="87"/>
      <c r="AI663" s="87"/>
      <c r="AJ663" s="87"/>
      <c r="AK663" s="87"/>
      <c r="AL663" s="87"/>
    </row>
    <row r="664" spans="10:38" ht="15.75" customHeight="1">
      <c r="J664" s="87"/>
      <c r="O664" s="84"/>
      <c r="Q664" s="87"/>
      <c r="S664" s="87"/>
      <c r="T664" s="87"/>
      <c r="U664" s="87"/>
      <c r="V664" s="87"/>
      <c r="W664" s="87"/>
      <c r="X664" s="87"/>
      <c r="Y664" s="87"/>
      <c r="Z664" s="87"/>
      <c r="AA664" s="87"/>
      <c r="AB664" s="87"/>
      <c r="AC664" s="87"/>
      <c r="AD664" s="87"/>
      <c r="AE664" s="87"/>
      <c r="AF664" s="87"/>
      <c r="AG664" s="87"/>
      <c r="AH664" s="87"/>
      <c r="AI664" s="87"/>
      <c r="AJ664" s="87"/>
      <c r="AK664" s="87"/>
      <c r="AL664" s="87"/>
    </row>
    <row r="665" spans="10:38" ht="15.75" customHeight="1">
      <c r="J665" s="87"/>
      <c r="O665" s="84"/>
      <c r="Q665" s="87"/>
      <c r="S665" s="87"/>
      <c r="T665" s="87"/>
      <c r="U665" s="87"/>
      <c r="V665" s="87"/>
      <c r="W665" s="87"/>
      <c r="X665" s="87"/>
      <c r="Y665" s="87"/>
      <c r="Z665" s="87"/>
      <c r="AA665" s="87"/>
      <c r="AB665" s="87"/>
      <c r="AC665" s="87"/>
      <c r="AD665" s="87"/>
      <c r="AE665" s="87"/>
      <c r="AF665" s="87"/>
      <c r="AG665" s="87"/>
      <c r="AH665" s="87"/>
      <c r="AI665" s="87"/>
      <c r="AJ665" s="87"/>
      <c r="AK665" s="87"/>
      <c r="AL665" s="87"/>
    </row>
    <row r="666" spans="10:38" ht="15.75" customHeight="1">
      <c r="J666" s="87"/>
      <c r="O666" s="84"/>
      <c r="Q666" s="87"/>
      <c r="S666" s="87"/>
      <c r="T666" s="87"/>
      <c r="U666" s="87"/>
      <c r="V666" s="87"/>
      <c r="W666" s="87"/>
      <c r="X666" s="87"/>
      <c r="Y666" s="87"/>
      <c r="Z666" s="87"/>
      <c r="AA666" s="87"/>
      <c r="AB666" s="87"/>
      <c r="AC666" s="87"/>
      <c r="AD666" s="87"/>
      <c r="AE666" s="87"/>
      <c r="AF666" s="87"/>
      <c r="AG666" s="87"/>
      <c r="AH666" s="87"/>
      <c r="AI666" s="87"/>
      <c r="AJ666" s="87"/>
      <c r="AK666" s="87"/>
      <c r="AL666" s="87"/>
    </row>
    <row r="667" spans="10:38" ht="15.75" customHeight="1">
      <c r="J667" s="87"/>
      <c r="O667" s="84"/>
      <c r="Q667" s="87"/>
      <c r="S667" s="87"/>
      <c r="T667" s="87"/>
      <c r="U667" s="87"/>
      <c r="V667" s="87"/>
      <c r="W667" s="87"/>
      <c r="X667" s="87"/>
      <c r="Y667" s="87"/>
      <c r="Z667" s="87"/>
      <c r="AA667" s="87"/>
      <c r="AB667" s="87"/>
      <c r="AC667" s="87"/>
      <c r="AD667" s="87"/>
      <c r="AE667" s="87"/>
      <c r="AF667" s="87"/>
      <c r="AG667" s="87"/>
      <c r="AH667" s="87"/>
      <c r="AI667" s="87"/>
      <c r="AJ667" s="87"/>
      <c r="AK667" s="87"/>
      <c r="AL667" s="87"/>
    </row>
    <row r="668" spans="10:38" ht="15.75" customHeight="1">
      <c r="J668" s="87"/>
      <c r="O668" s="84"/>
      <c r="Q668" s="87"/>
      <c r="S668" s="87"/>
      <c r="T668" s="87"/>
      <c r="U668" s="87"/>
      <c r="V668" s="87"/>
      <c r="W668" s="87"/>
      <c r="X668" s="87"/>
      <c r="Y668" s="87"/>
      <c r="Z668" s="87"/>
      <c r="AA668" s="87"/>
      <c r="AB668" s="87"/>
      <c r="AC668" s="87"/>
      <c r="AD668" s="87"/>
      <c r="AE668" s="87"/>
      <c r="AF668" s="87"/>
      <c r="AG668" s="87"/>
      <c r="AH668" s="87"/>
      <c r="AI668" s="87"/>
      <c r="AJ668" s="87"/>
      <c r="AK668" s="87"/>
      <c r="AL668" s="87"/>
    </row>
    <row r="669" spans="10:38" ht="15.75" customHeight="1">
      <c r="J669" s="87"/>
      <c r="O669" s="84"/>
      <c r="Q669" s="87"/>
      <c r="S669" s="87"/>
      <c r="T669" s="87"/>
      <c r="U669" s="87"/>
      <c r="V669" s="87"/>
      <c r="W669" s="87"/>
      <c r="X669" s="87"/>
      <c r="Y669" s="87"/>
      <c r="Z669" s="87"/>
      <c r="AA669" s="87"/>
      <c r="AB669" s="87"/>
      <c r="AC669" s="87"/>
      <c r="AD669" s="87"/>
      <c r="AE669" s="87"/>
      <c r="AF669" s="87"/>
      <c r="AG669" s="87"/>
      <c r="AH669" s="87"/>
      <c r="AI669" s="87"/>
      <c r="AJ669" s="87"/>
      <c r="AK669" s="87"/>
      <c r="AL669" s="87"/>
    </row>
    <row r="670" spans="10:38" ht="15.75" customHeight="1">
      <c r="J670" s="87"/>
      <c r="O670" s="84"/>
      <c r="Q670" s="87"/>
      <c r="S670" s="87"/>
      <c r="T670" s="87"/>
      <c r="U670" s="87"/>
      <c r="V670" s="87"/>
      <c r="W670" s="87"/>
      <c r="X670" s="87"/>
      <c r="Y670" s="87"/>
      <c r="Z670" s="87"/>
      <c r="AA670" s="87"/>
      <c r="AB670" s="87"/>
      <c r="AC670" s="87"/>
      <c r="AD670" s="87"/>
      <c r="AE670" s="87"/>
      <c r="AF670" s="87"/>
      <c r="AG670" s="87"/>
      <c r="AH670" s="87"/>
      <c r="AI670" s="87"/>
      <c r="AJ670" s="87"/>
      <c r="AK670" s="87"/>
      <c r="AL670" s="87"/>
    </row>
    <row r="671" spans="10:38" ht="15.75" customHeight="1">
      <c r="J671" s="87"/>
      <c r="O671" s="84"/>
      <c r="Q671" s="87"/>
      <c r="S671" s="87"/>
      <c r="T671" s="87"/>
      <c r="U671" s="87"/>
      <c r="V671" s="87"/>
      <c r="W671" s="87"/>
      <c r="X671" s="87"/>
      <c r="Y671" s="87"/>
      <c r="Z671" s="87"/>
      <c r="AA671" s="87"/>
      <c r="AB671" s="87"/>
      <c r="AC671" s="87"/>
      <c r="AD671" s="87"/>
      <c r="AE671" s="87"/>
      <c r="AF671" s="87"/>
      <c r="AG671" s="87"/>
      <c r="AH671" s="87"/>
      <c r="AI671" s="87"/>
      <c r="AJ671" s="87"/>
      <c r="AK671" s="87"/>
      <c r="AL671" s="87"/>
    </row>
    <row r="672" spans="10:38" ht="15.75" customHeight="1">
      <c r="J672" s="87"/>
      <c r="O672" s="84"/>
      <c r="Q672" s="87"/>
      <c r="S672" s="87"/>
      <c r="T672" s="87"/>
      <c r="U672" s="87"/>
      <c r="V672" s="87"/>
      <c r="W672" s="87"/>
      <c r="X672" s="87"/>
      <c r="Y672" s="87"/>
      <c r="Z672" s="87"/>
      <c r="AA672" s="87"/>
      <c r="AB672" s="87"/>
      <c r="AC672" s="87"/>
      <c r="AD672" s="87"/>
      <c r="AE672" s="87"/>
      <c r="AF672" s="87"/>
      <c r="AG672" s="87"/>
      <c r="AH672" s="87"/>
      <c r="AI672" s="87"/>
      <c r="AJ672" s="87"/>
      <c r="AK672" s="87"/>
      <c r="AL672" s="87"/>
    </row>
    <row r="673" spans="10:38" ht="15.75" customHeight="1">
      <c r="J673" s="87"/>
      <c r="O673" s="84"/>
      <c r="Q673" s="87"/>
      <c r="S673" s="87"/>
      <c r="T673" s="87"/>
      <c r="U673" s="87"/>
      <c r="V673" s="87"/>
      <c r="W673" s="87"/>
      <c r="X673" s="87"/>
      <c r="Y673" s="87"/>
      <c r="Z673" s="87"/>
      <c r="AA673" s="87"/>
      <c r="AB673" s="87"/>
      <c r="AC673" s="87"/>
      <c r="AD673" s="87"/>
      <c r="AE673" s="87"/>
      <c r="AF673" s="87"/>
      <c r="AG673" s="87"/>
      <c r="AH673" s="87"/>
      <c r="AI673" s="87"/>
      <c r="AJ673" s="87"/>
      <c r="AK673" s="87"/>
      <c r="AL673" s="87"/>
    </row>
    <row r="674" spans="10:38" ht="15.75" customHeight="1">
      <c r="J674" s="87"/>
      <c r="O674" s="84"/>
      <c r="Q674" s="87"/>
      <c r="S674" s="87"/>
      <c r="T674" s="87"/>
      <c r="U674" s="87"/>
      <c r="V674" s="87"/>
      <c r="W674" s="87"/>
      <c r="X674" s="87"/>
      <c r="Y674" s="87"/>
      <c r="Z674" s="87"/>
      <c r="AA674" s="87"/>
      <c r="AB674" s="87"/>
      <c r="AC674" s="87"/>
      <c r="AD674" s="87"/>
      <c r="AE674" s="87"/>
      <c r="AF674" s="87"/>
      <c r="AG674" s="87"/>
      <c r="AH674" s="87"/>
      <c r="AI674" s="87"/>
      <c r="AJ674" s="87"/>
      <c r="AK674" s="87"/>
      <c r="AL674" s="87"/>
    </row>
    <row r="675" spans="10:38" ht="15.75" customHeight="1">
      <c r="J675" s="87"/>
      <c r="O675" s="84"/>
      <c r="Q675" s="87"/>
      <c r="S675" s="87"/>
      <c r="T675" s="87"/>
      <c r="U675" s="87"/>
      <c r="V675" s="87"/>
      <c r="W675" s="87"/>
      <c r="X675" s="87"/>
      <c r="Y675" s="87"/>
      <c r="Z675" s="87"/>
      <c r="AA675" s="87"/>
      <c r="AB675" s="87"/>
      <c r="AC675" s="87"/>
      <c r="AD675" s="87"/>
      <c r="AE675" s="87"/>
      <c r="AF675" s="87"/>
      <c r="AG675" s="87"/>
      <c r="AH675" s="87"/>
      <c r="AI675" s="87"/>
      <c r="AJ675" s="87"/>
      <c r="AK675" s="87"/>
      <c r="AL675" s="87"/>
    </row>
    <row r="676" spans="10:38" ht="15.75" customHeight="1">
      <c r="J676" s="87"/>
      <c r="O676" s="84"/>
      <c r="Q676" s="87"/>
      <c r="S676" s="87"/>
      <c r="T676" s="87"/>
      <c r="U676" s="87"/>
      <c r="V676" s="87"/>
      <c r="W676" s="87"/>
      <c r="X676" s="87"/>
      <c r="Y676" s="87"/>
      <c r="Z676" s="87"/>
      <c r="AA676" s="87"/>
      <c r="AB676" s="87"/>
      <c r="AC676" s="87"/>
      <c r="AD676" s="87"/>
      <c r="AE676" s="87"/>
      <c r="AF676" s="87"/>
      <c r="AG676" s="87"/>
      <c r="AH676" s="87"/>
      <c r="AI676" s="87"/>
      <c r="AJ676" s="87"/>
      <c r="AK676" s="87"/>
      <c r="AL676" s="87"/>
    </row>
    <row r="677" spans="10:38" ht="15.75" customHeight="1">
      <c r="J677" s="87"/>
      <c r="O677" s="84"/>
      <c r="Q677" s="87"/>
      <c r="S677" s="87"/>
      <c r="T677" s="87"/>
      <c r="U677" s="87"/>
      <c r="V677" s="87"/>
      <c r="W677" s="87"/>
      <c r="X677" s="87"/>
      <c r="Y677" s="87"/>
      <c r="Z677" s="87"/>
      <c r="AA677" s="87"/>
      <c r="AB677" s="87"/>
      <c r="AC677" s="87"/>
      <c r="AD677" s="87"/>
      <c r="AE677" s="87"/>
      <c r="AF677" s="87"/>
      <c r="AG677" s="87"/>
      <c r="AH677" s="87"/>
      <c r="AI677" s="87"/>
      <c r="AJ677" s="87"/>
      <c r="AK677" s="87"/>
      <c r="AL677" s="87"/>
    </row>
    <row r="678" spans="10:38" ht="15.75" customHeight="1">
      <c r="J678" s="87"/>
      <c r="O678" s="84"/>
      <c r="Q678" s="87"/>
      <c r="S678" s="87"/>
      <c r="T678" s="87"/>
      <c r="U678" s="87"/>
      <c r="V678" s="87"/>
      <c r="W678" s="87"/>
      <c r="X678" s="87"/>
      <c r="Y678" s="87"/>
      <c r="Z678" s="87"/>
      <c r="AA678" s="87"/>
      <c r="AB678" s="87"/>
      <c r="AC678" s="87"/>
      <c r="AD678" s="87"/>
      <c r="AE678" s="87"/>
      <c r="AF678" s="87"/>
      <c r="AG678" s="87"/>
      <c r="AH678" s="87"/>
      <c r="AI678" s="87"/>
      <c r="AJ678" s="87"/>
      <c r="AK678" s="87"/>
      <c r="AL678" s="87"/>
    </row>
    <row r="679" spans="10:38" ht="15.75" customHeight="1">
      <c r="J679" s="87"/>
      <c r="O679" s="84"/>
      <c r="Q679" s="87"/>
      <c r="S679" s="87"/>
      <c r="T679" s="87"/>
      <c r="U679" s="87"/>
      <c r="V679" s="87"/>
      <c r="W679" s="87"/>
      <c r="X679" s="87"/>
      <c r="Y679" s="87"/>
      <c r="Z679" s="87"/>
      <c r="AA679" s="87"/>
      <c r="AB679" s="87"/>
      <c r="AC679" s="87"/>
      <c r="AD679" s="87"/>
      <c r="AE679" s="87"/>
      <c r="AF679" s="87"/>
      <c r="AG679" s="87"/>
      <c r="AH679" s="87"/>
      <c r="AI679" s="87"/>
      <c r="AJ679" s="87"/>
      <c r="AK679" s="87"/>
      <c r="AL679" s="87"/>
    </row>
    <row r="680" spans="10:38" ht="15.75" customHeight="1">
      <c r="J680" s="87"/>
      <c r="O680" s="84"/>
      <c r="Q680" s="87"/>
      <c r="S680" s="87"/>
      <c r="T680" s="87"/>
      <c r="U680" s="87"/>
      <c r="V680" s="87"/>
      <c r="W680" s="87"/>
      <c r="X680" s="87"/>
      <c r="Y680" s="87"/>
      <c r="Z680" s="87"/>
      <c r="AA680" s="87"/>
      <c r="AB680" s="87"/>
      <c r="AC680" s="87"/>
      <c r="AD680" s="87"/>
      <c r="AE680" s="87"/>
      <c r="AF680" s="87"/>
      <c r="AG680" s="87"/>
      <c r="AH680" s="87"/>
      <c r="AI680" s="87"/>
      <c r="AJ680" s="87"/>
      <c r="AK680" s="87"/>
      <c r="AL680" s="87"/>
    </row>
    <row r="681" spans="10:38" ht="15.75" customHeight="1">
      <c r="J681" s="87"/>
      <c r="O681" s="84"/>
      <c r="Q681" s="87"/>
      <c r="S681" s="87"/>
      <c r="T681" s="87"/>
      <c r="U681" s="87"/>
      <c r="V681" s="87"/>
      <c r="W681" s="87"/>
      <c r="X681" s="87"/>
      <c r="Y681" s="87"/>
      <c r="Z681" s="87"/>
      <c r="AA681" s="87"/>
      <c r="AB681" s="87"/>
      <c r="AC681" s="87"/>
      <c r="AD681" s="87"/>
      <c r="AE681" s="87"/>
      <c r="AF681" s="87"/>
      <c r="AG681" s="87"/>
      <c r="AH681" s="87"/>
      <c r="AI681" s="87"/>
      <c r="AJ681" s="87"/>
      <c r="AK681" s="87"/>
      <c r="AL681" s="87"/>
    </row>
    <row r="682" spans="10:38" ht="15.75" customHeight="1">
      <c r="J682" s="87"/>
      <c r="O682" s="84"/>
      <c r="Q682" s="87"/>
      <c r="S682" s="87"/>
      <c r="T682" s="87"/>
      <c r="U682" s="87"/>
      <c r="V682" s="87"/>
      <c r="W682" s="87"/>
      <c r="X682" s="87"/>
      <c r="Y682" s="87"/>
      <c r="Z682" s="87"/>
      <c r="AA682" s="87"/>
      <c r="AB682" s="87"/>
      <c r="AC682" s="87"/>
      <c r="AD682" s="87"/>
      <c r="AE682" s="87"/>
      <c r="AF682" s="87"/>
      <c r="AG682" s="87"/>
      <c r="AH682" s="87"/>
      <c r="AI682" s="87"/>
      <c r="AJ682" s="87"/>
      <c r="AK682" s="87"/>
      <c r="AL682" s="87"/>
    </row>
    <row r="683" spans="10:38" ht="15.75" customHeight="1">
      <c r="J683" s="87"/>
      <c r="O683" s="84"/>
      <c r="Q683" s="87"/>
      <c r="S683" s="87"/>
      <c r="T683" s="87"/>
      <c r="U683" s="87"/>
      <c r="V683" s="87"/>
      <c r="W683" s="87"/>
      <c r="X683" s="87"/>
      <c r="Y683" s="87"/>
      <c r="Z683" s="87"/>
      <c r="AA683" s="87"/>
      <c r="AB683" s="87"/>
      <c r="AC683" s="87"/>
      <c r="AD683" s="87"/>
      <c r="AE683" s="87"/>
      <c r="AF683" s="87"/>
      <c r="AG683" s="87"/>
      <c r="AH683" s="87"/>
      <c r="AI683" s="87"/>
      <c r="AJ683" s="87"/>
      <c r="AK683" s="87"/>
      <c r="AL683" s="87"/>
    </row>
    <row r="684" spans="10:38" ht="15.75" customHeight="1">
      <c r="J684" s="87"/>
      <c r="O684" s="84"/>
      <c r="Q684" s="87"/>
      <c r="S684" s="87"/>
      <c r="T684" s="87"/>
      <c r="U684" s="87"/>
      <c r="V684" s="87"/>
      <c r="W684" s="87"/>
      <c r="X684" s="87"/>
      <c r="Y684" s="87"/>
      <c r="Z684" s="87"/>
      <c r="AA684" s="87"/>
      <c r="AB684" s="87"/>
      <c r="AC684" s="87"/>
      <c r="AD684" s="87"/>
      <c r="AE684" s="87"/>
      <c r="AF684" s="87"/>
      <c r="AG684" s="87"/>
      <c r="AH684" s="87"/>
      <c r="AI684" s="87"/>
      <c r="AJ684" s="87"/>
      <c r="AK684" s="87"/>
      <c r="AL684" s="87"/>
    </row>
    <row r="685" spans="10:38" ht="15.75" customHeight="1">
      <c r="J685" s="87"/>
      <c r="O685" s="84"/>
      <c r="Q685" s="87"/>
      <c r="S685" s="87"/>
      <c r="T685" s="87"/>
      <c r="U685" s="87"/>
      <c r="V685" s="87"/>
      <c r="W685" s="87"/>
      <c r="X685" s="87"/>
      <c r="Y685" s="87"/>
      <c r="Z685" s="87"/>
      <c r="AA685" s="87"/>
      <c r="AB685" s="87"/>
      <c r="AC685" s="87"/>
      <c r="AD685" s="87"/>
      <c r="AE685" s="87"/>
      <c r="AF685" s="87"/>
      <c r="AG685" s="87"/>
      <c r="AH685" s="87"/>
      <c r="AI685" s="87"/>
      <c r="AJ685" s="87"/>
      <c r="AK685" s="87"/>
      <c r="AL685" s="87"/>
    </row>
    <row r="686" spans="10:38" ht="15.75" customHeight="1">
      <c r="J686" s="87"/>
      <c r="O686" s="84"/>
      <c r="Q686" s="87"/>
      <c r="S686" s="87"/>
      <c r="T686" s="87"/>
      <c r="U686" s="87"/>
      <c r="V686" s="87"/>
      <c r="W686" s="87"/>
      <c r="X686" s="87"/>
      <c r="Y686" s="87"/>
      <c r="Z686" s="87"/>
      <c r="AA686" s="87"/>
      <c r="AB686" s="87"/>
      <c r="AC686" s="87"/>
      <c r="AD686" s="87"/>
      <c r="AE686" s="87"/>
      <c r="AF686" s="87"/>
      <c r="AG686" s="87"/>
      <c r="AH686" s="87"/>
      <c r="AI686" s="87"/>
      <c r="AJ686" s="87"/>
      <c r="AK686" s="87"/>
      <c r="AL686" s="87"/>
    </row>
    <row r="687" spans="10:38" ht="15.75" customHeight="1">
      <c r="J687" s="87"/>
      <c r="O687" s="84"/>
      <c r="Q687" s="87"/>
      <c r="S687" s="87"/>
      <c r="T687" s="87"/>
      <c r="U687" s="87"/>
      <c r="V687" s="87"/>
      <c r="W687" s="87"/>
      <c r="X687" s="87"/>
      <c r="Y687" s="87"/>
      <c r="Z687" s="87"/>
      <c r="AA687" s="87"/>
      <c r="AB687" s="87"/>
      <c r="AC687" s="87"/>
      <c r="AD687" s="87"/>
      <c r="AE687" s="87"/>
      <c r="AF687" s="87"/>
      <c r="AG687" s="87"/>
      <c r="AH687" s="87"/>
      <c r="AI687" s="87"/>
      <c r="AJ687" s="87"/>
      <c r="AK687" s="87"/>
      <c r="AL687" s="87"/>
    </row>
    <row r="688" spans="10:38" ht="15.75" customHeight="1">
      <c r="J688" s="87"/>
      <c r="O688" s="84"/>
      <c r="Q688" s="87"/>
      <c r="S688" s="87"/>
      <c r="T688" s="87"/>
      <c r="U688" s="87"/>
      <c r="V688" s="87"/>
      <c r="W688" s="87"/>
      <c r="X688" s="87"/>
      <c r="Y688" s="87"/>
      <c r="Z688" s="87"/>
      <c r="AA688" s="87"/>
      <c r="AB688" s="87"/>
      <c r="AC688" s="87"/>
      <c r="AD688" s="87"/>
      <c r="AE688" s="87"/>
      <c r="AF688" s="87"/>
      <c r="AG688" s="87"/>
      <c r="AH688" s="87"/>
      <c r="AI688" s="87"/>
      <c r="AJ688" s="87"/>
      <c r="AK688" s="87"/>
      <c r="AL688" s="87"/>
    </row>
    <row r="689" spans="10:38" ht="15.75" customHeight="1">
      <c r="J689" s="87"/>
      <c r="O689" s="84"/>
      <c r="Q689" s="87"/>
      <c r="S689" s="87"/>
      <c r="T689" s="87"/>
      <c r="U689" s="87"/>
      <c r="V689" s="87"/>
      <c r="W689" s="87"/>
      <c r="X689" s="87"/>
      <c r="Y689" s="87"/>
      <c r="Z689" s="87"/>
      <c r="AA689" s="87"/>
      <c r="AB689" s="87"/>
      <c r="AC689" s="87"/>
      <c r="AD689" s="87"/>
      <c r="AE689" s="87"/>
      <c r="AF689" s="87"/>
      <c r="AG689" s="87"/>
      <c r="AH689" s="87"/>
      <c r="AI689" s="87"/>
      <c r="AJ689" s="87"/>
      <c r="AK689" s="87"/>
      <c r="AL689" s="87"/>
    </row>
    <row r="690" spans="10:38" ht="15.75" customHeight="1">
      <c r="J690" s="87"/>
      <c r="O690" s="84"/>
      <c r="Q690" s="87"/>
      <c r="S690" s="87"/>
      <c r="T690" s="87"/>
      <c r="U690" s="87"/>
      <c r="V690" s="87"/>
      <c r="W690" s="87"/>
      <c r="X690" s="87"/>
      <c r="Y690" s="87"/>
      <c r="Z690" s="87"/>
      <c r="AA690" s="87"/>
      <c r="AB690" s="87"/>
      <c r="AC690" s="87"/>
      <c r="AD690" s="87"/>
      <c r="AE690" s="87"/>
      <c r="AF690" s="87"/>
      <c r="AG690" s="87"/>
      <c r="AH690" s="87"/>
      <c r="AI690" s="87"/>
      <c r="AJ690" s="87"/>
      <c r="AK690" s="87"/>
      <c r="AL690" s="87"/>
    </row>
    <row r="691" spans="10:38" ht="15.75" customHeight="1">
      <c r="J691" s="87"/>
      <c r="O691" s="84"/>
      <c r="Q691" s="87"/>
      <c r="S691" s="87"/>
      <c r="T691" s="87"/>
      <c r="U691" s="87"/>
      <c r="V691" s="87"/>
      <c r="W691" s="87"/>
      <c r="X691" s="87"/>
      <c r="Y691" s="87"/>
      <c r="Z691" s="87"/>
      <c r="AA691" s="87"/>
      <c r="AB691" s="87"/>
      <c r="AC691" s="87"/>
      <c r="AD691" s="87"/>
      <c r="AE691" s="87"/>
      <c r="AF691" s="87"/>
      <c r="AG691" s="87"/>
      <c r="AH691" s="87"/>
      <c r="AI691" s="87"/>
      <c r="AJ691" s="87"/>
      <c r="AK691" s="87"/>
      <c r="AL691" s="87"/>
    </row>
    <row r="692" spans="10:38" ht="15.75" customHeight="1">
      <c r="J692" s="87"/>
      <c r="O692" s="84"/>
      <c r="Q692" s="87"/>
      <c r="S692" s="87"/>
      <c r="T692" s="87"/>
      <c r="U692" s="87"/>
      <c r="V692" s="87"/>
      <c r="W692" s="87"/>
      <c r="X692" s="87"/>
      <c r="Y692" s="87"/>
      <c r="Z692" s="87"/>
      <c r="AA692" s="87"/>
      <c r="AB692" s="87"/>
      <c r="AC692" s="87"/>
      <c r="AD692" s="87"/>
      <c r="AE692" s="87"/>
      <c r="AF692" s="87"/>
      <c r="AG692" s="87"/>
      <c r="AH692" s="87"/>
      <c r="AI692" s="87"/>
      <c r="AJ692" s="87"/>
      <c r="AK692" s="87"/>
      <c r="AL692" s="87"/>
    </row>
    <row r="693" spans="10:38" ht="15.75" customHeight="1">
      <c r="J693" s="87"/>
      <c r="O693" s="84"/>
      <c r="Q693" s="87"/>
      <c r="S693" s="87"/>
      <c r="T693" s="87"/>
      <c r="U693" s="87"/>
      <c r="V693" s="87"/>
      <c r="W693" s="87"/>
      <c r="X693" s="87"/>
      <c r="Y693" s="87"/>
      <c r="Z693" s="87"/>
      <c r="AA693" s="87"/>
      <c r="AB693" s="87"/>
      <c r="AC693" s="87"/>
      <c r="AD693" s="87"/>
      <c r="AE693" s="87"/>
      <c r="AF693" s="87"/>
      <c r="AG693" s="87"/>
      <c r="AH693" s="87"/>
      <c r="AI693" s="87"/>
      <c r="AJ693" s="87"/>
      <c r="AK693" s="87"/>
      <c r="AL693" s="87"/>
    </row>
    <row r="694" spans="10:38" ht="15.75" customHeight="1">
      <c r="J694" s="87"/>
      <c r="O694" s="84"/>
      <c r="Q694" s="87"/>
      <c r="S694" s="87"/>
      <c r="T694" s="87"/>
      <c r="U694" s="87"/>
      <c r="V694" s="87"/>
      <c r="W694" s="87"/>
      <c r="X694" s="87"/>
      <c r="Y694" s="87"/>
      <c r="Z694" s="87"/>
      <c r="AA694" s="87"/>
      <c r="AB694" s="87"/>
      <c r="AC694" s="87"/>
      <c r="AD694" s="87"/>
      <c r="AE694" s="87"/>
      <c r="AF694" s="87"/>
      <c r="AG694" s="87"/>
      <c r="AH694" s="87"/>
      <c r="AI694" s="87"/>
      <c r="AJ694" s="87"/>
      <c r="AK694" s="87"/>
      <c r="AL694" s="87"/>
    </row>
    <row r="695" spans="10:38" ht="15.75" customHeight="1">
      <c r="J695" s="87"/>
      <c r="O695" s="84"/>
      <c r="Q695" s="87"/>
      <c r="S695" s="87"/>
      <c r="T695" s="87"/>
      <c r="U695" s="87"/>
      <c r="V695" s="87"/>
      <c r="W695" s="87"/>
      <c r="X695" s="87"/>
      <c r="Y695" s="87"/>
      <c r="Z695" s="87"/>
      <c r="AA695" s="87"/>
      <c r="AB695" s="87"/>
      <c r="AC695" s="87"/>
      <c r="AD695" s="87"/>
      <c r="AE695" s="87"/>
      <c r="AF695" s="87"/>
      <c r="AG695" s="87"/>
      <c r="AH695" s="87"/>
      <c r="AI695" s="87"/>
      <c r="AJ695" s="87"/>
      <c r="AK695" s="87"/>
      <c r="AL695" s="87"/>
    </row>
    <row r="696" spans="10:38" ht="15.75" customHeight="1">
      <c r="J696" s="87"/>
      <c r="O696" s="84"/>
      <c r="Q696" s="87"/>
      <c r="S696" s="87"/>
      <c r="T696" s="87"/>
      <c r="U696" s="87"/>
      <c r="V696" s="87"/>
      <c r="W696" s="87"/>
      <c r="X696" s="87"/>
      <c r="Y696" s="87"/>
      <c r="Z696" s="87"/>
      <c r="AA696" s="87"/>
      <c r="AB696" s="87"/>
      <c r="AC696" s="87"/>
      <c r="AD696" s="87"/>
      <c r="AE696" s="87"/>
      <c r="AF696" s="87"/>
      <c r="AG696" s="87"/>
      <c r="AH696" s="87"/>
      <c r="AI696" s="87"/>
      <c r="AJ696" s="87"/>
      <c r="AK696" s="87"/>
      <c r="AL696" s="87"/>
    </row>
    <row r="697" spans="10:38" ht="15.75" customHeight="1">
      <c r="J697" s="87"/>
      <c r="O697" s="84"/>
      <c r="Q697" s="87"/>
      <c r="S697" s="87"/>
      <c r="T697" s="87"/>
      <c r="U697" s="87"/>
      <c r="V697" s="87"/>
      <c r="W697" s="87"/>
      <c r="X697" s="87"/>
      <c r="Y697" s="87"/>
      <c r="Z697" s="87"/>
      <c r="AA697" s="87"/>
      <c r="AB697" s="87"/>
      <c r="AC697" s="87"/>
      <c r="AD697" s="87"/>
      <c r="AE697" s="87"/>
      <c r="AF697" s="87"/>
      <c r="AG697" s="87"/>
      <c r="AH697" s="87"/>
      <c r="AI697" s="87"/>
      <c r="AJ697" s="87"/>
      <c r="AK697" s="87"/>
      <c r="AL697" s="87"/>
    </row>
    <row r="698" spans="10:38" ht="15.75" customHeight="1">
      <c r="J698" s="87"/>
      <c r="O698" s="84"/>
      <c r="Q698" s="87"/>
      <c r="S698" s="87"/>
      <c r="T698" s="87"/>
      <c r="U698" s="87"/>
      <c r="V698" s="87"/>
      <c r="W698" s="87"/>
      <c r="X698" s="87"/>
      <c r="Y698" s="87"/>
      <c r="Z698" s="87"/>
      <c r="AA698" s="87"/>
      <c r="AB698" s="87"/>
      <c r="AC698" s="87"/>
      <c r="AD698" s="87"/>
      <c r="AE698" s="87"/>
      <c r="AF698" s="87"/>
      <c r="AG698" s="87"/>
      <c r="AH698" s="87"/>
      <c r="AI698" s="87"/>
      <c r="AJ698" s="87"/>
      <c r="AK698" s="87"/>
      <c r="AL698" s="87"/>
    </row>
    <row r="699" spans="10:38" ht="15.75" customHeight="1">
      <c r="J699" s="87"/>
      <c r="O699" s="84"/>
      <c r="Q699" s="87"/>
      <c r="S699" s="87"/>
      <c r="T699" s="87"/>
      <c r="U699" s="87"/>
      <c r="V699" s="87"/>
      <c r="W699" s="87"/>
      <c r="X699" s="87"/>
      <c r="Y699" s="87"/>
      <c r="Z699" s="87"/>
      <c r="AA699" s="87"/>
      <c r="AB699" s="87"/>
      <c r="AC699" s="87"/>
      <c r="AD699" s="87"/>
      <c r="AE699" s="87"/>
      <c r="AF699" s="87"/>
      <c r="AG699" s="87"/>
      <c r="AH699" s="87"/>
      <c r="AI699" s="87"/>
      <c r="AJ699" s="87"/>
      <c r="AK699" s="87"/>
      <c r="AL699" s="87"/>
    </row>
    <row r="700" spans="10:38" ht="15.75" customHeight="1">
      <c r="J700" s="87"/>
      <c r="O700" s="84"/>
      <c r="Q700" s="87"/>
      <c r="S700" s="87"/>
      <c r="T700" s="87"/>
      <c r="U700" s="87"/>
      <c r="V700" s="87"/>
      <c r="W700" s="87"/>
      <c r="X700" s="87"/>
      <c r="Y700" s="87"/>
      <c r="Z700" s="87"/>
      <c r="AA700" s="87"/>
      <c r="AB700" s="87"/>
      <c r="AC700" s="87"/>
      <c r="AD700" s="87"/>
      <c r="AE700" s="87"/>
      <c r="AF700" s="87"/>
      <c r="AG700" s="87"/>
      <c r="AH700" s="87"/>
      <c r="AI700" s="87"/>
      <c r="AJ700" s="87"/>
      <c r="AK700" s="87"/>
      <c r="AL700" s="87"/>
    </row>
    <row r="701" spans="10:38" ht="15.75" customHeight="1">
      <c r="J701" s="87"/>
      <c r="O701" s="84"/>
      <c r="Q701" s="87"/>
      <c r="S701" s="87"/>
      <c r="T701" s="87"/>
      <c r="U701" s="87"/>
      <c r="V701" s="87"/>
      <c r="W701" s="87"/>
      <c r="X701" s="87"/>
      <c r="Y701" s="87"/>
      <c r="Z701" s="87"/>
      <c r="AA701" s="87"/>
      <c r="AB701" s="87"/>
      <c r="AC701" s="87"/>
      <c r="AD701" s="87"/>
      <c r="AE701" s="87"/>
      <c r="AF701" s="87"/>
      <c r="AG701" s="87"/>
      <c r="AH701" s="87"/>
      <c r="AI701" s="87"/>
      <c r="AJ701" s="87"/>
      <c r="AK701" s="87"/>
      <c r="AL701" s="87"/>
    </row>
    <row r="702" spans="10:38" ht="15.75" customHeight="1">
      <c r="J702" s="87"/>
      <c r="O702" s="84"/>
      <c r="Q702" s="87"/>
      <c r="S702" s="87"/>
      <c r="T702" s="87"/>
      <c r="U702" s="87"/>
      <c r="V702" s="87"/>
      <c r="W702" s="87"/>
      <c r="X702" s="87"/>
      <c r="Y702" s="87"/>
      <c r="Z702" s="87"/>
      <c r="AA702" s="87"/>
      <c r="AB702" s="87"/>
      <c r="AC702" s="87"/>
      <c r="AD702" s="87"/>
      <c r="AE702" s="87"/>
      <c r="AF702" s="87"/>
      <c r="AG702" s="87"/>
      <c r="AH702" s="87"/>
      <c r="AI702" s="87"/>
      <c r="AJ702" s="87"/>
      <c r="AK702" s="87"/>
      <c r="AL702" s="87"/>
    </row>
    <row r="703" spans="10:38" ht="15.75" customHeight="1">
      <c r="J703" s="87"/>
      <c r="O703" s="84"/>
      <c r="Q703" s="87"/>
      <c r="S703" s="87"/>
      <c r="T703" s="87"/>
      <c r="U703" s="87"/>
      <c r="V703" s="87"/>
      <c r="W703" s="87"/>
      <c r="X703" s="87"/>
      <c r="Y703" s="87"/>
      <c r="Z703" s="87"/>
      <c r="AA703" s="87"/>
      <c r="AB703" s="87"/>
      <c r="AC703" s="87"/>
      <c r="AD703" s="87"/>
      <c r="AE703" s="87"/>
      <c r="AF703" s="87"/>
      <c r="AG703" s="87"/>
      <c r="AH703" s="87"/>
      <c r="AI703" s="87"/>
      <c r="AJ703" s="87"/>
      <c r="AK703" s="87"/>
      <c r="AL703" s="87"/>
    </row>
    <row r="704" spans="10:38" ht="15.75" customHeight="1">
      <c r="J704" s="87"/>
      <c r="O704" s="84"/>
      <c r="Q704" s="87"/>
      <c r="S704" s="87"/>
      <c r="T704" s="87"/>
      <c r="U704" s="87"/>
      <c r="V704" s="87"/>
      <c r="W704" s="87"/>
      <c r="X704" s="87"/>
      <c r="Y704" s="87"/>
      <c r="Z704" s="87"/>
      <c r="AA704" s="87"/>
      <c r="AB704" s="87"/>
      <c r="AC704" s="87"/>
      <c r="AD704" s="87"/>
      <c r="AE704" s="87"/>
      <c r="AF704" s="87"/>
      <c r="AG704" s="87"/>
      <c r="AH704" s="87"/>
      <c r="AI704" s="87"/>
      <c r="AJ704" s="87"/>
      <c r="AK704" s="87"/>
      <c r="AL704" s="87"/>
    </row>
    <row r="705" spans="10:38" ht="15.75" customHeight="1">
      <c r="J705" s="87"/>
      <c r="O705" s="84"/>
      <c r="Q705" s="87"/>
      <c r="S705" s="87"/>
      <c r="T705" s="87"/>
      <c r="U705" s="87"/>
      <c r="V705" s="87"/>
      <c r="W705" s="87"/>
      <c r="X705" s="87"/>
      <c r="Y705" s="87"/>
      <c r="Z705" s="87"/>
      <c r="AA705" s="87"/>
      <c r="AB705" s="87"/>
      <c r="AC705" s="87"/>
      <c r="AD705" s="87"/>
      <c r="AE705" s="87"/>
      <c r="AF705" s="87"/>
      <c r="AG705" s="87"/>
      <c r="AH705" s="87"/>
      <c r="AI705" s="87"/>
      <c r="AJ705" s="87"/>
      <c r="AK705" s="87"/>
      <c r="AL705" s="87"/>
    </row>
    <row r="706" spans="10:38" ht="15.75" customHeight="1">
      <c r="J706" s="87"/>
      <c r="O706" s="84"/>
      <c r="Q706" s="87"/>
      <c r="S706" s="87"/>
      <c r="T706" s="87"/>
      <c r="U706" s="87"/>
      <c r="V706" s="87"/>
      <c r="W706" s="87"/>
      <c r="X706" s="87"/>
      <c r="Y706" s="87"/>
      <c r="Z706" s="87"/>
      <c r="AA706" s="87"/>
      <c r="AB706" s="87"/>
      <c r="AC706" s="87"/>
      <c r="AD706" s="87"/>
      <c r="AE706" s="87"/>
      <c r="AF706" s="87"/>
      <c r="AG706" s="87"/>
      <c r="AH706" s="87"/>
      <c r="AI706" s="87"/>
      <c r="AJ706" s="87"/>
      <c r="AK706" s="87"/>
      <c r="AL706" s="87"/>
    </row>
    <row r="707" spans="10:38" ht="15.75" customHeight="1">
      <c r="J707" s="87"/>
      <c r="O707" s="84"/>
      <c r="Q707" s="87"/>
      <c r="S707" s="87"/>
      <c r="T707" s="87"/>
      <c r="U707" s="87"/>
      <c r="V707" s="87"/>
      <c r="W707" s="87"/>
      <c r="X707" s="87"/>
      <c r="Y707" s="87"/>
      <c r="Z707" s="87"/>
      <c r="AA707" s="87"/>
      <c r="AB707" s="87"/>
      <c r="AC707" s="87"/>
      <c r="AD707" s="87"/>
      <c r="AE707" s="87"/>
      <c r="AF707" s="87"/>
      <c r="AG707" s="87"/>
      <c r="AH707" s="87"/>
      <c r="AI707" s="87"/>
      <c r="AJ707" s="87"/>
      <c r="AK707" s="87"/>
      <c r="AL707" s="87"/>
    </row>
    <row r="708" spans="10:38" ht="15.75" customHeight="1">
      <c r="J708" s="87"/>
      <c r="O708" s="84"/>
      <c r="Q708" s="87"/>
      <c r="S708" s="87"/>
      <c r="T708" s="87"/>
      <c r="U708" s="87"/>
      <c r="V708" s="87"/>
      <c r="W708" s="87"/>
      <c r="X708" s="87"/>
      <c r="Y708" s="87"/>
      <c r="Z708" s="87"/>
      <c r="AA708" s="87"/>
      <c r="AB708" s="87"/>
      <c r="AC708" s="87"/>
      <c r="AD708" s="87"/>
      <c r="AE708" s="87"/>
      <c r="AF708" s="87"/>
      <c r="AG708" s="87"/>
      <c r="AH708" s="87"/>
      <c r="AI708" s="87"/>
      <c r="AJ708" s="87"/>
      <c r="AK708" s="87"/>
      <c r="AL708" s="87"/>
    </row>
    <row r="709" spans="10:38" ht="15.75" customHeight="1">
      <c r="J709" s="87"/>
      <c r="O709" s="84"/>
      <c r="Q709" s="87"/>
      <c r="S709" s="87"/>
      <c r="T709" s="87"/>
      <c r="U709" s="87"/>
      <c r="V709" s="87"/>
      <c r="W709" s="87"/>
      <c r="X709" s="87"/>
      <c r="Y709" s="87"/>
      <c r="Z709" s="87"/>
      <c r="AA709" s="87"/>
      <c r="AB709" s="87"/>
      <c r="AC709" s="87"/>
      <c r="AD709" s="87"/>
      <c r="AE709" s="87"/>
      <c r="AF709" s="87"/>
      <c r="AG709" s="87"/>
      <c r="AH709" s="87"/>
      <c r="AI709" s="87"/>
      <c r="AJ709" s="87"/>
      <c r="AK709" s="87"/>
      <c r="AL709" s="87"/>
    </row>
    <row r="710" spans="10:38" ht="15.75" customHeight="1">
      <c r="J710" s="87"/>
      <c r="O710" s="84"/>
      <c r="Q710" s="87"/>
      <c r="S710" s="87"/>
      <c r="T710" s="87"/>
      <c r="U710" s="87"/>
      <c r="V710" s="87"/>
      <c r="W710" s="87"/>
      <c r="X710" s="87"/>
      <c r="Y710" s="87"/>
      <c r="Z710" s="87"/>
      <c r="AA710" s="87"/>
      <c r="AB710" s="87"/>
      <c r="AC710" s="87"/>
      <c r="AD710" s="87"/>
      <c r="AE710" s="87"/>
      <c r="AF710" s="87"/>
      <c r="AG710" s="87"/>
      <c r="AH710" s="87"/>
      <c r="AI710" s="87"/>
      <c r="AJ710" s="87"/>
      <c r="AK710" s="87"/>
      <c r="AL710" s="87"/>
    </row>
    <row r="711" spans="10:38" ht="15.75" customHeight="1">
      <c r="J711" s="87"/>
      <c r="O711" s="84"/>
      <c r="Q711" s="87"/>
      <c r="S711" s="87"/>
      <c r="T711" s="87"/>
      <c r="U711" s="87"/>
      <c r="V711" s="87"/>
      <c r="W711" s="87"/>
      <c r="X711" s="87"/>
      <c r="Y711" s="87"/>
      <c r="Z711" s="87"/>
      <c r="AA711" s="87"/>
      <c r="AB711" s="87"/>
      <c r="AC711" s="87"/>
      <c r="AD711" s="87"/>
      <c r="AE711" s="87"/>
      <c r="AF711" s="87"/>
      <c r="AG711" s="87"/>
      <c r="AH711" s="87"/>
      <c r="AI711" s="87"/>
      <c r="AJ711" s="87"/>
      <c r="AK711" s="87"/>
      <c r="AL711" s="87"/>
    </row>
    <row r="712" spans="10:38" ht="15.75" customHeight="1">
      <c r="J712" s="87"/>
      <c r="O712" s="84"/>
      <c r="Q712" s="87"/>
      <c r="S712" s="87"/>
      <c r="T712" s="87"/>
      <c r="U712" s="87"/>
      <c r="V712" s="87"/>
      <c r="W712" s="87"/>
      <c r="X712" s="87"/>
      <c r="Y712" s="87"/>
      <c r="Z712" s="87"/>
      <c r="AA712" s="87"/>
      <c r="AB712" s="87"/>
      <c r="AC712" s="87"/>
      <c r="AD712" s="87"/>
      <c r="AE712" s="87"/>
      <c r="AF712" s="87"/>
      <c r="AG712" s="87"/>
      <c r="AH712" s="87"/>
      <c r="AI712" s="87"/>
      <c r="AJ712" s="87"/>
      <c r="AK712" s="87"/>
      <c r="AL712" s="87"/>
    </row>
    <row r="713" spans="10:38" ht="15.75" customHeight="1">
      <c r="J713" s="87"/>
      <c r="O713" s="84"/>
      <c r="Q713" s="87"/>
      <c r="S713" s="87"/>
      <c r="T713" s="87"/>
      <c r="U713" s="87"/>
      <c r="V713" s="87"/>
      <c r="W713" s="87"/>
      <c r="X713" s="87"/>
      <c r="Y713" s="87"/>
      <c r="Z713" s="87"/>
      <c r="AA713" s="87"/>
      <c r="AB713" s="87"/>
      <c r="AC713" s="87"/>
      <c r="AD713" s="87"/>
      <c r="AE713" s="87"/>
      <c r="AF713" s="87"/>
      <c r="AG713" s="87"/>
      <c r="AH713" s="87"/>
      <c r="AI713" s="87"/>
      <c r="AJ713" s="87"/>
      <c r="AK713" s="87"/>
      <c r="AL713" s="87"/>
    </row>
    <row r="714" spans="10:38" ht="15.75" customHeight="1">
      <c r="J714" s="87"/>
      <c r="O714" s="84"/>
      <c r="Q714" s="87"/>
      <c r="S714" s="87"/>
      <c r="T714" s="87"/>
      <c r="U714" s="87"/>
      <c r="V714" s="87"/>
      <c r="W714" s="87"/>
      <c r="X714" s="87"/>
      <c r="Y714" s="87"/>
      <c r="Z714" s="87"/>
      <c r="AA714" s="87"/>
      <c r="AB714" s="87"/>
      <c r="AC714" s="87"/>
      <c r="AD714" s="87"/>
      <c r="AE714" s="87"/>
      <c r="AF714" s="87"/>
      <c r="AG714" s="87"/>
      <c r="AH714" s="87"/>
      <c r="AI714" s="87"/>
      <c r="AJ714" s="87"/>
      <c r="AK714" s="87"/>
      <c r="AL714" s="87"/>
    </row>
    <row r="715" spans="10:38" ht="15.75" customHeight="1">
      <c r="J715" s="87"/>
      <c r="O715" s="84"/>
      <c r="Q715" s="87"/>
      <c r="S715" s="87"/>
      <c r="T715" s="87"/>
      <c r="U715" s="87"/>
      <c r="V715" s="87"/>
      <c r="W715" s="87"/>
      <c r="X715" s="87"/>
      <c r="Y715" s="87"/>
      <c r="Z715" s="87"/>
      <c r="AA715" s="87"/>
      <c r="AB715" s="87"/>
      <c r="AC715" s="87"/>
      <c r="AD715" s="87"/>
      <c r="AE715" s="87"/>
      <c r="AF715" s="87"/>
      <c r="AG715" s="87"/>
      <c r="AH715" s="87"/>
      <c r="AI715" s="87"/>
      <c r="AJ715" s="87"/>
      <c r="AK715" s="87"/>
      <c r="AL715" s="87"/>
    </row>
    <row r="716" spans="10:38" ht="15.75" customHeight="1">
      <c r="J716" s="87"/>
      <c r="O716" s="84"/>
      <c r="Q716" s="87"/>
      <c r="S716" s="87"/>
      <c r="T716" s="87"/>
      <c r="U716" s="87"/>
      <c r="V716" s="87"/>
      <c r="W716" s="87"/>
      <c r="X716" s="87"/>
      <c r="Y716" s="87"/>
      <c r="Z716" s="87"/>
      <c r="AA716" s="87"/>
      <c r="AB716" s="87"/>
      <c r="AC716" s="87"/>
      <c r="AD716" s="87"/>
      <c r="AE716" s="87"/>
      <c r="AF716" s="87"/>
      <c r="AG716" s="87"/>
      <c r="AH716" s="87"/>
      <c r="AI716" s="87"/>
      <c r="AJ716" s="87"/>
      <c r="AK716" s="87"/>
      <c r="AL716" s="87"/>
    </row>
    <row r="717" spans="10:38" ht="15.75" customHeight="1">
      <c r="J717" s="87"/>
      <c r="O717" s="84"/>
      <c r="Q717" s="87"/>
      <c r="S717" s="87"/>
      <c r="T717" s="87"/>
      <c r="U717" s="87"/>
      <c r="V717" s="87"/>
      <c r="W717" s="87"/>
      <c r="X717" s="87"/>
      <c r="Y717" s="87"/>
      <c r="Z717" s="87"/>
      <c r="AA717" s="87"/>
      <c r="AB717" s="87"/>
      <c r="AC717" s="87"/>
      <c r="AD717" s="87"/>
      <c r="AE717" s="87"/>
      <c r="AF717" s="87"/>
      <c r="AG717" s="87"/>
      <c r="AH717" s="87"/>
      <c r="AI717" s="87"/>
      <c r="AJ717" s="87"/>
      <c r="AK717" s="87"/>
      <c r="AL717" s="87"/>
    </row>
    <row r="718" spans="10:38" ht="15.75" customHeight="1">
      <c r="J718" s="87"/>
      <c r="O718" s="84"/>
      <c r="Q718" s="87"/>
      <c r="S718" s="87"/>
      <c r="T718" s="87"/>
      <c r="U718" s="87"/>
      <c r="V718" s="87"/>
      <c r="W718" s="87"/>
      <c r="X718" s="87"/>
      <c r="Y718" s="87"/>
      <c r="Z718" s="87"/>
      <c r="AA718" s="87"/>
      <c r="AB718" s="87"/>
      <c r="AC718" s="87"/>
      <c r="AD718" s="87"/>
      <c r="AE718" s="87"/>
      <c r="AF718" s="87"/>
      <c r="AG718" s="87"/>
      <c r="AH718" s="87"/>
      <c r="AI718" s="87"/>
      <c r="AJ718" s="87"/>
      <c r="AK718" s="87"/>
      <c r="AL718" s="87"/>
    </row>
    <row r="719" spans="10:38" ht="15.75" customHeight="1">
      <c r="J719" s="87"/>
      <c r="O719" s="84"/>
      <c r="Q719" s="87"/>
      <c r="S719" s="87"/>
      <c r="T719" s="87"/>
      <c r="U719" s="87"/>
      <c r="V719" s="87"/>
      <c r="W719" s="87"/>
      <c r="X719" s="87"/>
      <c r="Y719" s="87"/>
      <c r="Z719" s="87"/>
      <c r="AA719" s="87"/>
      <c r="AB719" s="87"/>
      <c r="AC719" s="87"/>
      <c r="AD719" s="87"/>
      <c r="AE719" s="87"/>
      <c r="AF719" s="87"/>
      <c r="AG719" s="87"/>
      <c r="AH719" s="87"/>
      <c r="AI719" s="87"/>
      <c r="AJ719" s="87"/>
      <c r="AK719" s="87"/>
      <c r="AL719" s="87"/>
    </row>
    <row r="720" spans="10:38" ht="15.75" customHeight="1">
      <c r="J720" s="87"/>
      <c r="O720" s="84"/>
      <c r="Q720" s="87"/>
      <c r="S720" s="87"/>
      <c r="T720" s="87"/>
      <c r="U720" s="87"/>
      <c r="V720" s="87"/>
      <c r="W720" s="87"/>
      <c r="X720" s="87"/>
      <c r="Y720" s="87"/>
      <c r="Z720" s="87"/>
      <c r="AA720" s="87"/>
      <c r="AB720" s="87"/>
      <c r="AC720" s="87"/>
      <c r="AD720" s="87"/>
      <c r="AE720" s="87"/>
      <c r="AF720" s="87"/>
      <c r="AG720" s="87"/>
      <c r="AH720" s="87"/>
      <c r="AI720" s="87"/>
      <c r="AJ720" s="87"/>
      <c r="AK720" s="87"/>
      <c r="AL720" s="87"/>
    </row>
    <row r="721" spans="10:38" ht="15.75" customHeight="1">
      <c r="J721" s="87"/>
      <c r="O721" s="84"/>
      <c r="Q721" s="87"/>
      <c r="S721" s="87"/>
      <c r="T721" s="87"/>
      <c r="U721" s="87"/>
      <c r="V721" s="87"/>
      <c r="W721" s="87"/>
      <c r="X721" s="87"/>
      <c r="Y721" s="87"/>
      <c r="Z721" s="87"/>
      <c r="AA721" s="87"/>
      <c r="AB721" s="87"/>
      <c r="AC721" s="87"/>
      <c r="AD721" s="87"/>
      <c r="AE721" s="87"/>
      <c r="AF721" s="87"/>
      <c r="AG721" s="87"/>
      <c r="AH721" s="87"/>
      <c r="AI721" s="87"/>
      <c r="AJ721" s="87"/>
      <c r="AK721" s="87"/>
      <c r="AL721" s="87"/>
    </row>
    <row r="722" spans="10:38" ht="15.75" customHeight="1">
      <c r="J722" s="87"/>
      <c r="O722" s="84"/>
      <c r="Q722" s="87"/>
      <c r="S722" s="87"/>
      <c r="T722" s="87"/>
      <c r="U722" s="87"/>
      <c r="V722" s="87"/>
      <c r="W722" s="87"/>
      <c r="X722" s="87"/>
      <c r="Y722" s="87"/>
      <c r="Z722" s="87"/>
      <c r="AA722" s="87"/>
      <c r="AB722" s="87"/>
      <c r="AC722" s="87"/>
      <c r="AD722" s="87"/>
      <c r="AE722" s="87"/>
      <c r="AF722" s="87"/>
      <c r="AG722" s="87"/>
      <c r="AH722" s="87"/>
      <c r="AI722" s="87"/>
      <c r="AJ722" s="87"/>
      <c r="AK722" s="87"/>
      <c r="AL722" s="87"/>
    </row>
    <row r="723" spans="10:38" ht="15.75" customHeight="1">
      <c r="J723" s="87"/>
      <c r="O723" s="84"/>
      <c r="Q723" s="87"/>
      <c r="S723" s="87"/>
      <c r="T723" s="87"/>
      <c r="U723" s="87"/>
      <c r="V723" s="87"/>
      <c r="W723" s="87"/>
      <c r="X723" s="87"/>
      <c r="Y723" s="87"/>
      <c r="Z723" s="87"/>
      <c r="AA723" s="87"/>
      <c r="AB723" s="87"/>
      <c r="AC723" s="87"/>
      <c r="AD723" s="87"/>
      <c r="AE723" s="87"/>
      <c r="AF723" s="87"/>
      <c r="AG723" s="87"/>
      <c r="AH723" s="87"/>
      <c r="AI723" s="87"/>
      <c r="AJ723" s="87"/>
      <c r="AK723" s="87"/>
      <c r="AL723" s="87"/>
    </row>
    <row r="724" spans="10:38" ht="15.75" customHeight="1">
      <c r="J724" s="87"/>
      <c r="O724" s="84"/>
      <c r="Q724" s="87"/>
      <c r="S724" s="87"/>
      <c r="T724" s="87"/>
      <c r="U724" s="87"/>
      <c r="V724" s="87"/>
      <c r="W724" s="87"/>
      <c r="X724" s="87"/>
      <c r="Y724" s="87"/>
      <c r="Z724" s="87"/>
      <c r="AA724" s="87"/>
      <c r="AB724" s="87"/>
      <c r="AC724" s="87"/>
      <c r="AD724" s="87"/>
      <c r="AE724" s="87"/>
      <c r="AF724" s="87"/>
      <c r="AG724" s="87"/>
      <c r="AH724" s="87"/>
      <c r="AI724" s="87"/>
      <c r="AJ724" s="87"/>
      <c r="AK724" s="87"/>
      <c r="AL724" s="87"/>
    </row>
    <row r="725" spans="10:38" ht="15.75" customHeight="1">
      <c r="J725" s="87"/>
      <c r="O725" s="84"/>
      <c r="Q725" s="87"/>
      <c r="S725" s="87"/>
      <c r="T725" s="87"/>
      <c r="U725" s="87"/>
      <c r="V725" s="87"/>
      <c r="W725" s="87"/>
      <c r="X725" s="87"/>
      <c r="Y725" s="87"/>
      <c r="Z725" s="87"/>
      <c r="AA725" s="87"/>
      <c r="AB725" s="87"/>
      <c r="AC725" s="87"/>
      <c r="AD725" s="87"/>
      <c r="AE725" s="87"/>
      <c r="AF725" s="87"/>
      <c r="AG725" s="87"/>
      <c r="AH725" s="87"/>
      <c r="AI725" s="87"/>
      <c r="AJ725" s="87"/>
      <c r="AK725" s="87"/>
      <c r="AL725" s="87"/>
    </row>
    <row r="726" spans="10:38" ht="15.75" customHeight="1">
      <c r="J726" s="87"/>
      <c r="O726" s="84"/>
      <c r="Q726" s="87"/>
      <c r="S726" s="87"/>
      <c r="T726" s="87"/>
      <c r="U726" s="87"/>
      <c r="V726" s="87"/>
      <c r="W726" s="87"/>
      <c r="X726" s="87"/>
      <c r="Y726" s="87"/>
      <c r="Z726" s="87"/>
      <c r="AA726" s="87"/>
      <c r="AB726" s="87"/>
      <c r="AC726" s="87"/>
      <c r="AD726" s="87"/>
      <c r="AE726" s="87"/>
      <c r="AF726" s="87"/>
      <c r="AG726" s="87"/>
      <c r="AH726" s="87"/>
      <c r="AI726" s="87"/>
      <c r="AJ726" s="87"/>
      <c r="AK726" s="87"/>
      <c r="AL726" s="87"/>
    </row>
    <row r="727" spans="10:38" ht="15.75" customHeight="1">
      <c r="J727" s="87"/>
      <c r="O727" s="84"/>
      <c r="Q727" s="87"/>
      <c r="S727" s="87"/>
      <c r="T727" s="87"/>
      <c r="U727" s="87"/>
      <c r="V727" s="87"/>
      <c r="W727" s="87"/>
      <c r="X727" s="87"/>
      <c r="Y727" s="87"/>
      <c r="Z727" s="87"/>
      <c r="AA727" s="87"/>
      <c r="AB727" s="87"/>
      <c r="AC727" s="87"/>
      <c r="AD727" s="87"/>
      <c r="AE727" s="87"/>
      <c r="AF727" s="87"/>
      <c r="AG727" s="87"/>
      <c r="AH727" s="87"/>
      <c r="AI727" s="87"/>
      <c r="AJ727" s="87"/>
      <c r="AK727" s="87"/>
      <c r="AL727" s="87"/>
    </row>
    <row r="728" spans="10:38" ht="15.75" customHeight="1">
      <c r="J728" s="87"/>
      <c r="O728" s="84"/>
      <c r="Q728" s="87"/>
      <c r="S728" s="87"/>
      <c r="T728" s="87"/>
      <c r="U728" s="87"/>
      <c r="V728" s="87"/>
      <c r="W728" s="87"/>
      <c r="X728" s="87"/>
      <c r="Y728" s="87"/>
      <c r="Z728" s="87"/>
      <c r="AA728" s="87"/>
      <c r="AB728" s="87"/>
      <c r="AC728" s="87"/>
      <c r="AD728" s="87"/>
      <c r="AE728" s="87"/>
      <c r="AF728" s="87"/>
      <c r="AG728" s="87"/>
      <c r="AH728" s="87"/>
      <c r="AI728" s="87"/>
      <c r="AJ728" s="87"/>
      <c r="AK728" s="87"/>
      <c r="AL728" s="87"/>
    </row>
    <row r="729" spans="10:38" ht="15.75" customHeight="1">
      <c r="J729" s="87"/>
      <c r="O729" s="84"/>
      <c r="Q729" s="87"/>
      <c r="S729" s="87"/>
      <c r="T729" s="87"/>
      <c r="U729" s="87"/>
      <c r="V729" s="87"/>
      <c r="W729" s="87"/>
      <c r="X729" s="87"/>
      <c r="Y729" s="87"/>
      <c r="Z729" s="87"/>
      <c r="AA729" s="87"/>
      <c r="AB729" s="87"/>
      <c r="AC729" s="87"/>
      <c r="AD729" s="87"/>
      <c r="AE729" s="87"/>
      <c r="AF729" s="87"/>
      <c r="AG729" s="87"/>
      <c r="AH729" s="87"/>
      <c r="AI729" s="87"/>
      <c r="AJ729" s="87"/>
      <c r="AK729" s="87"/>
      <c r="AL729" s="87"/>
    </row>
    <row r="730" spans="10:38" ht="15.75" customHeight="1">
      <c r="J730" s="87"/>
      <c r="O730" s="84"/>
      <c r="Q730" s="87"/>
      <c r="S730" s="87"/>
      <c r="T730" s="87"/>
      <c r="U730" s="87"/>
      <c r="V730" s="87"/>
      <c r="W730" s="87"/>
      <c r="X730" s="87"/>
      <c r="Y730" s="87"/>
      <c r="Z730" s="87"/>
      <c r="AA730" s="87"/>
      <c r="AB730" s="87"/>
      <c r="AC730" s="87"/>
      <c r="AD730" s="87"/>
      <c r="AE730" s="87"/>
      <c r="AF730" s="87"/>
      <c r="AG730" s="87"/>
      <c r="AH730" s="87"/>
      <c r="AI730" s="87"/>
      <c r="AJ730" s="87"/>
      <c r="AK730" s="87"/>
      <c r="AL730" s="87"/>
    </row>
    <row r="731" spans="10:38" ht="15.75" customHeight="1">
      <c r="J731" s="87"/>
      <c r="O731" s="84"/>
      <c r="Q731" s="87"/>
      <c r="S731" s="87"/>
      <c r="T731" s="87"/>
      <c r="U731" s="87"/>
      <c r="V731" s="87"/>
      <c r="W731" s="87"/>
      <c r="X731" s="87"/>
      <c r="Y731" s="87"/>
      <c r="Z731" s="87"/>
      <c r="AA731" s="87"/>
      <c r="AB731" s="87"/>
      <c r="AC731" s="87"/>
      <c r="AD731" s="87"/>
      <c r="AE731" s="87"/>
      <c r="AF731" s="87"/>
      <c r="AG731" s="87"/>
      <c r="AH731" s="87"/>
      <c r="AI731" s="87"/>
      <c r="AJ731" s="87"/>
      <c r="AK731" s="87"/>
      <c r="AL731" s="87"/>
    </row>
    <row r="732" spans="10:38" ht="15.75" customHeight="1">
      <c r="J732" s="87"/>
      <c r="O732" s="84"/>
      <c r="Q732" s="87"/>
      <c r="S732" s="87"/>
      <c r="T732" s="87"/>
      <c r="U732" s="87"/>
      <c r="V732" s="87"/>
      <c r="W732" s="87"/>
      <c r="X732" s="87"/>
      <c r="Y732" s="87"/>
      <c r="Z732" s="87"/>
      <c r="AA732" s="87"/>
      <c r="AB732" s="87"/>
      <c r="AC732" s="87"/>
      <c r="AD732" s="87"/>
      <c r="AE732" s="87"/>
      <c r="AF732" s="87"/>
      <c r="AG732" s="87"/>
      <c r="AH732" s="87"/>
      <c r="AI732" s="87"/>
      <c r="AJ732" s="87"/>
      <c r="AK732" s="87"/>
      <c r="AL732" s="87"/>
    </row>
    <row r="733" spans="10:38" ht="15.75" customHeight="1">
      <c r="J733" s="87"/>
      <c r="O733" s="84"/>
      <c r="Q733" s="87"/>
      <c r="S733" s="87"/>
      <c r="T733" s="87"/>
      <c r="U733" s="87"/>
      <c r="V733" s="87"/>
      <c r="W733" s="87"/>
      <c r="X733" s="87"/>
      <c r="Y733" s="87"/>
      <c r="Z733" s="87"/>
      <c r="AA733" s="87"/>
      <c r="AB733" s="87"/>
      <c r="AC733" s="87"/>
      <c r="AD733" s="87"/>
      <c r="AE733" s="87"/>
      <c r="AF733" s="87"/>
      <c r="AG733" s="87"/>
      <c r="AH733" s="87"/>
      <c r="AI733" s="87"/>
      <c r="AJ733" s="87"/>
      <c r="AK733" s="87"/>
      <c r="AL733" s="87"/>
    </row>
    <row r="734" spans="10:38" ht="15.75" customHeight="1">
      <c r="J734" s="87"/>
      <c r="O734" s="84"/>
      <c r="Q734" s="87"/>
      <c r="S734" s="87"/>
      <c r="T734" s="87"/>
      <c r="U734" s="87"/>
      <c r="V734" s="87"/>
      <c r="W734" s="87"/>
      <c r="X734" s="87"/>
      <c r="Y734" s="87"/>
      <c r="Z734" s="87"/>
      <c r="AA734" s="87"/>
      <c r="AB734" s="87"/>
      <c r="AC734" s="87"/>
      <c r="AD734" s="87"/>
      <c r="AE734" s="87"/>
      <c r="AF734" s="87"/>
      <c r="AG734" s="87"/>
      <c r="AH734" s="87"/>
      <c r="AI734" s="87"/>
      <c r="AJ734" s="87"/>
      <c r="AK734" s="87"/>
      <c r="AL734" s="87"/>
    </row>
    <row r="735" spans="10:38" ht="15.75" customHeight="1">
      <c r="J735" s="87"/>
      <c r="O735" s="84"/>
      <c r="Q735" s="87"/>
      <c r="S735" s="87"/>
      <c r="T735" s="87"/>
      <c r="U735" s="87"/>
      <c r="V735" s="87"/>
      <c r="W735" s="87"/>
      <c r="X735" s="87"/>
      <c r="Y735" s="87"/>
      <c r="Z735" s="87"/>
      <c r="AA735" s="87"/>
      <c r="AB735" s="87"/>
      <c r="AC735" s="87"/>
      <c r="AD735" s="87"/>
      <c r="AE735" s="87"/>
      <c r="AF735" s="87"/>
      <c r="AG735" s="87"/>
      <c r="AH735" s="87"/>
      <c r="AI735" s="87"/>
      <c r="AJ735" s="87"/>
      <c r="AK735" s="87"/>
      <c r="AL735" s="87"/>
    </row>
    <row r="736" spans="10:38" ht="15.75" customHeight="1">
      <c r="J736" s="87"/>
      <c r="O736" s="84"/>
      <c r="Q736" s="87"/>
      <c r="S736" s="87"/>
      <c r="T736" s="87"/>
      <c r="U736" s="87"/>
      <c r="V736" s="87"/>
      <c r="W736" s="87"/>
      <c r="X736" s="87"/>
      <c r="Y736" s="87"/>
      <c r="Z736" s="87"/>
      <c r="AA736" s="87"/>
      <c r="AB736" s="87"/>
      <c r="AC736" s="87"/>
      <c r="AD736" s="87"/>
      <c r="AE736" s="87"/>
      <c r="AF736" s="87"/>
      <c r="AG736" s="87"/>
      <c r="AH736" s="87"/>
      <c r="AI736" s="87"/>
      <c r="AJ736" s="87"/>
      <c r="AK736" s="87"/>
      <c r="AL736" s="87"/>
    </row>
    <row r="737" spans="10:38" ht="15.75" customHeight="1">
      <c r="J737" s="87"/>
      <c r="O737" s="84"/>
      <c r="Q737" s="87"/>
      <c r="S737" s="87"/>
      <c r="T737" s="87"/>
      <c r="U737" s="87"/>
      <c r="V737" s="87"/>
      <c r="W737" s="87"/>
      <c r="X737" s="87"/>
      <c r="Y737" s="87"/>
      <c r="Z737" s="87"/>
      <c r="AA737" s="87"/>
      <c r="AB737" s="87"/>
      <c r="AC737" s="87"/>
      <c r="AD737" s="87"/>
      <c r="AE737" s="87"/>
      <c r="AF737" s="87"/>
      <c r="AG737" s="87"/>
      <c r="AH737" s="87"/>
      <c r="AI737" s="87"/>
      <c r="AJ737" s="87"/>
      <c r="AK737" s="87"/>
      <c r="AL737" s="87"/>
    </row>
    <row r="738" spans="10:38" ht="15.75" customHeight="1">
      <c r="J738" s="87"/>
      <c r="O738" s="84"/>
      <c r="Q738" s="87"/>
      <c r="S738" s="87"/>
      <c r="T738" s="87"/>
      <c r="U738" s="87"/>
      <c r="V738" s="87"/>
      <c r="W738" s="87"/>
      <c r="X738" s="87"/>
      <c r="Y738" s="87"/>
      <c r="Z738" s="87"/>
      <c r="AA738" s="87"/>
      <c r="AB738" s="87"/>
      <c r="AC738" s="87"/>
      <c r="AD738" s="87"/>
      <c r="AE738" s="87"/>
      <c r="AF738" s="87"/>
      <c r="AG738" s="87"/>
      <c r="AH738" s="87"/>
      <c r="AI738" s="87"/>
      <c r="AJ738" s="87"/>
      <c r="AK738" s="87"/>
      <c r="AL738" s="87"/>
    </row>
    <row r="739" spans="10:38" ht="15.75" customHeight="1">
      <c r="J739" s="87"/>
      <c r="O739" s="84"/>
      <c r="Q739" s="87"/>
      <c r="S739" s="87"/>
      <c r="T739" s="87"/>
      <c r="U739" s="87"/>
      <c r="V739" s="87"/>
      <c r="W739" s="87"/>
      <c r="X739" s="87"/>
      <c r="Y739" s="87"/>
      <c r="Z739" s="87"/>
      <c r="AA739" s="87"/>
      <c r="AB739" s="87"/>
      <c r="AC739" s="87"/>
      <c r="AD739" s="87"/>
      <c r="AE739" s="87"/>
      <c r="AF739" s="87"/>
      <c r="AG739" s="87"/>
      <c r="AH739" s="87"/>
      <c r="AI739" s="87"/>
      <c r="AJ739" s="87"/>
      <c r="AK739" s="87"/>
      <c r="AL739" s="87"/>
    </row>
    <row r="740" spans="10:38" ht="15.75" customHeight="1">
      <c r="J740" s="87"/>
      <c r="O740" s="84"/>
      <c r="Q740" s="87"/>
      <c r="S740" s="87"/>
      <c r="T740" s="87"/>
      <c r="U740" s="87"/>
      <c r="V740" s="87"/>
      <c r="W740" s="87"/>
      <c r="X740" s="87"/>
      <c r="Y740" s="87"/>
      <c r="Z740" s="87"/>
      <c r="AA740" s="87"/>
      <c r="AB740" s="87"/>
      <c r="AC740" s="87"/>
      <c r="AD740" s="87"/>
      <c r="AE740" s="87"/>
      <c r="AF740" s="87"/>
      <c r="AG740" s="87"/>
      <c r="AH740" s="87"/>
      <c r="AI740" s="87"/>
      <c r="AJ740" s="87"/>
      <c r="AK740" s="87"/>
      <c r="AL740" s="87"/>
    </row>
    <row r="741" spans="10:38" ht="15.75" customHeight="1">
      <c r="J741" s="87"/>
      <c r="O741" s="84"/>
      <c r="Q741" s="87"/>
      <c r="S741" s="87"/>
      <c r="T741" s="87"/>
      <c r="U741" s="87"/>
      <c r="V741" s="87"/>
      <c r="W741" s="87"/>
      <c r="X741" s="87"/>
      <c r="Y741" s="87"/>
      <c r="Z741" s="87"/>
      <c r="AA741" s="87"/>
      <c r="AB741" s="87"/>
      <c r="AC741" s="87"/>
      <c r="AD741" s="87"/>
      <c r="AE741" s="87"/>
      <c r="AF741" s="87"/>
      <c r="AG741" s="87"/>
      <c r="AH741" s="87"/>
      <c r="AI741" s="87"/>
      <c r="AJ741" s="87"/>
      <c r="AK741" s="87"/>
      <c r="AL741" s="87"/>
    </row>
    <row r="742" spans="10:38" ht="15.75" customHeight="1">
      <c r="J742" s="87"/>
      <c r="O742" s="84"/>
      <c r="Q742" s="87"/>
      <c r="S742" s="87"/>
      <c r="T742" s="87"/>
      <c r="U742" s="87"/>
      <c r="V742" s="87"/>
      <c r="W742" s="87"/>
      <c r="X742" s="87"/>
      <c r="Y742" s="87"/>
      <c r="Z742" s="87"/>
      <c r="AA742" s="87"/>
      <c r="AB742" s="87"/>
      <c r="AC742" s="87"/>
      <c r="AD742" s="87"/>
      <c r="AE742" s="87"/>
      <c r="AF742" s="87"/>
      <c r="AG742" s="87"/>
      <c r="AH742" s="87"/>
      <c r="AI742" s="87"/>
      <c r="AJ742" s="87"/>
      <c r="AK742" s="87"/>
      <c r="AL742" s="87"/>
    </row>
    <row r="743" spans="10:38" ht="15.75" customHeight="1">
      <c r="J743" s="87"/>
      <c r="O743" s="84"/>
      <c r="Q743" s="87"/>
      <c r="S743" s="87"/>
      <c r="T743" s="87"/>
      <c r="U743" s="87"/>
      <c r="V743" s="87"/>
      <c r="W743" s="87"/>
      <c r="X743" s="87"/>
      <c r="Y743" s="87"/>
      <c r="Z743" s="87"/>
      <c r="AA743" s="87"/>
      <c r="AB743" s="87"/>
      <c r="AC743" s="87"/>
      <c r="AD743" s="87"/>
      <c r="AE743" s="87"/>
      <c r="AF743" s="87"/>
      <c r="AG743" s="87"/>
      <c r="AH743" s="87"/>
      <c r="AI743" s="87"/>
      <c r="AJ743" s="87"/>
      <c r="AK743" s="87"/>
      <c r="AL743" s="87"/>
    </row>
    <row r="744" spans="10:38" ht="15.75" customHeight="1">
      <c r="J744" s="87"/>
      <c r="O744" s="84"/>
      <c r="Q744" s="87"/>
      <c r="S744" s="87"/>
      <c r="T744" s="87"/>
      <c r="U744" s="87"/>
      <c r="V744" s="87"/>
      <c r="W744" s="87"/>
      <c r="X744" s="87"/>
      <c r="Y744" s="87"/>
      <c r="Z744" s="87"/>
      <c r="AA744" s="87"/>
      <c r="AB744" s="87"/>
      <c r="AC744" s="87"/>
      <c r="AD744" s="87"/>
      <c r="AE744" s="87"/>
      <c r="AF744" s="87"/>
      <c r="AG744" s="87"/>
      <c r="AH744" s="87"/>
      <c r="AI744" s="87"/>
      <c r="AJ744" s="87"/>
      <c r="AK744" s="87"/>
      <c r="AL744" s="87"/>
    </row>
    <row r="745" spans="10:38" ht="15.75" customHeight="1">
      <c r="J745" s="87"/>
      <c r="O745" s="84"/>
      <c r="Q745" s="87"/>
      <c r="S745" s="87"/>
      <c r="T745" s="87"/>
      <c r="U745" s="87"/>
      <c r="V745" s="87"/>
      <c r="W745" s="87"/>
      <c r="X745" s="87"/>
      <c r="Y745" s="87"/>
      <c r="Z745" s="87"/>
      <c r="AA745" s="87"/>
      <c r="AB745" s="87"/>
      <c r="AC745" s="87"/>
      <c r="AD745" s="87"/>
      <c r="AE745" s="87"/>
      <c r="AF745" s="87"/>
      <c r="AG745" s="87"/>
      <c r="AH745" s="87"/>
      <c r="AI745" s="87"/>
      <c r="AJ745" s="87"/>
      <c r="AK745" s="87"/>
      <c r="AL745" s="87"/>
    </row>
    <row r="746" spans="10:38" ht="15.75" customHeight="1">
      <c r="J746" s="87"/>
      <c r="O746" s="84"/>
      <c r="Q746" s="87"/>
      <c r="S746" s="87"/>
      <c r="T746" s="87"/>
      <c r="U746" s="87"/>
      <c r="V746" s="87"/>
      <c r="W746" s="87"/>
      <c r="X746" s="87"/>
      <c r="Y746" s="87"/>
      <c r="Z746" s="87"/>
      <c r="AA746" s="87"/>
      <c r="AB746" s="87"/>
      <c r="AC746" s="87"/>
      <c r="AD746" s="87"/>
      <c r="AE746" s="87"/>
      <c r="AF746" s="87"/>
      <c r="AG746" s="87"/>
      <c r="AH746" s="87"/>
      <c r="AI746" s="87"/>
      <c r="AJ746" s="87"/>
      <c r="AK746" s="87"/>
      <c r="AL746" s="87"/>
    </row>
    <row r="747" spans="10:38" ht="15.75" customHeight="1">
      <c r="J747" s="87"/>
      <c r="O747" s="84"/>
      <c r="Q747" s="87"/>
      <c r="S747" s="87"/>
      <c r="T747" s="87"/>
      <c r="U747" s="87"/>
      <c r="V747" s="87"/>
      <c r="W747" s="87"/>
      <c r="X747" s="87"/>
      <c r="Y747" s="87"/>
      <c r="Z747" s="87"/>
      <c r="AA747" s="87"/>
      <c r="AB747" s="87"/>
      <c r="AC747" s="87"/>
      <c r="AD747" s="87"/>
      <c r="AE747" s="87"/>
      <c r="AF747" s="87"/>
      <c r="AG747" s="87"/>
      <c r="AH747" s="87"/>
      <c r="AI747" s="87"/>
      <c r="AJ747" s="87"/>
      <c r="AK747" s="87"/>
      <c r="AL747" s="87"/>
    </row>
    <row r="748" spans="10:38" ht="15.75" customHeight="1">
      <c r="J748" s="87"/>
      <c r="O748" s="84"/>
      <c r="Q748" s="87"/>
      <c r="S748" s="87"/>
      <c r="T748" s="87"/>
      <c r="U748" s="87"/>
      <c r="V748" s="87"/>
      <c r="W748" s="87"/>
      <c r="X748" s="87"/>
      <c r="Y748" s="87"/>
      <c r="Z748" s="87"/>
      <c r="AA748" s="87"/>
      <c r="AB748" s="87"/>
      <c r="AC748" s="87"/>
      <c r="AD748" s="87"/>
      <c r="AE748" s="87"/>
      <c r="AF748" s="87"/>
      <c r="AG748" s="87"/>
      <c r="AH748" s="87"/>
      <c r="AI748" s="87"/>
      <c r="AJ748" s="87"/>
      <c r="AK748" s="87"/>
      <c r="AL748" s="87"/>
    </row>
    <row r="749" spans="10:38" ht="15.75" customHeight="1">
      <c r="J749" s="87"/>
      <c r="O749" s="84"/>
      <c r="Q749" s="87"/>
      <c r="S749" s="87"/>
      <c r="T749" s="87"/>
      <c r="U749" s="87"/>
      <c r="V749" s="87"/>
      <c r="W749" s="87"/>
      <c r="X749" s="87"/>
      <c r="Y749" s="87"/>
      <c r="Z749" s="87"/>
      <c r="AA749" s="87"/>
      <c r="AB749" s="87"/>
      <c r="AC749" s="87"/>
      <c r="AD749" s="87"/>
      <c r="AE749" s="87"/>
      <c r="AF749" s="87"/>
      <c r="AG749" s="87"/>
      <c r="AH749" s="87"/>
      <c r="AI749" s="87"/>
      <c r="AJ749" s="87"/>
      <c r="AK749" s="87"/>
      <c r="AL749" s="87"/>
    </row>
    <row r="750" spans="10:38" ht="15.75" customHeight="1">
      <c r="J750" s="87"/>
      <c r="O750" s="84"/>
      <c r="Q750" s="87"/>
      <c r="S750" s="87"/>
      <c r="T750" s="87"/>
      <c r="U750" s="87"/>
      <c r="V750" s="87"/>
      <c r="W750" s="87"/>
      <c r="X750" s="87"/>
      <c r="Y750" s="87"/>
      <c r="Z750" s="87"/>
      <c r="AA750" s="87"/>
      <c r="AB750" s="87"/>
      <c r="AC750" s="87"/>
      <c r="AD750" s="87"/>
      <c r="AE750" s="87"/>
      <c r="AF750" s="87"/>
      <c r="AG750" s="87"/>
      <c r="AH750" s="87"/>
      <c r="AI750" s="87"/>
      <c r="AJ750" s="87"/>
      <c r="AK750" s="87"/>
      <c r="AL750" s="87"/>
    </row>
    <row r="751" spans="10:38" ht="15.75" customHeight="1">
      <c r="J751" s="87"/>
      <c r="O751" s="84"/>
      <c r="Q751" s="87"/>
      <c r="S751" s="87"/>
      <c r="T751" s="87"/>
      <c r="U751" s="87"/>
      <c r="V751" s="87"/>
      <c r="W751" s="87"/>
      <c r="X751" s="87"/>
      <c r="Y751" s="87"/>
      <c r="Z751" s="87"/>
      <c r="AA751" s="87"/>
      <c r="AB751" s="87"/>
      <c r="AC751" s="87"/>
      <c r="AD751" s="87"/>
      <c r="AE751" s="87"/>
      <c r="AF751" s="87"/>
      <c r="AG751" s="87"/>
      <c r="AH751" s="87"/>
      <c r="AI751" s="87"/>
      <c r="AJ751" s="87"/>
      <c r="AK751" s="87"/>
      <c r="AL751" s="87"/>
    </row>
    <row r="752" spans="10:38" ht="15.75" customHeight="1">
      <c r="J752" s="87"/>
      <c r="O752" s="84"/>
      <c r="Q752" s="87"/>
      <c r="S752" s="87"/>
      <c r="T752" s="87"/>
      <c r="U752" s="87"/>
      <c r="V752" s="87"/>
      <c r="W752" s="87"/>
      <c r="X752" s="87"/>
      <c r="Y752" s="87"/>
      <c r="Z752" s="87"/>
      <c r="AA752" s="87"/>
      <c r="AB752" s="87"/>
      <c r="AC752" s="87"/>
      <c r="AD752" s="87"/>
      <c r="AE752" s="87"/>
      <c r="AF752" s="87"/>
      <c r="AG752" s="87"/>
      <c r="AH752" s="87"/>
      <c r="AI752" s="87"/>
      <c r="AJ752" s="87"/>
      <c r="AK752" s="87"/>
      <c r="AL752" s="87"/>
    </row>
    <row r="753" spans="10:38" ht="15.75" customHeight="1">
      <c r="J753" s="87"/>
      <c r="O753" s="84"/>
      <c r="Q753" s="87"/>
      <c r="S753" s="87"/>
      <c r="T753" s="87"/>
      <c r="U753" s="87"/>
      <c r="V753" s="87"/>
      <c r="W753" s="87"/>
      <c r="X753" s="87"/>
      <c r="Y753" s="87"/>
      <c r="Z753" s="87"/>
      <c r="AA753" s="87"/>
      <c r="AB753" s="87"/>
      <c r="AC753" s="87"/>
      <c r="AD753" s="87"/>
      <c r="AE753" s="87"/>
      <c r="AF753" s="87"/>
      <c r="AG753" s="87"/>
      <c r="AH753" s="87"/>
      <c r="AI753" s="87"/>
      <c r="AJ753" s="87"/>
      <c r="AK753" s="87"/>
      <c r="AL753" s="87"/>
    </row>
    <row r="754" spans="10:38" ht="15.75" customHeight="1">
      <c r="J754" s="87"/>
      <c r="O754" s="84"/>
      <c r="Q754" s="87"/>
      <c r="S754" s="87"/>
      <c r="T754" s="87"/>
      <c r="U754" s="87"/>
      <c r="V754" s="87"/>
      <c r="W754" s="87"/>
      <c r="X754" s="87"/>
      <c r="Y754" s="87"/>
      <c r="Z754" s="87"/>
      <c r="AA754" s="87"/>
      <c r="AB754" s="87"/>
      <c r="AC754" s="87"/>
      <c r="AD754" s="87"/>
      <c r="AE754" s="87"/>
      <c r="AF754" s="87"/>
      <c r="AG754" s="87"/>
      <c r="AH754" s="87"/>
      <c r="AI754" s="87"/>
      <c r="AJ754" s="87"/>
      <c r="AK754" s="87"/>
      <c r="AL754" s="87"/>
    </row>
    <row r="755" spans="10:38" ht="15.75" customHeight="1">
      <c r="J755" s="87"/>
      <c r="O755" s="84"/>
      <c r="Q755" s="87"/>
      <c r="S755" s="87"/>
      <c r="T755" s="87"/>
      <c r="U755" s="87"/>
      <c r="V755" s="87"/>
      <c r="W755" s="87"/>
      <c r="X755" s="87"/>
      <c r="Y755" s="87"/>
      <c r="Z755" s="87"/>
      <c r="AA755" s="87"/>
      <c r="AB755" s="87"/>
      <c r="AC755" s="87"/>
      <c r="AD755" s="87"/>
      <c r="AE755" s="87"/>
      <c r="AF755" s="87"/>
      <c r="AG755" s="87"/>
      <c r="AH755" s="87"/>
      <c r="AI755" s="87"/>
      <c r="AJ755" s="87"/>
      <c r="AK755" s="87"/>
      <c r="AL755" s="87"/>
    </row>
    <row r="756" spans="10:38" ht="15.75" customHeight="1">
      <c r="J756" s="87"/>
      <c r="O756" s="84"/>
      <c r="Q756" s="87"/>
      <c r="S756" s="87"/>
      <c r="T756" s="87"/>
      <c r="U756" s="87"/>
      <c r="V756" s="87"/>
      <c r="W756" s="87"/>
      <c r="X756" s="87"/>
      <c r="Y756" s="87"/>
      <c r="Z756" s="87"/>
      <c r="AA756" s="87"/>
      <c r="AB756" s="87"/>
      <c r="AC756" s="87"/>
      <c r="AD756" s="87"/>
      <c r="AE756" s="87"/>
      <c r="AF756" s="87"/>
      <c r="AG756" s="87"/>
      <c r="AH756" s="87"/>
      <c r="AI756" s="87"/>
      <c r="AJ756" s="87"/>
      <c r="AK756" s="87"/>
      <c r="AL756" s="87"/>
    </row>
    <row r="757" spans="10:38" ht="15.75" customHeight="1">
      <c r="J757" s="87"/>
      <c r="O757" s="84"/>
      <c r="Q757" s="87"/>
      <c r="S757" s="87"/>
      <c r="T757" s="87"/>
      <c r="U757" s="87"/>
      <c r="V757" s="87"/>
      <c r="W757" s="87"/>
      <c r="X757" s="87"/>
      <c r="Y757" s="87"/>
      <c r="Z757" s="87"/>
      <c r="AA757" s="87"/>
      <c r="AB757" s="87"/>
      <c r="AC757" s="87"/>
      <c r="AD757" s="87"/>
      <c r="AE757" s="87"/>
      <c r="AF757" s="87"/>
      <c r="AG757" s="87"/>
      <c r="AH757" s="87"/>
      <c r="AI757" s="87"/>
      <c r="AJ757" s="87"/>
      <c r="AK757" s="87"/>
      <c r="AL757" s="87"/>
    </row>
    <row r="758" spans="10:38" ht="15.75" customHeight="1">
      <c r="J758" s="87"/>
      <c r="O758" s="84"/>
      <c r="Q758" s="87"/>
      <c r="S758" s="87"/>
      <c r="T758" s="87"/>
      <c r="U758" s="87"/>
      <c r="V758" s="87"/>
      <c r="W758" s="87"/>
      <c r="X758" s="87"/>
      <c r="Y758" s="87"/>
      <c r="Z758" s="87"/>
      <c r="AA758" s="87"/>
      <c r="AB758" s="87"/>
      <c r="AC758" s="87"/>
      <c r="AD758" s="87"/>
      <c r="AE758" s="87"/>
      <c r="AF758" s="87"/>
      <c r="AG758" s="87"/>
      <c r="AH758" s="87"/>
      <c r="AI758" s="87"/>
      <c r="AJ758" s="87"/>
      <c r="AK758" s="87"/>
      <c r="AL758" s="87"/>
    </row>
    <row r="759" spans="10:38" ht="15.75" customHeight="1">
      <c r="J759" s="87"/>
      <c r="O759" s="84"/>
      <c r="Q759" s="87"/>
      <c r="S759" s="87"/>
      <c r="T759" s="87"/>
      <c r="U759" s="87"/>
      <c r="V759" s="87"/>
      <c r="W759" s="87"/>
      <c r="X759" s="87"/>
      <c r="Y759" s="87"/>
      <c r="Z759" s="87"/>
      <c r="AA759" s="87"/>
      <c r="AB759" s="87"/>
      <c r="AC759" s="87"/>
      <c r="AD759" s="87"/>
      <c r="AE759" s="87"/>
      <c r="AF759" s="87"/>
      <c r="AG759" s="87"/>
      <c r="AH759" s="87"/>
      <c r="AI759" s="87"/>
      <c r="AJ759" s="87"/>
      <c r="AK759" s="87"/>
      <c r="AL759" s="87"/>
    </row>
    <row r="760" spans="10:38" ht="15.75" customHeight="1">
      <c r="J760" s="87"/>
      <c r="O760" s="84"/>
      <c r="Q760" s="87"/>
      <c r="S760" s="87"/>
      <c r="T760" s="87"/>
      <c r="U760" s="87"/>
      <c r="V760" s="87"/>
      <c r="W760" s="87"/>
      <c r="X760" s="87"/>
      <c r="Y760" s="87"/>
      <c r="Z760" s="87"/>
      <c r="AA760" s="87"/>
      <c r="AB760" s="87"/>
      <c r="AC760" s="87"/>
      <c r="AD760" s="87"/>
      <c r="AE760" s="87"/>
      <c r="AF760" s="87"/>
      <c r="AG760" s="87"/>
      <c r="AH760" s="87"/>
      <c r="AI760" s="87"/>
      <c r="AJ760" s="87"/>
      <c r="AK760" s="87"/>
      <c r="AL760" s="87"/>
    </row>
    <row r="761" spans="10:38" ht="15.75" customHeight="1">
      <c r="J761" s="87"/>
      <c r="O761" s="84"/>
      <c r="Q761" s="87"/>
      <c r="S761" s="87"/>
      <c r="T761" s="87"/>
      <c r="U761" s="87"/>
      <c r="V761" s="87"/>
      <c r="W761" s="87"/>
      <c r="X761" s="87"/>
      <c r="Y761" s="87"/>
      <c r="Z761" s="87"/>
      <c r="AA761" s="87"/>
      <c r="AB761" s="87"/>
      <c r="AC761" s="87"/>
      <c r="AD761" s="87"/>
      <c r="AE761" s="87"/>
      <c r="AF761" s="87"/>
      <c r="AG761" s="87"/>
      <c r="AH761" s="87"/>
      <c r="AI761" s="87"/>
      <c r="AJ761" s="87"/>
      <c r="AK761" s="87"/>
      <c r="AL761" s="87"/>
    </row>
    <row r="762" spans="10:38" ht="15.75" customHeight="1">
      <c r="J762" s="87"/>
      <c r="O762" s="84"/>
      <c r="Q762" s="87"/>
      <c r="S762" s="87"/>
      <c r="T762" s="87"/>
      <c r="U762" s="87"/>
      <c r="V762" s="87"/>
      <c r="W762" s="87"/>
      <c r="X762" s="87"/>
      <c r="Y762" s="87"/>
      <c r="Z762" s="87"/>
      <c r="AA762" s="87"/>
      <c r="AB762" s="87"/>
      <c r="AC762" s="87"/>
      <c r="AD762" s="87"/>
      <c r="AE762" s="87"/>
      <c r="AF762" s="87"/>
      <c r="AG762" s="87"/>
      <c r="AH762" s="87"/>
      <c r="AI762" s="87"/>
      <c r="AJ762" s="87"/>
      <c r="AK762" s="87"/>
      <c r="AL762" s="87"/>
    </row>
    <row r="763" spans="10:38" ht="15.75" customHeight="1">
      <c r="J763" s="87"/>
      <c r="O763" s="84"/>
      <c r="Q763" s="87"/>
      <c r="S763" s="87"/>
      <c r="T763" s="87"/>
      <c r="U763" s="87"/>
      <c r="V763" s="87"/>
      <c r="W763" s="87"/>
      <c r="X763" s="87"/>
      <c r="Y763" s="87"/>
      <c r="Z763" s="87"/>
      <c r="AA763" s="87"/>
      <c r="AB763" s="87"/>
      <c r="AC763" s="87"/>
      <c r="AD763" s="87"/>
      <c r="AE763" s="87"/>
      <c r="AF763" s="87"/>
      <c r="AG763" s="87"/>
      <c r="AH763" s="87"/>
      <c r="AI763" s="87"/>
      <c r="AJ763" s="87"/>
      <c r="AK763" s="87"/>
      <c r="AL763" s="87"/>
    </row>
    <row r="764" spans="10:38" ht="15.75" customHeight="1">
      <c r="J764" s="87"/>
      <c r="O764" s="84"/>
      <c r="Q764" s="87"/>
      <c r="S764" s="87"/>
      <c r="T764" s="87"/>
      <c r="U764" s="87"/>
      <c r="V764" s="87"/>
      <c r="W764" s="87"/>
      <c r="X764" s="87"/>
      <c r="Y764" s="87"/>
      <c r="Z764" s="87"/>
      <c r="AA764" s="87"/>
      <c r="AB764" s="87"/>
      <c r="AC764" s="87"/>
      <c r="AD764" s="87"/>
      <c r="AE764" s="87"/>
      <c r="AF764" s="87"/>
      <c r="AG764" s="87"/>
      <c r="AH764" s="87"/>
      <c r="AI764" s="87"/>
      <c r="AJ764" s="87"/>
      <c r="AK764" s="87"/>
      <c r="AL764" s="87"/>
    </row>
    <row r="765" spans="10:38" ht="15.75" customHeight="1">
      <c r="J765" s="87"/>
      <c r="O765" s="84"/>
      <c r="Q765" s="87"/>
      <c r="S765" s="87"/>
      <c r="T765" s="87"/>
      <c r="U765" s="87"/>
      <c r="V765" s="87"/>
      <c r="W765" s="87"/>
      <c r="X765" s="87"/>
      <c r="Y765" s="87"/>
      <c r="Z765" s="87"/>
      <c r="AA765" s="87"/>
      <c r="AB765" s="87"/>
      <c r="AC765" s="87"/>
      <c r="AD765" s="87"/>
      <c r="AE765" s="87"/>
      <c r="AF765" s="87"/>
      <c r="AG765" s="87"/>
      <c r="AH765" s="87"/>
      <c r="AI765" s="87"/>
      <c r="AJ765" s="87"/>
      <c r="AK765" s="87"/>
      <c r="AL765" s="87"/>
    </row>
    <row r="766" spans="10:38" ht="15.75" customHeight="1">
      <c r="J766" s="87"/>
      <c r="O766" s="84"/>
      <c r="Q766" s="87"/>
      <c r="S766" s="87"/>
      <c r="T766" s="87"/>
      <c r="U766" s="87"/>
      <c r="V766" s="87"/>
      <c r="W766" s="87"/>
      <c r="X766" s="87"/>
      <c r="Y766" s="87"/>
      <c r="Z766" s="87"/>
      <c r="AA766" s="87"/>
      <c r="AB766" s="87"/>
      <c r="AC766" s="87"/>
      <c r="AD766" s="87"/>
      <c r="AE766" s="87"/>
      <c r="AF766" s="87"/>
      <c r="AG766" s="87"/>
      <c r="AH766" s="87"/>
      <c r="AI766" s="87"/>
      <c r="AJ766" s="87"/>
      <c r="AK766" s="87"/>
      <c r="AL766" s="87"/>
    </row>
    <row r="767" spans="10:38" ht="15.75" customHeight="1">
      <c r="J767" s="87"/>
      <c r="O767" s="84"/>
      <c r="Q767" s="87"/>
      <c r="S767" s="87"/>
      <c r="T767" s="87"/>
      <c r="U767" s="87"/>
      <c r="V767" s="87"/>
      <c r="W767" s="87"/>
      <c r="X767" s="87"/>
      <c r="Y767" s="87"/>
      <c r="Z767" s="87"/>
      <c r="AA767" s="87"/>
      <c r="AB767" s="87"/>
      <c r="AC767" s="87"/>
      <c r="AD767" s="87"/>
      <c r="AE767" s="87"/>
      <c r="AF767" s="87"/>
      <c r="AG767" s="87"/>
      <c r="AH767" s="87"/>
      <c r="AI767" s="87"/>
      <c r="AJ767" s="87"/>
      <c r="AK767" s="87"/>
      <c r="AL767" s="87"/>
    </row>
    <row r="768" spans="10:38" ht="15.75" customHeight="1">
      <c r="J768" s="87"/>
      <c r="O768" s="84"/>
      <c r="Q768" s="87"/>
      <c r="S768" s="87"/>
      <c r="T768" s="87"/>
      <c r="U768" s="87"/>
      <c r="V768" s="87"/>
      <c r="W768" s="87"/>
      <c r="X768" s="87"/>
      <c r="Y768" s="87"/>
      <c r="Z768" s="87"/>
      <c r="AA768" s="87"/>
      <c r="AB768" s="87"/>
      <c r="AC768" s="87"/>
      <c r="AD768" s="87"/>
      <c r="AE768" s="87"/>
      <c r="AF768" s="87"/>
      <c r="AG768" s="87"/>
      <c r="AH768" s="87"/>
      <c r="AI768" s="87"/>
      <c r="AJ768" s="87"/>
      <c r="AK768" s="87"/>
      <c r="AL768" s="87"/>
    </row>
    <row r="769" spans="10:38" ht="15.75" customHeight="1">
      <c r="J769" s="87"/>
      <c r="O769" s="84"/>
      <c r="Q769" s="87"/>
      <c r="S769" s="87"/>
      <c r="T769" s="87"/>
      <c r="U769" s="87"/>
      <c r="V769" s="87"/>
      <c r="W769" s="87"/>
      <c r="X769" s="87"/>
      <c r="Y769" s="87"/>
      <c r="Z769" s="87"/>
      <c r="AA769" s="87"/>
      <c r="AB769" s="87"/>
      <c r="AC769" s="87"/>
      <c r="AD769" s="87"/>
      <c r="AE769" s="87"/>
      <c r="AF769" s="87"/>
      <c r="AG769" s="87"/>
      <c r="AH769" s="87"/>
      <c r="AI769" s="87"/>
      <c r="AJ769" s="87"/>
      <c r="AK769" s="87"/>
      <c r="AL769" s="87"/>
    </row>
    <row r="770" spans="10:38" ht="15.75" customHeight="1">
      <c r="J770" s="87"/>
      <c r="O770" s="84"/>
      <c r="Q770" s="87"/>
      <c r="S770" s="87"/>
      <c r="T770" s="87"/>
      <c r="U770" s="87"/>
      <c r="V770" s="87"/>
      <c r="W770" s="87"/>
      <c r="X770" s="87"/>
      <c r="Y770" s="87"/>
      <c r="Z770" s="87"/>
      <c r="AA770" s="87"/>
      <c r="AB770" s="87"/>
      <c r="AC770" s="87"/>
      <c r="AD770" s="87"/>
      <c r="AE770" s="87"/>
      <c r="AF770" s="87"/>
      <c r="AG770" s="87"/>
      <c r="AH770" s="87"/>
      <c r="AI770" s="87"/>
      <c r="AJ770" s="87"/>
      <c r="AK770" s="87"/>
      <c r="AL770" s="87"/>
    </row>
    <row r="771" spans="10:38" ht="15.75" customHeight="1">
      <c r="J771" s="87"/>
      <c r="O771" s="84"/>
      <c r="Q771" s="87"/>
      <c r="S771" s="87"/>
      <c r="T771" s="87"/>
      <c r="U771" s="87"/>
      <c r="V771" s="87"/>
      <c r="W771" s="87"/>
      <c r="X771" s="87"/>
      <c r="Y771" s="87"/>
      <c r="Z771" s="87"/>
      <c r="AA771" s="87"/>
      <c r="AB771" s="87"/>
      <c r="AC771" s="87"/>
      <c r="AD771" s="87"/>
      <c r="AE771" s="87"/>
      <c r="AF771" s="87"/>
      <c r="AG771" s="87"/>
      <c r="AH771" s="87"/>
      <c r="AI771" s="87"/>
      <c r="AJ771" s="87"/>
      <c r="AK771" s="87"/>
      <c r="AL771" s="87"/>
    </row>
    <row r="772" spans="10:38" ht="15.75" customHeight="1">
      <c r="J772" s="87"/>
      <c r="O772" s="84"/>
      <c r="Q772" s="87"/>
      <c r="S772" s="87"/>
      <c r="T772" s="87"/>
      <c r="U772" s="87"/>
      <c r="V772" s="87"/>
      <c r="W772" s="87"/>
      <c r="X772" s="87"/>
      <c r="Y772" s="87"/>
      <c r="Z772" s="87"/>
      <c r="AA772" s="87"/>
      <c r="AB772" s="87"/>
      <c r="AC772" s="87"/>
      <c r="AD772" s="87"/>
      <c r="AE772" s="87"/>
      <c r="AF772" s="87"/>
      <c r="AG772" s="87"/>
      <c r="AH772" s="87"/>
      <c r="AI772" s="87"/>
      <c r="AJ772" s="87"/>
      <c r="AK772" s="87"/>
      <c r="AL772" s="87"/>
    </row>
    <row r="773" spans="10:38" ht="15.75" customHeight="1">
      <c r="J773" s="87"/>
      <c r="O773" s="84"/>
      <c r="Q773" s="87"/>
      <c r="S773" s="87"/>
      <c r="T773" s="87"/>
      <c r="U773" s="87"/>
      <c r="V773" s="87"/>
      <c r="W773" s="87"/>
      <c r="X773" s="87"/>
      <c r="Y773" s="87"/>
      <c r="Z773" s="87"/>
      <c r="AA773" s="87"/>
      <c r="AB773" s="87"/>
      <c r="AC773" s="87"/>
      <c r="AD773" s="87"/>
      <c r="AE773" s="87"/>
      <c r="AF773" s="87"/>
      <c r="AG773" s="87"/>
      <c r="AH773" s="87"/>
      <c r="AI773" s="87"/>
      <c r="AJ773" s="87"/>
      <c r="AK773" s="87"/>
      <c r="AL773" s="87"/>
    </row>
    <row r="774" spans="10:38" ht="15.75" customHeight="1">
      <c r="J774" s="87"/>
      <c r="O774" s="84"/>
      <c r="Q774" s="87"/>
      <c r="S774" s="87"/>
      <c r="T774" s="87"/>
      <c r="U774" s="87"/>
      <c r="V774" s="87"/>
      <c r="W774" s="87"/>
      <c r="X774" s="87"/>
      <c r="Y774" s="87"/>
      <c r="Z774" s="87"/>
      <c r="AA774" s="87"/>
      <c r="AB774" s="87"/>
      <c r="AC774" s="87"/>
      <c r="AD774" s="87"/>
      <c r="AE774" s="87"/>
      <c r="AF774" s="87"/>
      <c r="AG774" s="87"/>
      <c r="AH774" s="87"/>
      <c r="AI774" s="87"/>
      <c r="AJ774" s="87"/>
      <c r="AK774" s="87"/>
      <c r="AL774" s="87"/>
    </row>
    <row r="775" spans="10:38" ht="15.75" customHeight="1">
      <c r="J775" s="87"/>
      <c r="O775" s="84"/>
      <c r="Q775" s="87"/>
      <c r="S775" s="87"/>
      <c r="T775" s="87"/>
      <c r="U775" s="87"/>
      <c r="V775" s="87"/>
      <c r="W775" s="87"/>
      <c r="X775" s="87"/>
      <c r="Y775" s="87"/>
      <c r="Z775" s="87"/>
      <c r="AA775" s="87"/>
      <c r="AB775" s="87"/>
      <c r="AC775" s="87"/>
      <c r="AD775" s="87"/>
      <c r="AE775" s="87"/>
      <c r="AF775" s="87"/>
      <c r="AG775" s="87"/>
      <c r="AH775" s="87"/>
      <c r="AI775" s="87"/>
      <c r="AJ775" s="87"/>
      <c r="AK775" s="87"/>
      <c r="AL775" s="87"/>
    </row>
    <row r="776" spans="10:38" ht="15.75" customHeight="1">
      <c r="J776" s="87"/>
      <c r="O776" s="84"/>
      <c r="Q776" s="87"/>
      <c r="S776" s="87"/>
      <c r="T776" s="87"/>
      <c r="U776" s="87"/>
      <c r="V776" s="87"/>
      <c r="W776" s="87"/>
      <c r="X776" s="87"/>
      <c r="Y776" s="87"/>
      <c r="Z776" s="87"/>
      <c r="AA776" s="87"/>
      <c r="AB776" s="87"/>
      <c r="AC776" s="87"/>
      <c r="AD776" s="87"/>
      <c r="AE776" s="87"/>
      <c r="AF776" s="87"/>
      <c r="AG776" s="87"/>
      <c r="AH776" s="87"/>
      <c r="AI776" s="87"/>
      <c r="AJ776" s="87"/>
      <c r="AK776" s="87"/>
      <c r="AL776" s="87"/>
    </row>
    <row r="777" spans="10:38" ht="15.75" customHeight="1">
      <c r="J777" s="87"/>
      <c r="O777" s="84"/>
      <c r="Q777" s="87"/>
      <c r="S777" s="87"/>
      <c r="T777" s="87"/>
      <c r="U777" s="87"/>
      <c r="V777" s="87"/>
      <c r="W777" s="87"/>
      <c r="X777" s="87"/>
      <c r="Y777" s="87"/>
      <c r="Z777" s="87"/>
      <c r="AA777" s="87"/>
      <c r="AB777" s="87"/>
      <c r="AC777" s="87"/>
      <c r="AD777" s="87"/>
      <c r="AE777" s="87"/>
      <c r="AF777" s="87"/>
      <c r="AG777" s="87"/>
      <c r="AH777" s="87"/>
      <c r="AI777" s="87"/>
      <c r="AJ777" s="87"/>
      <c r="AK777" s="87"/>
      <c r="AL777" s="87"/>
    </row>
    <row r="778" spans="10:38" ht="15.75" customHeight="1">
      <c r="J778" s="87"/>
      <c r="O778" s="84"/>
      <c r="Q778" s="87"/>
      <c r="S778" s="87"/>
      <c r="T778" s="87"/>
      <c r="U778" s="87"/>
      <c r="V778" s="87"/>
      <c r="W778" s="87"/>
      <c r="X778" s="87"/>
      <c r="Y778" s="87"/>
      <c r="Z778" s="87"/>
      <c r="AA778" s="87"/>
      <c r="AB778" s="87"/>
      <c r="AC778" s="87"/>
      <c r="AD778" s="87"/>
      <c r="AE778" s="87"/>
      <c r="AF778" s="87"/>
      <c r="AG778" s="87"/>
      <c r="AH778" s="87"/>
      <c r="AI778" s="87"/>
      <c r="AJ778" s="87"/>
      <c r="AK778" s="87"/>
      <c r="AL778" s="87"/>
    </row>
    <row r="779" spans="10:38" ht="15.75" customHeight="1">
      <c r="J779" s="87"/>
      <c r="O779" s="84"/>
      <c r="Q779" s="87"/>
      <c r="S779" s="87"/>
      <c r="T779" s="87"/>
      <c r="U779" s="87"/>
      <c r="V779" s="87"/>
      <c r="W779" s="87"/>
      <c r="X779" s="87"/>
      <c r="Y779" s="87"/>
      <c r="Z779" s="87"/>
      <c r="AA779" s="87"/>
      <c r="AB779" s="87"/>
      <c r="AC779" s="87"/>
      <c r="AD779" s="87"/>
      <c r="AE779" s="87"/>
      <c r="AF779" s="87"/>
      <c r="AG779" s="87"/>
      <c r="AH779" s="87"/>
      <c r="AI779" s="87"/>
      <c r="AJ779" s="87"/>
      <c r="AK779" s="87"/>
      <c r="AL779" s="87"/>
    </row>
    <row r="780" spans="10:38" ht="15.75" customHeight="1">
      <c r="J780" s="87"/>
      <c r="O780" s="84"/>
      <c r="Q780" s="87"/>
      <c r="S780" s="87"/>
      <c r="T780" s="87"/>
      <c r="U780" s="87"/>
      <c r="V780" s="87"/>
      <c r="W780" s="87"/>
      <c r="X780" s="87"/>
      <c r="Y780" s="87"/>
      <c r="Z780" s="87"/>
      <c r="AA780" s="87"/>
      <c r="AB780" s="87"/>
      <c r="AC780" s="87"/>
      <c r="AD780" s="87"/>
      <c r="AE780" s="87"/>
      <c r="AF780" s="87"/>
      <c r="AG780" s="87"/>
      <c r="AH780" s="87"/>
      <c r="AI780" s="87"/>
      <c r="AJ780" s="87"/>
      <c r="AK780" s="87"/>
      <c r="AL780" s="87"/>
    </row>
    <row r="781" spans="10:38" ht="15.75" customHeight="1">
      <c r="J781" s="87"/>
      <c r="O781" s="84"/>
      <c r="Q781" s="87"/>
      <c r="S781" s="87"/>
      <c r="T781" s="87"/>
      <c r="U781" s="87"/>
      <c r="V781" s="87"/>
      <c r="W781" s="87"/>
      <c r="X781" s="87"/>
      <c r="Y781" s="87"/>
      <c r="Z781" s="87"/>
      <c r="AA781" s="87"/>
      <c r="AB781" s="87"/>
      <c r="AC781" s="87"/>
      <c r="AD781" s="87"/>
      <c r="AE781" s="87"/>
      <c r="AF781" s="87"/>
      <c r="AG781" s="87"/>
      <c r="AH781" s="87"/>
      <c r="AI781" s="87"/>
      <c r="AJ781" s="87"/>
      <c r="AK781" s="87"/>
      <c r="AL781" s="87"/>
    </row>
    <row r="782" spans="10:38" ht="15.75" customHeight="1">
      <c r="J782" s="87"/>
      <c r="O782" s="84"/>
      <c r="Q782" s="87"/>
      <c r="S782" s="87"/>
      <c r="T782" s="87"/>
      <c r="U782" s="87"/>
      <c r="V782" s="87"/>
      <c r="W782" s="87"/>
      <c r="X782" s="87"/>
      <c r="Y782" s="87"/>
      <c r="Z782" s="87"/>
      <c r="AA782" s="87"/>
      <c r="AB782" s="87"/>
      <c r="AC782" s="87"/>
      <c r="AD782" s="87"/>
      <c r="AE782" s="87"/>
      <c r="AF782" s="87"/>
      <c r="AG782" s="87"/>
      <c r="AH782" s="87"/>
      <c r="AI782" s="87"/>
      <c r="AJ782" s="87"/>
      <c r="AK782" s="87"/>
      <c r="AL782" s="87"/>
    </row>
    <row r="783" spans="10:38" ht="15.75" customHeight="1">
      <c r="J783" s="87"/>
      <c r="O783" s="84"/>
      <c r="Q783" s="87"/>
      <c r="S783" s="87"/>
      <c r="T783" s="87"/>
      <c r="U783" s="87"/>
      <c r="V783" s="87"/>
      <c r="W783" s="87"/>
      <c r="X783" s="87"/>
      <c r="Y783" s="87"/>
      <c r="Z783" s="87"/>
      <c r="AA783" s="87"/>
      <c r="AB783" s="87"/>
      <c r="AC783" s="87"/>
      <c r="AD783" s="87"/>
      <c r="AE783" s="87"/>
      <c r="AF783" s="87"/>
      <c r="AG783" s="87"/>
      <c r="AH783" s="87"/>
      <c r="AI783" s="87"/>
      <c r="AJ783" s="87"/>
      <c r="AK783" s="87"/>
      <c r="AL783" s="87"/>
    </row>
    <row r="784" spans="10:38" ht="15.75" customHeight="1">
      <c r="J784" s="87"/>
      <c r="O784" s="84"/>
      <c r="Q784" s="87"/>
      <c r="S784" s="87"/>
      <c r="T784" s="87"/>
      <c r="U784" s="87"/>
      <c r="V784" s="87"/>
      <c r="W784" s="87"/>
      <c r="X784" s="87"/>
      <c r="Y784" s="87"/>
      <c r="Z784" s="87"/>
      <c r="AA784" s="87"/>
      <c r="AB784" s="87"/>
      <c r="AC784" s="87"/>
      <c r="AD784" s="87"/>
      <c r="AE784" s="87"/>
      <c r="AF784" s="87"/>
      <c r="AG784" s="87"/>
      <c r="AH784" s="87"/>
      <c r="AI784" s="87"/>
      <c r="AJ784" s="87"/>
      <c r="AK784" s="87"/>
      <c r="AL784" s="87"/>
    </row>
    <row r="785" spans="10:38" ht="15.75" customHeight="1">
      <c r="J785" s="87"/>
      <c r="O785" s="84"/>
      <c r="Q785" s="87"/>
      <c r="S785" s="87"/>
      <c r="T785" s="87"/>
      <c r="U785" s="87"/>
      <c r="V785" s="87"/>
      <c r="W785" s="87"/>
      <c r="X785" s="87"/>
      <c r="Y785" s="87"/>
      <c r="Z785" s="87"/>
      <c r="AA785" s="87"/>
      <c r="AB785" s="87"/>
      <c r="AC785" s="87"/>
      <c r="AD785" s="87"/>
      <c r="AE785" s="87"/>
      <c r="AF785" s="87"/>
      <c r="AG785" s="87"/>
      <c r="AH785" s="87"/>
      <c r="AI785" s="87"/>
      <c r="AJ785" s="87"/>
      <c r="AK785" s="87"/>
      <c r="AL785" s="87"/>
    </row>
    <row r="786" spans="10:38" ht="15.75" customHeight="1">
      <c r="J786" s="87"/>
      <c r="O786" s="84"/>
      <c r="Q786" s="87"/>
      <c r="S786" s="87"/>
      <c r="T786" s="87"/>
      <c r="U786" s="87"/>
      <c r="V786" s="87"/>
      <c r="W786" s="87"/>
      <c r="X786" s="87"/>
      <c r="Y786" s="87"/>
      <c r="Z786" s="87"/>
      <c r="AA786" s="87"/>
      <c r="AB786" s="87"/>
      <c r="AC786" s="87"/>
      <c r="AD786" s="87"/>
      <c r="AE786" s="87"/>
      <c r="AF786" s="87"/>
      <c r="AG786" s="87"/>
      <c r="AH786" s="87"/>
      <c r="AI786" s="87"/>
      <c r="AJ786" s="87"/>
      <c r="AK786" s="87"/>
      <c r="AL786" s="87"/>
    </row>
    <row r="787" spans="10:38" ht="15.75" customHeight="1">
      <c r="J787" s="87"/>
      <c r="O787" s="84"/>
      <c r="Q787" s="87"/>
      <c r="S787" s="87"/>
      <c r="T787" s="87"/>
      <c r="U787" s="87"/>
      <c r="V787" s="87"/>
      <c r="W787" s="87"/>
      <c r="X787" s="87"/>
      <c r="Y787" s="87"/>
      <c r="Z787" s="87"/>
      <c r="AA787" s="87"/>
      <c r="AB787" s="87"/>
      <c r="AC787" s="87"/>
      <c r="AD787" s="87"/>
      <c r="AE787" s="87"/>
      <c r="AF787" s="87"/>
      <c r="AG787" s="87"/>
      <c r="AH787" s="87"/>
      <c r="AI787" s="87"/>
      <c r="AJ787" s="87"/>
      <c r="AK787" s="87"/>
      <c r="AL787" s="87"/>
    </row>
    <row r="788" spans="10:38" ht="15.75" customHeight="1">
      <c r="J788" s="87"/>
      <c r="O788" s="84"/>
      <c r="Q788" s="87"/>
      <c r="S788" s="87"/>
      <c r="T788" s="87"/>
      <c r="U788" s="87"/>
      <c r="V788" s="87"/>
      <c r="W788" s="87"/>
      <c r="X788" s="87"/>
      <c r="Y788" s="87"/>
      <c r="Z788" s="87"/>
      <c r="AA788" s="87"/>
      <c r="AB788" s="87"/>
      <c r="AC788" s="87"/>
      <c r="AD788" s="87"/>
      <c r="AE788" s="87"/>
      <c r="AF788" s="87"/>
      <c r="AG788" s="87"/>
      <c r="AH788" s="87"/>
      <c r="AI788" s="87"/>
      <c r="AJ788" s="87"/>
      <c r="AK788" s="87"/>
      <c r="AL788" s="87"/>
    </row>
    <row r="789" spans="10:38" ht="15.75" customHeight="1">
      <c r="J789" s="87"/>
      <c r="O789" s="84"/>
      <c r="Q789" s="87"/>
      <c r="S789" s="87"/>
      <c r="T789" s="87"/>
      <c r="U789" s="87"/>
      <c r="V789" s="87"/>
      <c r="W789" s="87"/>
      <c r="X789" s="87"/>
      <c r="Y789" s="87"/>
      <c r="Z789" s="87"/>
      <c r="AA789" s="87"/>
      <c r="AB789" s="87"/>
      <c r="AC789" s="87"/>
      <c r="AD789" s="87"/>
      <c r="AE789" s="87"/>
      <c r="AF789" s="87"/>
      <c r="AG789" s="87"/>
      <c r="AH789" s="87"/>
      <c r="AI789" s="87"/>
      <c r="AJ789" s="87"/>
      <c r="AK789" s="87"/>
      <c r="AL789" s="87"/>
    </row>
    <row r="790" spans="10:38" ht="15.75" customHeight="1">
      <c r="J790" s="87"/>
      <c r="O790" s="84"/>
      <c r="Q790" s="87"/>
      <c r="S790" s="87"/>
      <c r="T790" s="87"/>
      <c r="U790" s="87"/>
      <c r="V790" s="87"/>
      <c r="W790" s="87"/>
      <c r="X790" s="87"/>
      <c r="Y790" s="87"/>
      <c r="Z790" s="87"/>
      <c r="AA790" s="87"/>
      <c r="AB790" s="87"/>
      <c r="AC790" s="87"/>
      <c r="AD790" s="87"/>
      <c r="AE790" s="87"/>
      <c r="AF790" s="87"/>
      <c r="AG790" s="87"/>
      <c r="AH790" s="87"/>
      <c r="AI790" s="87"/>
      <c r="AJ790" s="87"/>
      <c r="AK790" s="87"/>
      <c r="AL790" s="87"/>
    </row>
    <row r="791" spans="10:38" ht="15.75" customHeight="1">
      <c r="J791" s="87"/>
      <c r="O791" s="84"/>
      <c r="Q791" s="87"/>
      <c r="S791" s="87"/>
      <c r="T791" s="87"/>
      <c r="U791" s="87"/>
      <c r="V791" s="87"/>
      <c r="W791" s="87"/>
      <c r="X791" s="87"/>
      <c r="Y791" s="87"/>
      <c r="Z791" s="87"/>
      <c r="AA791" s="87"/>
      <c r="AB791" s="87"/>
      <c r="AC791" s="87"/>
      <c r="AD791" s="87"/>
      <c r="AE791" s="87"/>
      <c r="AF791" s="87"/>
      <c r="AG791" s="87"/>
      <c r="AH791" s="87"/>
      <c r="AI791" s="87"/>
      <c r="AJ791" s="87"/>
      <c r="AK791" s="87"/>
      <c r="AL791" s="87"/>
    </row>
    <row r="792" spans="10:38" ht="15.75" customHeight="1">
      <c r="J792" s="87"/>
      <c r="O792" s="84"/>
      <c r="Q792" s="87"/>
      <c r="S792" s="87"/>
      <c r="T792" s="87"/>
      <c r="U792" s="87"/>
      <c r="V792" s="87"/>
      <c r="W792" s="87"/>
      <c r="X792" s="87"/>
      <c r="Y792" s="87"/>
      <c r="Z792" s="87"/>
      <c r="AA792" s="87"/>
      <c r="AB792" s="87"/>
      <c r="AC792" s="87"/>
      <c r="AD792" s="87"/>
      <c r="AE792" s="87"/>
      <c r="AF792" s="87"/>
      <c r="AG792" s="87"/>
      <c r="AH792" s="87"/>
      <c r="AI792" s="87"/>
      <c r="AJ792" s="87"/>
      <c r="AK792" s="87"/>
      <c r="AL792" s="87"/>
    </row>
    <row r="793" spans="10:38" ht="15.75" customHeight="1">
      <c r="J793" s="87"/>
      <c r="O793" s="84"/>
      <c r="Q793" s="87"/>
      <c r="S793" s="87"/>
      <c r="T793" s="87"/>
      <c r="U793" s="87"/>
      <c r="V793" s="87"/>
      <c r="W793" s="87"/>
      <c r="X793" s="87"/>
      <c r="Y793" s="87"/>
      <c r="Z793" s="87"/>
      <c r="AA793" s="87"/>
      <c r="AB793" s="87"/>
      <c r="AC793" s="87"/>
      <c r="AD793" s="87"/>
      <c r="AE793" s="87"/>
      <c r="AF793" s="87"/>
      <c r="AG793" s="87"/>
      <c r="AH793" s="87"/>
      <c r="AI793" s="87"/>
      <c r="AJ793" s="87"/>
      <c r="AK793" s="87"/>
      <c r="AL793" s="87"/>
    </row>
    <row r="794" spans="10:38" ht="15.75" customHeight="1">
      <c r="J794" s="87"/>
      <c r="O794" s="84"/>
      <c r="Q794" s="87"/>
      <c r="S794" s="87"/>
      <c r="T794" s="87"/>
      <c r="U794" s="87"/>
      <c r="V794" s="87"/>
      <c r="W794" s="87"/>
      <c r="X794" s="87"/>
      <c r="Y794" s="87"/>
      <c r="Z794" s="87"/>
      <c r="AA794" s="87"/>
      <c r="AB794" s="87"/>
      <c r="AC794" s="87"/>
      <c r="AD794" s="87"/>
      <c r="AE794" s="87"/>
      <c r="AF794" s="87"/>
      <c r="AG794" s="87"/>
      <c r="AH794" s="87"/>
      <c r="AI794" s="87"/>
      <c r="AJ794" s="87"/>
      <c r="AK794" s="87"/>
      <c r="AL794" s="87"/>
    </row>
    <row r="795" spans="10:38" ht="15.75" customHeight="1">
      <c r="J795" s="87"/>
      <c r="O795" s="84"/>
      <c r="Q795" s="87"/>
      <c r="S795" s="87"/>
      <c r="T795" s="87"/>
      <c r="U795" s="87"/>
      <c r="V795" s="87"/>
      <c r="W795" s="87"/>
      <c r="X795" s="87"/>
      <c r="Y795" s="87"/>
      <c r="Z795" s="87"/>
      <c r="AA795" s="87"/>
      <c r="AB795" s="87"/>
      <c r="AC795" s="87"/>
      <c r="AD795" s="87"/>
      <c r="AE795" s="87"/>
      <c r="AF795" s="87"/>
      <c r="AG795" s="87"/>
      <c r="AH795" s="87"/>
      <c r="AI795" s="87"/>
      <c r="AJ795" s="87"/>
      <c r="AK795" s="87"/>
      <c r="AL795" s="87"/>
    </row>
    <row r="796" spans="10:38" ht="15.75" customHeight="1">
      <c r="J796" s="87"/>
      <c r="O796" s="84"/>
      <c r="Q796" s="87"/>
      <c r="S796" s="87"/>
      <c r="T796" s="87"/>
      <c r="U796" s="87"/>
      <c r="V796" s="87"/>
      <c r="W796" s="87"/>
      <c r="X796" s="87"/>
      <c r="Y796" s="87"/>
      <c r="Z796" s="87"/>
      <c r="AA796" s="87"/>
      <c r="AB796" s="87"/>
      <c r="AC796" s="87"/>
      <c r="AD796" s="87"/>
      <c r="AE796" s="87"/>
      <c r="AF796" s="87"/>
      <c r="AG796" s="87"/>
      <c r="AH796" s="87"/>
      <c r="AI796" s="87"/>
      <c r="AJ796" s="87"/>
      <c r="AK796" s="87"/>
      <c r="AL796" s="87"/>
    </row>
    <row r="797" spans="10:38" ht="15.75" customHeight="1">
      <c r="J797" s="87"/>
      <c r="O797" s="84"/>
      <c r="Q797" s="87"/>
      <c r="S797" s="87"/>
      <c r="T797" s="87"/>
      <c r="U797" s="87"/>
      <c r="V797" s="87"/>
      <c r="W797" s="87"/>
      <c r="X797" s="87"/>
      <c r="Y797" s="87"/>
      <c r="Z797" s="87"/>
      <c r="AA797" s="87"/>
      <c r="AB797" s="87"/>
      <c r="AC797" s="87"/>
      <c r="AD797" s="87"/>
      <c r="AE797" s="87"/>
      <c r="AF797" s="87"/>
      <c r="AG797" s="87"/>
      <c r="AH797" s="87"/>
      <c r="AI797" s="87"/>
      <c r="AJ797" s="87"/>
      <c r="AK797" s="87"/>
      <c r="AL797" s="87"/>
    </row>
    <row r="798" spans="10:38" ht="15.75" customHeight="1">
      <c r="J798" s="87"/>
      <c r="O798" s="84"/>
      <c r="Q798" s="87"/>
      <c r="S798" s="87"/>
      <c r="T798" s="87"/>
      <c r="U798" s="87"/>
      <c r="V798" s="87"/>
      <c r="W798" s="87"/>
      <c r="X798" s="87"/>
      <c r="Y798" s="87"/>
      <c r="Z798" s="87"/>
      <c r="AA798" s="87"/>
      <c r="AB798" s="87"/>
      <c r="AC798" s="87"/>
      <c r="AD798" s="87"/>
      <c r="AE798" s="87"/>
      <c r="AF798" s="87"/>
      <c r="AG798" s="87"/>
      <c r="AH798" s="87"/>
      <c r="AI798" s="87"/>
      <c r="AJ798" s="87"/>
      <c r="AK798" s="87"/>
      <c r="AL798" s="87"/>
    </row>
    <row r="799" spans="10:38" ht="15.75" customHeight="1">
      <c r="J799" s="87"/>
      <c r="O799" s="84"/>
      <c r="Q799" s="87"/>
      <c r="S799" s="87"/>
      <c r="T799" s="87"/>
      <c r="U799" s="87"/>
      <c r="V799" s="87"/>
      <c r="W799" s="87"/>
      <c r="X799" s="87"/>
      <c r="Y799" s="87"/>
      <c r="Z799" s="87"/>
      <c r="AA799" s="87"/>
      <c r="AB799" s="87"/>
      <c r="AC799" s="87"/>
      <c r="AD799" s="87"/>
      <c r="AE799" s="87"/>
      <c r="AF799" s="87"/>
      <c r="AG799" s="87"/>
      <c r="AH799" s="87"/>
      <c r="AI799" s="87"/>
      <c r="AJ799" s="87"/>
      <c r="AK799" s="87"/>
      <c r="AL799" s="87"/>
    </row>
    <row r="800" spans="10:38" ht="15.75" customHeight="1">
      <c r="J800" s="87"/>
      <c r="O800" s="84"/>
      <c r="Q800" s="87"/>
      <c r="S800" s="87"/>
      <c r="T800" s="87"/>
      <c r="U800" s="87"/>
      <c r="V800" s="87"/>
      <c r="W800" s="87"/>
      <c r="X800" s="87"/>
      <c r="Y800" s="87"/>
      <c r="Z800" s="87"/>
      <c r="AA800" s="87"/>
      <c r="AB800" s="87"/>
      <c r="AC800" s="87"/>
      <c r="AD800" s="87"/>
      <c r="AE800" s="87"/>
      <c r="AF800" s="87"/>
      <c r="AG800" s="87"/>
      <c r="AH800" s="87"/>
      <c r="AI800" s="87"/>
      <c r="AJ800" s="87"/>
      <c r="AK800" s="87"/>
      <c r="AL800" s="87"/>
    </row>
    <row r="801" spans="10:38" ht="15.75" customHeight="1">
      <c r="J801" s="87"/>
      <c r="O801" s="84"/>
      <c r="Q801" s="87"/>
      <c r="S801" s="87"/>
      <c r="T801" s="87"/>
      <c r="U801" s="87"/>
      <c r="V801" s="87"/>
      <c r="W801" s="87"/>
      <c r="X801" s="87"/>
      <c r="Y801" s="87"/>
      <c r="Z801" s="87"/>
      <c r="AA801" s="87"/>
      <c r="AB801" s="87"/>
      <c r="AC801" s="87"/>
      <c r="AD801" s="87"/>
      <c r="AE801" s="87"/>
      <c r="AF801" s="87"/>
      <c r="AG801" s="87"/>
      <c r="AH801" s="87"/>
      <c r="AI801" s="87"/>
      <c r="AJ801" s="87"/>
      <c r="AK801" s="87"/>
      <c r="AL801" s="87"/>
    </row>
    <row r="802" spans="10:38" ht="15.75" customHeight="1">
      <c r="J802" s="87"/>
      <c r="O802" s="84"/>
      <c r="Q802" s="87"/>
      <c r="S802" s="87"/>
      <c r="T802" s="87"/>
      <c r="U802" s="87"/>
      <c r="V802" s="87"/>
      <c r="W802" s="87"/>
      <c r="X802" s="87"/>
      <c r="Y802" s="87"/>
      <c r="Z802" s="87"/>
      <c r="AA802" s="87"/>
      <c r="AB802" s="87"/>
      <c r="AC802" s="87"/>
      <c r="AD802" s="87"/>
      <c r="AE802" s="87"/>
      <c r="AF802" s="87"/>
      <c r="AG802" s="87"/>
      <c r="AH802" s="87"/>
      <c r="AI802" s="87"/>
      <c r="AJ802" s="87"/>
      <c r="AK802" s="87"/>
      <c r="AL802" s="87"/>
    </row>
    <row r="803" spans="10:38" ht="15.75" customHeight="1">
      <c r="J803" s="87"/>
      <c r="O803" s="84"/>
      <c r="Q803" s="87"/>
      <c r="S803" s="87"/>
      <c r="T803" s="87"/>
      <c r="U803" s="87"/>
      <c r="V803" s="87"/>
      <c r="W803" s="87"/>
      <c r="X803" s="87"/>
      <c r="Y803" s="87"/>
      <c r="Z803" s="87"/>
      <c r="AA803" s="87"/>
      <c r="AB803" s="87"/>
      <c r="AC803" s="87"/>
      <c r="AD803" s="87"/>
      <c r="AE803" s="87"/>
      <c r="AF803" s="87"/>
      <c r="AG803" s="87"/>
      <c r="AH803" s="87"/>
      <c r="AI803" s="87"/>
      <c r="AJ803" s="87"/>
      <c r="AK803" s="87"/>
      <c r="AL803" s="87"/>
    </row>
    <row r="804" spans="10:38" ht="15.75" customHeight="1">
      <c r="J804" s="87"/>
      <c r="O804" s="84"/>
      <c r="Q804" s="87"/>
      <c r="S804" s="87"/>
      <c r="T804" s="87"/>
      <c r="U804" s="87"/>
      <c r="V804" s="87"/>
      <c r="W804" s="87"/>
      <c r="X804" s="87"/>
      <c r="Y804" s="87"/>
      <c r="Z804" s="87"/>
      <c r="AA804" s="87"/>
      <c r="AB804" s="87"/>
      <c r="AC804" s="87"/>
      <c r="AD804" s="87"/>
      <c r="AE804" s="87"/>
      <c r="AF804" s="87"/>
      <c r="AG804" s="87"/>
      <c r="AH804" s="87"/>
      <c r="AI804" s="87"/>
      <c r="AJ804" s="87"/>
      <c r="AK804" s="87"/>
      <c r="AL804" s="87"/>
    </row>
    <row r="805" spans="10:38" ht="15.75" customHeight="1">
      <c r="J805" s="87"/>
      <c r="O805" s="84"/>
      <c r="Q805" s="87"/>
      <c r="S805" s="87"/>
      <c r="T805" s="87"/>
      <c r="U805" s="87"/>
      <c r="V805" s="87"/>
      <c r="W805" s="87"/>
      <c r="X805" s="87"/>
      <c r="Y805" s="87"/>
      <c r="Z805" s="87"/>
      <c r="AA805" s="87"/>
      <c r="AB805" s="87"/>
      <c r="AC805" s="87"/>
      <c r="AD805" s="87"/>
      <c r="AE805" s="87"/>
      <c r="AF805" s="87"/>
      <c r="AG805" s="87"/>
      <c r="AH805" s="87"/>
      <c r="AI805" s="87"/>
      <c r="AJ805" s="87"/>
      <c r="AK805" s="87"/>
      <c r="AL805" s="87"/>
    </row>
    <row r="806" spans="10:38" ht="15.75" customHeight="1">
      <c r="J806" s="87"/>
      <c r="O806" s="84"/>
      <c r="Q806" s="87"/>
      <c r="S806" s="87"/>
      <c r="T806" s="87"/>
      <c r="U806" s="87"/>
      <c r="V806" s="87"/>
      <c r="W806" s="87"/>
      <c r="X806" s="87"/>
      <c r="Y806" s="87"/>
      <c r="Z806" s="87"/>
      <c r="AA806" s="87"/>
      <c r="AB806" s="87"/>
      <c r="AC806" s="87"/>
      <c r="AD806" s="87"/>
      <c r="AE806" s="87"/>
      <c r="AF806" s="87"/>
      <c r="AG806" s="87"/>
      <c r="AH806" s="87"/>
      <c r="AI806" s="87"/>
      <c r="AJ806" s="87"/>
      <c r="AK806" s="87"/>
      <c r="AL806" s="87"/>
    </row>
    <row r="807" spans="10:38" ht="15.75" customHeight="1">
      <c r="J807" s="87"/>
      <c r="O807" s="84"/>
      <c r="Q807" s="87"/>
      <c r="S807" s="87"/>
      <c r="T807" s="87"/>
      <c r="U807" s="87"/>
      <c r="V807" s="87"/>
      <c r="W807" s="87"/>
      <c r="X807" s="87"/>
      <c r="Y807" s="87"/>
      <c r="Z807" s="87"/>
      <c r="AA807" s="87"/>
      <c r="AB807" s="87"/>
      <c r="AC807" s="87"/>
      <c r="AD807" s="87"/>
      <c r="AE807" s="87"/>
      <c r="AF807" s="87"/>
      <c r="AG807" s="87"/>
      <c r="AH807" s="87"/>
      <c r="AI807" s="87"/>
      <c r="AJ807" s="87"/>
      <c r="AK807" s="87"/>
      <c r="AL807" s="87"/>
    </row>
    <row r="808" spans="10:38" ht="15.75" customHeight="1">
      <c r="J808" s="87"/>
      <c r="O808" s="84"/>
      <c r="Q808" s="87"/>
      <c r="S808" s="87"/>
      <c r="T808" s="87"/>
      <c r="U808" s="87"/>
      <c r="V808" s="87"/>
      <c r="W808" s="87"/>
      <c r="X808" s="87"/>
      <c r="Y808" s="87"/>
      <c r="Z808" s="87"/>
      <c r="AA808" s="87"/>
      <c r="AB808" s="87"/>
      <c r="AC808" s="87"/>
      <c r="AD808" s="87"/>
      <c r="AE808" s="87"/>
      <c r="AF808" s="87"/>
      <c r="AG808" s="87"/>
      <c r="AH808" s="87"/>
      <c r="AI808" s="87"/>
      <c r="AJ808" s="87"/>
      <c r="AK808" s="87"/>
      <c r="AL808" s="87"/>
    </row>
    <row r="809" spans="10:38" ht="15.75" customHeight="1">
      <c r="J809" s="87"/>
      <c r="O809" s="84"/>
      <c r="Q809" s="87"/>
      <c r="S809" s="87"/>
      <c r="T809" s="87"/>
      <c r="U809" s="87"/>
      <c r="V809" s="87"/>
      <c r="W809" s="87"/>
      <c r="X809" s="87"/>
      <c r="Y809" s="87"/>
      <c r="Z809" s="87"/>
      <c r="AA809" s="87"/>
      <c r="AB809" s="87"/>
      <c r="AC809" s="87"/>
      <c r="AD809" s="87"/>
      <c r="AE809" s="87"/>
      <c r="AF809" s="87"/>
      <c r="AG809" s="87"/>
      <c r="AH809" s="87"/>
      <c r="AI809" s="87"/>
      <c r="AJ809" s="87"/>
      <c r="AK809" s="87"/>
      <c r="AL809" s="87"/>
    </row>
    <row r="810" spans="10:38" ht="15.75" customHeight="1">
      <c r="J810" s="87"/>
      <c r="O810" s="84"/>
      <c r="Q810" s="87"/>
      <c r="S810" s="87"/>
      <c r="T810" s="87"/>
      <c r="U810" s="87"/>
      <c r="V810" s="87"/>
      <c r="W810" s="87"/>
      <c r="X810" s="87"/>
      <c r="Y810" s="87"/>
      <c r="Z810" s="87"/>
      <c r="AA810" s="87"/>
      <c r="AB810" s="87"/>
      <c r="AC810" s="87"/>
      <c r="AD810" s="87"/>
      <c r="AE810" s="87"/>
      <c r="AF810" s="87"/>
      <c r="AG810" s="87"/>
      <c r="AH810" s="87"/>
      <c r="AI810" s="87"/>
      <c r="AJ810" s="87"/>
      <c r="AK810" s="87"/>
      <c r="AL810" s="87"/>
    </row>
    <row r="811" spans="10:38" ht="15.75" customHeight="1">
      <c r="J811" s="87"/>
      <c r="O811" s="84"/>
      <c r="Q811" s="87"/>
      <c r="S811" s="87"/>
      <c r="T811" s="87"/>
      <c r="U811" s="87"/>
      <c r="V811" s="87"/>
      <c r="W811" s="87"/>
      <c r="X811" s="87"/>
      <c r="Y811" s="87"/>
      <c r="Z811" s="87"/>
      <c r="AA811" s="87"/>
      <c r="AB811" s="87"/>
      <c r="AC811" s="87"/>
      <c r="AD811" s="87"/>
      <c r="AE811" s="87"/>
      <c r="AF811" s="87"/>
      <c r="AG811" s="87"/>
      <c r="AH811" s="87"/>
      <c r="AI811" s="87"/>
      <c r="AJ811" s="87"/>
      <c r="AK811" s="87"/>
      <c r="AL811" s="87"/>
    </row>
    <row r="812" spans="10:38" ht="15.75" customHeight="1">
      <c r="J812" s="87"/>
      <c r="O812" s="84"/>
      <c r="Q812" s="87"/>
      <c r="S812" s="87"/>
      <c r="T812" s="87"/>
      <c r="U812" s="87"/>
      <c r="V812" s="87"/>
      <c r="W812" s="87"/>
      <c r="X812" s="87"/>
      <c r="Y812" s="87"/>
      <c r="Z812" s="87"/>
      <c r="AA812" s="87"/>
      <c r="AB812" s="87"/>
      <c r="AC812" s="87"/>
      <c r="AD812" s="87"/>
      <c r="AE812" s="87"/>
      <c r="AF812" s="87"/>
      <c r="AG812" s="87"/>
      <c r="AH812" s="87"/>
      <c r="AI812" s="87"/>
      <c r="AJ812" s="87"/>
      <c r="AK812" s="87"/>
      <c r="AL812" s="87"/>
    </row>
    <row r="813" spans="10:38" ht="15.75" customHeight="1">
      <c r="J813" s="87"/>
      <c r="O813" s="84"/>
      <c r="Q813" s="87"/>
      <c r="S813" s="87"/>
      <c r="T813" s="87"/>
      <c r="U813" s="87"/>
      <c r="V813" s="87"/>
      <c r="W813" s="87"/>
      <c r="X813" s="87"/>
      <c r="Y813" s="87"/>
      <c r="Z813" s="87"/>
      <c r="AA813" s="87"/>
      <c r="AB813" s="87"/>
      <c r="AC813" s="87"/>
      <c r="AD813" s="87"/>
      <c r="AE813" s="87"/>
      <c r="AF813" s="87"/>
      <c r="AG813" s="87"/>
      <c r="AH813" s="87"/>
      <c r="AI813" s="87"/>
      <c r="AJ813" s="87"/>
      <c r="AK813" s="87"/>
      <c r="AL813" s="87"/>
    </row>
    <row r="814" spans="10:38" ht="15.75" customHeight="1">
      <c r="J814" s="87"/>
      <c r="O814" s="84"/>
      <c r="Q814" s="87"/>
      <c r="S814" s="87"/>
      <c r="T814" s="87"/>
      <c r="U814" s="87"/>
      <c r="V814" s="87"/>
      <c r="W814" s="87"/>
      <c r="X814" s="87"/>
      <c r="Y814" s="87"/>
      <c r="Z814" s="87"/>
      <c r="AA814" s="87"/>
      <c r="AB814" s="87"/>
      <c r="AC814" s="87"/>
      <c r="AD814" s="87"/>
      <c r="AE814" s="87"/>
      <c r="AF814" s="87"/>
      <c r="AG814" s="87"/>
      <c r="AH814" s="87"/>
      <c r="AI814" s="87"/>
      <c r="AJ814" s="87"/>
      <c r="AK814" s="87"/>
      <c r="AL814" s="87"/>
    </row>
    <row r="815" spans="10:38" ht="15.75" customHeight="1">
      <c r="J815" s="87"/>
      <c r="O815" s="84"/>
      <c r="Q815" s="87"/>
      <c r="S815" s="87"/>
      <c r="T815" s="87"/>
      <c r="U815" s="87"/>
      <c r="V815" s="87"/>
      <c r="W815" s="87"/>
      <c r="X815" s="87"/>
      <c r="Y815" s="87"/>
      <c r="Z815" s="87"/>
      <c r="AA815" s="87"/>
      <c r="AB815" s="87"/>
      <c r="AC815" s="87"/>
      <c r="AD815" s="87"/>
      <c r="AE815" s="87"/>
      <c r="AF815" s="87"/>
      <c r="AG815" s="87"/>
      <c r="AH815" s="87"/>
      <c r="AI815" s="87"/>
      <c r="AJ815" s="87"/>
      <c r="AK815" s="87"/>
      <c r="AL815" s="87"/>
    </row>
    <row r="816" spans="10:38" ht="15.75" customHeight="1">
      <c r="J816" s="87"/>
      <c r="O816" s="84"/>
      <c r="Q816" s="87"/>
      <c r="S816" s="87"/>
      <c r="T816" s="87"/>
      <c r="U816" s="87"/>
      <c r="V816" s="87"/>
      <c r="W816" s="87"/>
      <c r="X816" s="87"/>
      <c r="Y816" s="87"/>
      <c r="Z816" s="87"/>
      <c r="AA816" s="87"/>
      <c r="AB816" s="87"/>
      <c r="AC816" s="87"/>
      <c r="AD816" s="87"/>
      <c r="AE816" s="87"/>
      <c r="AF816" s="87"/>
      <c r="AG816" s="87"/>
      <c r="AH816" s="87"/>
      <c r="AI816" s="87"/>
      <c r="AJ816" s="87"/>
      <c r="AK816" s="87"/>
      <c r="AL816" s="87"/>
    </row>
    <row r="817" spans="10:38" ht="15.75" customHeight="1">
      <c r="J817" s="87"/>
      <c r="O817" s="84"/>
      <c r="Q817" s="87"/>
      <c r="S817" s="87"/>
      <c r="T817" s="87"/>
      <c r="U817" s="87"/>
      <c r="V817" s="87"/>
      <c r="W817" s="87"/>
      <c r="X817" s="87"/>
      <c r="Y817" s="87"/>
      <c r="Z817" s="87"/>
      <c r="AA817" s="87"/>
      <c r="AB817" s="87"/>
      <c r="AC817" s="87"/>
      <c r="AD817" s="87"/>
      <c r="AE817" s="87"/>
      <c r="AF817" s="87"/>
      <c r="AG817" s="87"/>
      <c r="AH817" s="87"/>
      <c r="AI817" s="87"/>
      <c r="AJ817" s="87"/>
      <c r="AK817" s="87"/>
      <c r="AL817" s="87"/>
    </row>
    <row r="818" spans="10:38" ht="15.75" customHeight="1">
      <c r="J818" s="87"/>
      <c r="O818" s="84"/>
      <c r="Q818" s="87"/>
      <c r="S818" s="87"/>
      <c r="T818" s="87"/>
      <c r="U818" s="87"/>
      <c r="V818" s="87"/>
      <c r="W818" s="87"/>
      <c r="X818" s="87"/>
      <c r="Y818" s="87"/>
      <c r="Z818" s="87"/>
      <c r="AA818" s="87"/>
      <c r="AB818" s="87"/>
      <c r="AC818" s="87"/>
      <c r="AD818" s="87"/>
      <c r="AE818" s="87"/>
      <c r="AF818" s="87"/>
      <c r="AG818" s="87"/>
      <c r="AH818" s="87"/>
      <c r="AI818" s="87"/>
      <c r="AJ818" s="87"/>
      <c r="AK818" s="87"/>
      <c r="AL818" s="87"/>
    </row>
    <row r="819" spans="10:38" ht="15.75" customHeight="1">
      <c r="J819" s="87"/>
      <c r="O819" s="84"/>
      <c r="Q819" s="87"/>
      <c r="S819" s="87"/>
      <c r="T819" s="87"/>
      <c r="U819" s="87"/>
      <c r="V819" s="87"/>
      <c r="W819" s="87"/>
      <c r="X819" s="87"/>
      <c r="Y819" s="87"/>
      <c r="Z819" s="87"/>
      <c r="AA819" s="87"/>
      <c r="AB819" s="87"/>
      <c r="AC819" s="87"/>
      <c r="AD819" s="87"/>
      <c r="AE819" s="87"/>
      <c r="AF819" s="87"/>
      <c r="AG819" s="87"/>
      <c r="AH819" s="87"/>
      <c r="AI819" s="87"/>
      <c r="AJ819" s="87"/>
      <c r="AK819" s="87"/>
      <c r="AL819" s="87"/>
    </row>
    <row r="820" spans="10:38" ht="15.75" customHeight="1">
      <c r="J820" s="87"/>
      <c r="O820" s="84"/>
      <c r="Q820" s="87"/>
      <c r="S820" s="87"/>
      <c r="T820" s="87"/>
      <c r="U820" s="87"/>
      <c r="V820" s="87"/>
      <c r="W820" s="87"/>
      <c r="X820" s="87"/>
      <c r="Y820" s="87"/>
      <c r="Z820" s="87"/>
      <c r="AA820" s="87"/>
      <c r="AB820" s="87"/>
      <c r="AC820" s="87"/>
      <c r="AD820" s="87"/>
      <c r="AE820" s="87"/>
      <c r="AF820" s="87"/>
      <c r="AG820" s="87"/>
      <c r="AH820" s="87"/>
      <c r="AI820" s="87"/>
      <c r="AJ820" s="87"/>
      <c r="AK820" s="87"/>
      <c r="AL820" s="87"/>
    </row>
    <row r="821" spans="10:38" ht="15.75" customHeight="1">
      <c r="J821" s="87"/>
      <c r="O821" s="84"/>
      <c r="Q821" s="87"/>
      <c r="S821" s="87"/>
      <c r="T821" s="87"/>
      <c r="U821" s="87"/>
      <c r="V821" s="87"/>
      <c r="W821" s="87"/>
      <c r="X821" s="87"/>
      <c r="Y821" s="87"/>
      <c r="Z821" s="87"/>
      <c r="AA821" s="87"/>
      <c r="AB821" s="87"/>
      <c r="AC821" s="87"/>
      <c r="AD821" s="87"/>
      <c r="AE821" s="87"/>
      <c r="AF821" s="87"/>
      <c r="AG821" s="87"/>
      <c r="AH821" s="87"/>
      <c r="AI821" s="87"/>
      <c r="AJ821" s="87"/>
      <c r="AK821" s="87"/>
      <c r="AL821" s="87"/>
    </row>
    <row r="822" spans="10:38" ht="15.75" customHeight="1">
      <c r="J822" s="87"/>
      <c r="O822" s="84"/>
      <c r="Q822" s="87"/>
      <c r="S822" s="87"/>
      <c r="T822" s="87"/>
      <c r="U822" s="87"/>
      <c r="V822" s="87"/>
      <c r="W822" s="87"/>
      <c r="X822" s="87"/>
      <c r="Y822" s="87"/>
      <c r="Z822" s="87"/>
      <c r="AA822" s="87"/>
      <c r="AB822" s="87"/>
      <c r="AC822" s="87"/>
      <c r="AD822" s="87"/>
      <c r="AE822" s="87"/>
      <c r="AF822" s="87"/>
      <c r="AG822" s="87"/>
      <c r="AH822" s="87"/>
      <c r="AI822" s="87"/>
      <c r="AJ822" s="87"/>
      <c r="AK822" s="87"/>
      <c r="AL822" s="87"/>
    </row>
    <row r="823" spans="10:38" ht="15.75" customHeight="1">
      <c r="J823" s="87"/>
      <c r="O823" s="84"/>
      <c r="Q823" s="87"/>
      <c r="S823" s="87"/>
      <c r="T823" s="87"/>
      <c r="U823" s="87"/>
      <c r="V823" s="87"/>
      <c r="W823" s="87"/>
      <c r="X823" s="87"/>
      <c r="Y823" s="87"/>
      <c r="Z823" s="87"/>
      <c r="AA823" s="87"/>
      <c r="AB823" s="87"/>
      <c r="AC823" s="87"/>
      <c r="AD823" s="87"/>
      <c r="AE823" s="87"/>
      <c r="AF823" s="87"/>
      <c r="AG823" s="87"/>
      <c r="AH823" s="87"/>
      <c r="AI823" s="87"/>
      <c r="AJ823" s="87"/>
      <c r="AK823" s="87"/>
      <c r="AL823" s="87"/>
    </row>
    <row r="824" spans="10:38" ht="15.75" customHeight="1">
      <c r="J824" s="87"/>
      <c r="O824" s="84"/>
      <c r="Q824" s="87"/>
      <c r="S824" s="87"/>
      <c r="T824" s="87"/>
      <c r="U824" s="87"/>
      <c r="V824" s="87"/>
      <c r="W824" s="87"/>
      <c r="X824" s="87"/>
      <c r="Y824" s="87"/>
      <c r="Z824" s="87"/>
      <c r="AA824" s="87"/>
      <c r="AB824" s="87"/>
      <c r="AC824" s="87"/>
      <c r="AD824" s="87"/>
      <c r="AE824" s="87"/>
      <c r="AF824" s="87"/>
      <c r="AG824" s="87"/>
      <c r="AH824" s="87"/>
      <c r="AI824" s="87"/>
      <c r="AJ824" s="87"/>
      <c r="AK824" s="87"/>
      <c r="AL824" s="87"/>
    </row>
    <row r="825" spans="10:38" ht="15.75" customHeight="1">
      <c r="J825" s="87"/>
      <c r="O825" s="84"/>
      <c r="Q825" s="87"/>
      <c r="S825" s="87"/>
      <c r="T825" s="87"/>
      <c r="U825" s="87"/>
      <c r="V825" s="87"/>
      <c r="W825" s="87"/>
      <c r="X825" s="87"/>
      <c r="Y825" s="87"/>
      <c r="Z825" s="87"/>
      <c r="AA825" s="87"/>
      <c r="AB825" s="87"/>
      <c r="AC825" s="87"/>
      <c r="AD825" s="87"/>
      <c r="AE825" s="87"/>
      <c r="AF825" s="87"/>
      <c r="AG825" s="87"/>
      <c r="AH825" s="87"/>
      <c r="AI825" s="87"/>
      <c r="AJ825" s="87"/>
      <c r="AK825" s="87"/>
      <c r="AL825" s="87"/>
    </row>
    <row r="826" spans="10:38" ht="15.75" customHeight="1">
      <c r="J826" s="87"/>
      <c r="O826" s="84"/>
      <c r="Q826" s="87"/>
      <c r="S826" s="87"/>
      <c r="T826" s="87"/>
      <c r="U826" s="87"/>
      <c r="V826" s="87"/>
      <c r="W826" s="87"/>
      <c r="X826" s="87"/>
      <c r="Y826" s="87"/>
      <c r="Z826" s="87"/>
      <c r="AA826" s="87"/>
      <c r="AB826" s="87"/>
      <c r="AC826" s="87"/>
      <c r="AD826" s="87"/>
      <c r="AE826" s="87"/>
      <c r="AF826" s="87"/>
      <c r="AG826" s="87"/>
      <c r="AH826" s="87"/>
      <c r="AI826" s="87"/>
      <c r="AJ826" s="87"/>
      <c r="AK826" s="87"/>
      <c r="AL826" s="87"/>
    </row>
    <row r="827" spans="10:38" ht="15.75" customHeight="1">
      <c r="J827" s="87"/>
      <c r="O827" s="84"/>
      <c r="Q827" s="87"/>
      <c r="S827" s="87"/>
      <c r="T827" s="87"/>
      <c r="U827" s="87"/>
      <c r="V827" s="87"/>
      <c r="W827" s="87"/>
      <c r="X827" s="87"/>
      <c r="Y827" s="87"/>
      <c r="Z827" s="87"/>
      <c r="AA827" s="87"/>
      <c r="AB827" s="87"/>
      <c r="AC827" s="87"/>
      <c r="AD827" s="87"/>
      <c r="AE827" s="87"/>
      <c r="AF827" s="87"/>
      <c r="AG827" s="87"/>
      <c r="AH827" s="87"/>
      <c r="AI827" s="87"/>
      <c r="AJ827" s="87"/>
      <c r="AK827" s="87"/>
      <c r="AL827" s="87"/>
    </row>
    <row r="828" spans="10:38" ht="15.75" customHeight="1">
      <c r="J828" s="87"/>
      <c r="O828" s="84"/>
      <c r="Q828" s="87"/>
      <c r="S828" s="87"/>
      <c r="T828" s="87"/>
      <c r="U828" s="87"/>
      <c r="V828" s="87"/>
      <c r="W828" s="87"/>
      <c r="X828" s="87"/>
      <c r="Y828" s="87"/>
      <c r="Z828" s="87"/>
      <c r="AA828" s="87"/>
      <c r="AB828" s="87"/>
      <c r="AC828" s="87"/>
      <c r="AD828" s="87"/>
      <c r="AE828" s="87"/>
      <c r="AF828" s="87"/>
      <c r="AG828" s="87"/>
      <c r="AH828" s="87"/>
      <c r="AI828" s="87"/>
      <c r="AJ828" s="87"/>
      <c r="AK828" s="87"/>
      <c r="AL828" s="87"/>
    </row>
    <row r="829" spans="10:38" ht="15.75" customHeight="1">
      <c r="J829" s="87"/>
      <c r="O829" s="84"/>
      <c r="Q829" s="87"/>
      <c r="S829" s="87"/>
      <c r="T829" s="87"/>
      <c r="U829" s="87"/>
      <c r="V829" s="87"/>
      <c r="W829" s="87"/>
      <c r="X829" s="87"/>
      <c r="Y829" s="87"/>
      <c r="Z829" s="87"/>
      <c r="AA829" s="87"/>
      <c r="AB829" s="87"/>
      <c r="AC829" s="87"/>
      <c r="AD829" s="87"/>
      <c r="AE829" s="87"/>
      <c r="AF829" s="87"/>
      <c r="AG829" s="87"/>
      <c r="AH829" s="87"/>
      <c r="AI829" s="87"/>
      <c r="AJ829" s="87"/>
      <c r="AK829" s="87"/>
      <c r="AL829" s="87"/>
    </row>
    <row r="830" spans="10:38" ht="15.75" customHeight="1">
      <c r="J830" s="87"/>
      <c r="O830" s="84"/>
      <c r="Q830" s="87"/>
      <c r="S830" s="87"/>
      <c r="T830" s="87"/>
      <c r="U830" s="87"/>
      <c r="V830" s="87"/>
      <c r="W830" s="87"/>
      <c r="X830" s="87"/>
      <c r="Y830" s="87"/>
      <c r="Z830" s="87"/>
      <c r="AA830" s="87"/>
      <c r="AB830" s="87"/>
      <c r="AC830" s="87"/>
      <c r="AD830" s="87"/>
      <c r="AE830" s="87"/>
      <c r="AF830" s="87"/>
      <c r="AG830" s="87"/>
      <c r="AH830" s="87"/>
      <c r="AI830" s="87"/>
      <c r="AJ830" s="87"/>
      <c r="AK830" s="87"/>
      <c r="AL830" s="87"/>
    </row>
    <row r="831" spans="10:38" ht="15.75" customHeight="1">
      <c r="J831" s="87"/>
      <c r="O831" s="84"/>
      <c r="Q831" s="87"/>
      <c r="S831" s="87"/>
      <c r="T831" s="87"/>
      <c r="U831" s="87"/>
      <c r="V831" s="87"/>
      <c r="W831" s="87"/>
      <c r="X831" s="87"/>
      <c r="Y831" s="87"/>
      <c r="Z831" s="87"/>
      <c r="AA831" s="87"/>
      <c r="AB831" s="87"/>
      <c r="AC831" s="87"/>
      <c r="AD831" s="87"/>
      <c r="AE831" s="87"/>
      <c r="AF831" s="87"/>
      <c r="AG831" s="87"/>
      <c r="AH831" s="87"/>
      <c r="AI831" s="87"/>
      <c r="AJ831" s="87"/>
      <c r="AK831" s="87"/>
      <c r="AL831" s="87"/>
    </row>
    <row r="832" spans="10:38" ht="15.75" customHeight="1">
      <c r="J832" s="87"/>
      <c r="O832" s="84"/>
      <c r="Q832" s="87"/>
      <c r="S832" s="87"/>
      <c r="T832" s="87"/>
      <c r="U832" s="87"/>
      <c r="V832" s="87"/>
      <c r="W832" s="87"/>
      <c r="X832" s="87"/>
      <c r="Y832" s="87"/>
      <c r="Z832" s="87"/>
      <c r="AA832" s="87"/>
      <c r="AB832" s="87"/>
      <c r="AC832" s="87"/>
      <c r="AD832" s="87"/>
      <c r="AE832" s="87"/>
      <c r="AF832" s="87"/>
      <c r="AG832" s="87"/>
      <c r="AH832" s="87"/>
      <c r="AI832" s="87"/>
      <c r="AJ832" s="87"/>
      <c r="AK832" s="87"/>
      <c r="AL832" s="87"/>
    </row>
    <row r="833" spans="10:38" ht="15.75" customHeight="1">
      <c r="J833" s="87"/>
      <c r="O833" s="84"/>
      <c r="Q833" s="87"/>
      <c r="S833" s="87"/>
      <c r="T833" s="87"/>
      <c r="U833" s="87"/>
      <c r="V833" s="87"/>
      <c r="W833" s="87"/>
      <c r="X833" s="87"/>
      <c r="Y833" s="87"/>
      <c r="Z833" s="87"/>
      <c r="AA833" s="87"/>
      <c r="AB833" s="87"/>
      <c r="AC833" s="87"/>
      <c r="AD833" s="87"/>
      <c r="AE833" s="87"/>
      <c r="AF833" s="87"/>
      <c r="AG833" s="87"/>
      <c r="AH833" s="87"/>
      <c r="AI833" s="87"/>
      <c r="AJ833" s="87"/>
      <c r="AK833" s="87"/>
      <c r="AL833" s="87"/>
    </row>
    <row r="834" spans="10:38" ht="15.75" customHeight="1">
      <c r="J834" s="87"/>
      <c r="O834" s="84"/>
      <c r="Q834" s="87"/>
      <c r="S834" s="87"/>
      <c r="T834" s="87"/>
      <c r="U834" s="87"/>
      <c r="V834" s="87"/>
      <c r="W834" s="87"/>
      <c r="X834" s="87"/>
      <c r="Y834" s="87"/>
      <c r="Z834" s="87"/>
      <c r="AA834" s="87"/>
      <c r="AB834" s="87"/>
      <c r="AC834" s="87"/>
      <c r="AD834" s="87"/>
      <c r="AE834" s="87"/>
      <c r="AF834" s="87"/>
      <c r="AG834" s="87"/>
      <c r="AH834" s="87"/>
      <c r="AI834" s="87"/>
      <c r="AJ834" s="87"/>
      <c r="AK834" s="87"/>
      <c r="AL834" s="87"/>
    </row>
    <row r="835" spans="10:38" ht="15.75" customHeight="1">
      <c r="J835" s="87"/>
      <c r="O835" s="84"/>
      <c r="Q835" s="87"/>
      <c r="S835" s="87"/>
      <c r="T835" s="87"/>
      <c r="U835" s="87"/>
      <c r="V835" s="87"/>
      <c r="W835" s="87"/>
      <c r="X835" s="87"/>
      <c r="Y835" s="87"/>
      <c r="Z835" s="87"/>
      <c r="AA835" s="87"/>
      <c r="AB835" s="87"/>
      <c r="AC835" s="87"/>
      <c r="AD835" s="87"/>
      <c r="AE835" s="87"/>
      <c r="AF835" s="87"/>
      <c r="AG835" s="87"/>
      <c r="AH835" s="87"/>
      <c r="AI835" s="87"/>
      <c r="AJ835" s="87"/>
      <c r="AK835" s="87"/>
      <c r="AL835" s="87"/>
    </row>
    <row r="836" spans="10:38" ht="15.75" customHeight="1">
      <c r="J836" s="87"/>
      <c r="O836" s="84"/>
      <c r="Q836" s="87"/>
      <c r="S836" s="87"/>
      <c r="T836" s="87"/>
      <c r="U836" s="87"/>
      <c r="V836" s="87"/>
      <c r="W836" s="87"/>
      <c r="X836" s="87"/>
      <c r="Y836" s="87"/>
      <c r="Z836" s="87"/>
      <c r="AA836" s="87"/>
      <c r="AB836" s="87"/>
      <c r="AC836" s="87"/>
      <c r="AD836" s="87"/>
      <c r="AE836" s="87"/>
      <c r="AF836" s="87"/>
      <c r="AG836" s="87"/>
      <c r="AH836" s="87"/>
      <c r="AI836" s="87"/>
      <c r="AJ836" s="87"/>
      <c r="AK836" s="87"/>
      <c r="AL836" s="87"/>
    </row>
    <row r="837" spans="10:38" ht="15.75" customHeight="1">
      <c r="J837" s="87"/>
      <c r="O837" s="84"/>
      <c r="Q837" s="87"/>
      <c r="S837" s="87"/>
      <c r="T837" s="87"/>
      <c r="U837" s="87"/>
      <c r="V837" s="87"/>
      <c r="W837" s="87"/>
      <c r="X837" s="87"/>
      <c r="Y837" s="87"/>
      <c r="Z837" s="87"/>
      <c r="AA837" s="87"/>
      <c r="AB837" s="87"/>
      <c r="AC837" s="87"/>
      <c r="AD837" s="87"/>
      <c r="AE837" s="87"/>
      <c r="AF837" s="87"/>
      <c r="AG837" s="87"/>
      <c r="AH837" s="87"/>
      <c r="AI837" s="87"/>
      <c r="AJ837" s="87"/>
      <c r="AK837" s="87"/>
      <c r="AL837" s="87"/>
    </row>
    <row r="838" spans="10:38" ht="15.75" customHeight="1">
      <c r="J838" s="87"/>
      <c r="O838" s="84"/>
      <c r="Q838" s="87"/>
      <c r="S838" s="87"/>
      <c r="T838" s="87"/>
      <c r="U838" s="87"/>
      <c r="V838" s="87"/>
      <c r="W838" s="87"/>
      <c r="X838" s="87"/>
      <c r="Y838" s="87"/>
      <c r="Z838" s="87"/>
      <c r="AA838" s="87"/>
      <c r="AB838" s="87"/>
      <c r="AC838" s="87"/>
      <c r="AD838" s="87"/>
      <c r="AE838" s="87"/>
      <c r="AF838" s="87"/>
      <c r="AG838" s="87"/>
      <c r="AH838" s="87"/>
      <c r="AI838" s="87"/>
      <c r="AJ838" s="87"/>
      <c r="AK838" s="87"/>
      <c r="AL838" s="87"/>
    </row>
    <row r="839" spans="10:38" ht="15.75" customHeight="1">
      <c r="J839" s="87"/>
      <c r="O839" s="84"/>
      <c r="Q839" s="87"/>
      <c r="S839" s="87"/>
      <c r="T839" s="87"/>
      <c r="U839" s="87"/>
      <c r="V839" s="87"/>
      <c r="W839" s="87"/>
      <c r="X839" s="87"/>
      <c r="Y839" s="87"/>
      <c r="Z839" s="87"/>
      <c r="AA839" s="87"/>
      <c r="AB839" s="87"/>
      <c r="AC839" s="87"/>
      <c r="AD839" s="87"/>
      <c r="AE839" s="87"/>
      <c r="AF839" s="87"/>
      <c r="AG839" s="87"/>
      <c r="AH839" s="87"/>
      <c r="AI839" s="87"/>
      <c r="AJ839" s="87"/>
      <c r="AK839" s="87"/>
      <c r="AL839" s="87"/>
    </row>
    <row r="840" spans="10:38" ht="15.75" customHeight="1">
      <c r="J840" s="87"/>
      <c r="O840" s="84"/>
      <c r="Q840" s="87"/>
      <c r="S840" s="87"/>
      <c r="T840" s="87"/>
      <c r="U840" s="87"/>
      <c r="V840" s="87"/>
      <c r="W840" s="87"/>
      <c r="X840" s="87"/>
      <c r="Y840" s="87"/>
      <c r="Z840" s="87"/>
      <c r="AA840" s="87"/>
      <c r="AB840" s="87"/>
      <c r="AC840" s="87"/>
      <c r="AD840" s="87"/>
      <c r="AE840" s="87"/>
      <c r="AF840" s="87"/>
      <c r="AG840" s="87"/>
      <c r="AH840" s="87"/>
      <c r="AI840" s="87"/>
      <c r="AJ840" s="87"/>
      <c r="AK840" s="87"/>
      <c r="AL840" s="87"/>
    </row>
    <row r="841" spans="10:38" ht="15.75" customHeight="1">
      <c r="J841" s="87"/>
      <c r="O841" s="84"/>
      <c r="Q841" s="87"/>
      <c r="S841" s="87"/>
      <c r="T841" s="87"/>
      <c r="U841" s="87"/>
      <c r="V841" s="87"/>
      <c r="W841" s="87"/>
      <c r="X841" s="87"/>
      <c r="Y841" s="87"/>
      <c r="Z841" s="87"/>
      <c r="AA841" s="87"/>
      <c r="AB841" s="87"/>
      <c r="AC841" s="87"/>
      <c r="AD841" s="87"/>
      <c r="AE841" s="87"/>
      <c r="AF841" s="87"/>
      <c r="AG841" s="87"/>
      <c r="AH841" s="87"/>
      <c r="AI841" s="87"/>
      <c r="AJ841" s="87"/>
      <c r="AK841" s="87"/>
      <c r="AL841" s="87"/>
    </row>
    <row r="842" spans="10:38" ht="15.75" customHeight="1">
      <c r="J842" s="87"/>
      <c r="O842" s="84"/>
      <c r="Q842" s="87"/>
      <c r="S842" s="87"/>
      <c r="T842" s="87"/>
      <c r="U842" s="87"/>
      <c r="V842" s="87"/>
      <c r="W842" s="87"/>
      <c r="X842" s="87"/>
      <c r="Y842" s="87"/>
      <c r="Z842" s="87"/>
      <c r="AA842" s="87"/>
      <c r="AB842" s="87"/>
      <c r="AC842" s="87"/>
      <c r="AD842" s="87"/>
      <c r="AE842" s="87"/>
      <c r="AF842" s="87"/>
      <c r="AG842" s="87"/>
      <c r="AH842" s="87"/>
      <c r="AI842" s="87"/>
      <c r="AJ842" s="87"/>
      <c r="AK842" s="87"/>
      <c r="AL842" s="87"/>
    </row>
    <row r="843" spans="10:38" ht="15.75" customHeight="1">
      <c r="J843" s="87"/>
      <c r="O843" s="84"/>
      <c r="Q843" s="87"/>
      <c r="S843" s="87"/>
      <c r="T843" s="87"/>
      <c r="U843" s="87"/>
      <c r="V843" s="87"/>
      <c r="W843" s="87"/>
      <c r="X843" s="87"/>
      <c r="Y843" s="87"/>
      <c r="Z843" s="87"/>
      <c r="AA843" s="87"/>
      <c r="AB843" s="87"/>
      <c r="AC843" s="87"/>
      <c r="AD843" s="87"/>
      <c r="AE843" s="87"/>
      <c r="AF843" s="87"/>
      <c r="AG843" s="87"/>
      <c r="AH843" s="87"/>
      <c r="AI843" s="87"/>
      <c r="AJ843" s="87"/>
      <c r="AK843" s="87"/>
      <c r="AL843" s="87"/>
    </row>
    <row r="844" spans="10:38" ht="15.75" customHeight="1">
      <c r="J844" s="87"/>
      <c r="O844" s="84"/>
      <c r="Q844" s="87"/>
      <c r="S844" s="87"/>
      <c r="T844" s="87"/>
      <c r="U844" s="87"/>
      <c r="V844" s="87"/>
      <c r="W844" s="87"/>
      <c r="X844" s="87"/>
      <c r="Y844" s="87"/>
      <c r="Z844" s="87"/>
      <c r="AA844" s="87"/>
      <c r="AB844" s="87"/>
      <c r="AC844" s="87"/>
      <c r="AD844" s="87"/>
      <c r="AE844" s="87"/>
      <c r="AF844" s="87"/>
      <c r="AG844" s="87"/>
      <c r="AH844" s="87"/>
      <c r="AI844" s="87"/>
      <c r="AJ844" s="87"/>
      <c r="AK844" s="87"/>
      <c r="AL844" s="87"/>
    </row>
    <row r="845" spans="10:38" ht="15.75" customHeight="1">
      <c r="J845" s="87"/>
      <c r="O845" s="84"/>
      <c r="Q845" s="87"/>
      <c r="S845" s="87"/>
      <c r="T845" s="87"/>
      <c r="U845" s="87"/>
      <c r="V845" s="87"/>
      <c r="W845" s="87"/>
      <c r="X845" s="87"/>
      <c r="Y845" s="87"/>
      <c r="Z845" s="87"/>
      <c r="AA845" s="87"/>
      <c r="AB845" s="87"/>
      <c r="AC845" s="87"/>
      <c r="AD845" s="87"/>
      <c r="AE845" s="87"/>
      <c r="AF845" s="87"/>
      <c r="AG845" s="87"/>
      <c r="AH845" s="87"/>
      <c r="AI845" s="87"/>
      <c r="AJ845" s="87"/>
      <c r="AK845" s="87"/>
      <c r="AL845" s="87"/>
    </row>
    <row r="846" spans="10:38" ht="15.75" customHeight="1">
      <c r="J846" s="87"/>
      <c r="O846" s="84"/>
      <c r="Q846" s="87"/>
      <c r="S846" s="87"/>
      <c r="T846" s="87"/>
      <c r="U846" s="87"/>
      <c r="V846" s="87"/>
      <c r="W846" s="87"/>
      <c r="X846" s="87"/>
      <c r="Y846" s="87"/>
      <c r="Z846" s="87"/>
      <c r="AA846" s="87"/>
      <c r="AB846" s="87"/>
      <c r="AC846" s="87"/>
      <c r="AD846" s="87"/>
      <c r="AE846" s="87"/>
      <c r="AF846" s="87"/>
      <c r="AG846" s="87"/>
      <c r="AH846" s="87"/>
      <c r="AI846" s="87"/>
      <c r="AJ846" s="87"/>
      <c r="AK846" s="87"/>
      <c r="AL846" s="87"/>
    </row>
    <row r="847" spans="10:38" ht="15.75" customHeight="1">
      <c r="J847" s="87"/>
      <c r="O847" s="84"/>
      <c r="Q847" s="87"/>
      <c r="S847" s="87"/>
      <c r="T847" s="87"/>
      <c r="U847" s="87"/>
      <c r="V847" s="87"/>
      <c r="W847" s="87"/>
      <c r="X847" s="87"/>
      <c r="Y847" s="87"/>
      <c r="Z847" s="87"/>
      <c r="AA847" s="87"/>
      <c r="AB847" s="87"/>
      <c r="AC847" s="87"/>
      <c r="AD847" s="87"/>
      <c r="AE847" s="87"/>
      <c r="AF847" s="87"/>
      <c r="AG847" s="87"/>
      <c r="AH847" s="87"/>
      <c r="AI847" s="87"/>
      <c r="AJ847" s="87"/>
      <c r="AK847" s="87"/>
      <c r="AL847" s="87"/>
    </row>
    <row r="848" spans="10:38" ht="15.75" customHeight="1">
      <c r="J848" s="87"/>
      <c r="O848" s="84"/>
      <c r="Q848" s="87"/>
      <c r="S848" s="87"/>
      <c r="T848" s="87"/>
      <c r="U848" s="87"/>
      <c r="V848" s="87"/>
      <c r="W848" s="87"/>
      <c r="X848" s="87"/>
      <c r="Y848" s="87"/>
      <c r="Z848" s="87"/>
      <c r="AA848" s="87"/>
      <c r="AB848" s="87"/>
      <c r="AC848" s="87"/>
      <c r="AD848" s="87"/>
      <c r="AE848" s="87"/>
      <c r="AF848" s="87"/>
      <c r="AG848" s="87"/>
      <c r="AH848" s="87"/>
      <c r="AI848" s="87"/>
      <c r="AJ848" s="87"/>
      <c r="AK848" s="87"/>
      <c r="AL848" s="87"/>
    </row>
    <row r="849" spans="10:38" ht="15.75" customHeight="1">
      <c r="J849" s="87"/>
      <c r="O849" s="84"/>
      <c r="Q849" s="87"/>
      <c r="S849" s="87"/>
      <c r="T849" s="87"/>
      <c r="U849" s="87"/>
      <c r="V849" s="87"/>
      <c r="W849" s="87"/>
      <c r="X849" s="87"/>
      <c r="Y849" s="87"/>
      <c r="Z849" s="87"/>
      <c r="AA849" s="87"/>
      <c r="AB849" s="87"/>
      <c r="AC849" s="87"/>
      <c r="AD849" s="87"/>
      <c r="AE849" s="87"/>
      <c r="AF849" s="87"/>
      <c r="AG849" s="87"/>
      <c r="AH849" s="87"/>
      <c r="AI849" s="87"/>
      <c r="AJ849" s="87"/>
      <c r="AK849" s="87"/>
      <c r="AL849" s="87"/>
    </row>
    <row r="850" spans="10:38" ht="15.75" customHeight="1">
      <c r="J850" s="87"/>
      <c r="O850" s="84"/>
      <c r="Q850" s="87"/>
      <c r="S850" s="87"/>
      <c r="T850" s="87"/>
      <c r="U850" s="87"/>
      <c r="V850" s="87"/>
      <c r="W850" s="87"/>
      <c r="X850" s="87"/>
      <c r="Y850" s="87"/>
      <c r="Z850" s="87"/>
      <c r="AA850" s="87"/>
      <c r="AB850" s="87"/>
      <c r="AC850" s="87"/>
      <c r="AD850" s="87"/>
      <c r="AE850" s="87"/>
      <c r="AF850" s="87"/>
      <c r="AG850" s="87"/>
      <c r="AH850" s="87"/>
      <c r="AI850" s="87"/>
      <c r="AJ850" s="87"/>
      <c r="AK850" s="87"/>
      <c r="AL850" s="87"/>
    </row>
    <row r="851" spans="10:38" ht="15.75" customHeight="1">
      <c r="J851" s="87"/>
      <c r="O851" s="84"/>
      <c r="Q851" s="87"/>
      <c r="S851" s="87"/>
      <c r="T851" s="87"/>
      <c r="U851" s="87"/>
      <c r="V851" s="87"/>
      <c r="W851" s="87"/>
      <c r="X851" s="87"/>
      <c r="Y851" s="87"/>
      <c r="Z851" s="87"/>
      <c r="AA851" s="87"/>
      <c r="AB851" s="87"/>
      <c r="AC851" s="87"/>
      <c r="AD851" s="87"/>
      <c r="AE851" s="87"/>
      <c r="AF851" s="87"/>
      <c r="AG851" s="87"/>
      <c r="AH851" s="87"/>
      <c r="AI851" s="87"/>
      <c r="AJ851" s="87"/>
      <c r="AK851" s="87"/>
      <c r="AL851" s="87"/>
    </row>
    <row r="852" spans="10:38" ht="15.75" customHeight="1">
      <c r="J852" s="87"/>
      <c r="O852" s="84"/>
      <c r="Q852" s="87"/>
      <c r="S852" s="87"/>
      <c r="T852" s="87"/>
      <c r="U852" s="87"/>
      <c r="V852" s="87"/>
      <c r="W852" s="87"/>
      <c r="X852" s="87"/>
      <c r="Y852" s="87"/>
      <c r="Z852" s="87"/>
      <c r="AA852" s="87"/>
      <c r="AB852" s="87"/>
      <c r="AC852" s="87"/>
      <c r="AD852" s="87"/>
      <c r="AE852" s="87"/>
      <c r="AF852" s="87"/>
      <c r="AG852" s="87"/>
      <c r="AH852" s="87"/>
      <c r="AI852" s="87"/>
      <c r="AJ852" s="87"/>
      <c r="AK852" s="87"/>
      <c r="AL852" s="87"/>
    </row>
    <row r="853" spans="10:38" ht="15.75" customHeight="1">
      <c r="J853" s="87"/>
      <c r="O853" s="84"/>
      <c r="Q853" s="87"/>
      <c r="S853" s="87"/>
      <c r="T853" s="87"/>
      <c r="U853" s="87"/>
      <c r="V853" s="87"/>
      <c r="W853" s="87"/>
      <c r="X853" s="87"/>
      <c r="Y853" s="87"/>
      <c r="Z853" s="87"/>
      <c r="AA853" s="87"/>
      <c r="AB853" s="87"/>
      <c r="AC853" s="87"/>
      <c r="AD853" s="87"/>
      <c r="AE853" s="87"/>
      <c r="AF853" s="87"/>
      <c r="AG853" s="87"/>
      <c r="AH853" s="87"/>
      <c r="AI853" s="87"/>
      <c r="AJ853" s="87"/>
      <c r="AK853" s="87"/>
      <c r="AL853" s="87"/>
    </row>
    <row r="854" spans="10:38" ht="15.75" customHeight="1">
      <c r="J854" s="87"/>
      <c r="O854" s="84"/>
      <c r="Q854" s="87"/>
      <c r="S854" s="87"/>
      <c r="T854" s="87"/>
      <c r="U854" s="87"/>
      <c r="V854" s="87"/>
      <c r="W854" s="87"/>
      <c r="X854" s="87"/>
      <c r="Y854" s="87"/>
      <c r="Z854" s="87"/>
      <c r="AA854" s="87"/>
      <c r="AB854" s="87"/>
      <c r="AC854" s="87"/>
      <c r="AD854" s="87"/>
      <c r="AE854" s="87"/>
      <c r="AF854" s="87"/>
      <c r="AG854" s="87"/>
      <c r="AH854" s="87"/>
      <c r="AI854" s="87"/>
      <c r="AJ854" s="87"/>
      <c r="AK854" s="87"/>
      <c r="AL854" s="87"/>
    </row>
    <row r="855" spans="10:38" ht="15.75" customHeight="1">
      <c r="J855" s="87"/>
      <c r="O855" s="84"/>
      <c r="Q855" s="87"/>
      <c r="S855" s="87"/>
      <c r="T855" s="87"/>
      <c r="U855" s="87"/>
      <c r="V855" s="87"/>
      <c r="W855" s="87"/>
      <c r="X855" s="87"/>
      <c r="Y855" s="87"/>
      <c r="Z855" s="87"/>
      <c r="AA855" s="87"/>
      <c r="AB855" s="87"/>
      <c r="AC855" s="87"/>
      <c r="AD855" s="87"/>
      <c r="AE855" s="87"/>
      <c r="AF855" s="87"/>
      <c r="AG855" s="87"/>
      <c r="AH855" s="87"/>
      <c r="AI855" s="87"/>
      <c r="AJ855" s="87"/>
      <c r="AK855" s="87"/>
      <c r="AL855" s="87"/>
    </row>
    <row r="856" spans="10:38" ht="15.75" customHeight="1">
      <c r="J856" s="87"/>
      <c r="O856" s="84"/>
      <c r="Q856" s="87"/>
      <c r="S856" s="87"/>
      <c r="T856" s="87"/>
      <c r="U856" s="87"/>
      <c r="V856" s="87"/>
      <c r="W856" s="87"/>
      <c r="X856" s="87"/>
      <c r="Y856" s="87"/>
      <c r="Z856" s="87"/>
      <c r="AA856" s="87"/>
      <c r="AB856" s="87"/>
      <c r="AC856" s="87"/>
      <c r="AD856" s="87"/>
      <c r="AE856" s="87"/>
      <c r="AF856" s="87"/>
      <c r="AG856" s="87"/>
      <c r="AH856" s="87"/>
      <c r="AI856" s="87"/>
      <c r="AJ856" s="87"/>
      <c r="AK856" s="87"/>
      <c r="AL856" s="87"/>
    </row>
    <row r="857" spans="10:38" ht="15.75" customHeight="1">
      <c r="J857" s="87"/>
      <c r="O857" s="84"/>
      <c r="Q857" s="87"/>
      <c r="S857" s="87"/>
      <c r="T857" s="87"/>
      <c r="U857" s="87"/>
      <c r="V857" s="87"/>
      <c r="W857" s="87"/>
      <c r="X857" s="87"/>
      <c r="Y857" s="87"/>
      <c r="Z857" s="87"/>
      <c r="AA857" s="87"/>
      <c r="AB857" s="87"/>
      <c r="AC857" s="87"/>
      <c r="AD857" s="87"/>
      <c r="AE857" s="87"/>
      <c r="AF857" s="87"/>
      <c r="AG857" s="87"/>
      <c r="AH857" s="87"/>
      <c r="AI857" s="87"/>
      <c r="AJ857" s="87"/>
      <c r="AK857" s="87"/>
      <c r="AL857" s="87"/>
    </row>
    <row r="858" spans="10:38" ht="15.75" customHeight="1">
      <c r="J858" s="87"/>
      <c r="O858" s="84"/>
      <c r="Q858" s="87"/>
      <c r="S858" s="87"/>
      <c r="T858" s="87"/>
      <c r="U858" s="87"/>
      <c r="V858" s="87"/>
      <c r="W858" s="87"/>
      <c r="X858" s="87"/>
      <c r="Y858" s="87"/>
      <c r="Z858" s="87"/>
      <c r="AA858" s="87"/>
      <c r="AB858" s="87"/>
      <c r="AC858" s="87"/>
      <c r="AD858" s="87"/>
      <c r="AE858" s="87"/>
      <c r="AF858" s="87"/>
      <c r="AG858" s="87"/>
      <c r="AH858" s="87"/>
      <c r="AI858" s="87"/>
      <c r="AJ858" s="87"/>
      <c r="AK858" s="87"/>
      <c r="AL858" s="87"/>
    </row>
    <row r="859" spans="10:38" ht="15.75" customHeight="1">
      <c r="J859" s="87"/>
      <c r="O859" s="84"/>
      <c r="Q859" s="87"/>
      <c r="S859" s="87"/>
      <c r="T859" s="87"/>
      <c r="U859" s="87"/>
      <c r="V859" s="87"/>
      <c r="W859" s="87"/>
      <c r="X859" s="87"/>
      <c r="Y859" s="87"/>
      <c r="Z859" s="87"/>
      <c r="AA859" s="87"/>
      <c r="AB859" s="87"/>
      <c r="AC859" s="87"/>
      <c r="AD859" s="87"/>
      <c r="AE859" s="87"/>
      <c r="AF859" s="87"/>
      <c r="AG859" s="87"/>
      <c r="AH859" s="87"/>
      <c r="AI859" s="87"/>
      <c r="AJ859" s="87"/>
      <c r="AK859" s="87"/>
      <c r="AL859" s="87"/>
    </row>
    <row r="860" spans="10:38" ht="15.75" customHeight="1">
      <c r="J860" s="87"/>
      <c r="O860" s="84"/>
      <c r="Q860" s="87"/>
      <c r="S860" s="87"/>
      <c r="T860" s="87"/>
      <c r="U860" s="87"/>
      <c r="V860" s="87"/>
      <c r="W860" s="87"/>
      <c r="X860" s="87"/>
      <c r="Y860" s="87"/>
      <c r="Z860" s="87"/>
      <c r="AA860" s="87"/>
      <c r="AB860" s="87"/>
      <c r="AC860" s="87"/>
      <c r="AD860" s="87"/>
      <c r="AE860" s="87"/>
      <c r="AF860" s="87"/>
      <c r="AG860" s="87"/>
      <c r="AH860" s="87"/>
      <c r="AI860" s="87"/>
      <c r="AJ860" s="87"/>
      <c r="AK860" s="87"/>
      <c r="AL860" s="87"/>
    </row>
    <row r="861" spans="10:38" ht="15.75" customHeight="1">
      <c r="J861" s="87"/>
      <c r="O861" s="84"/>
      <c r="Q861" s="87"/>
      <c r="S861" s="87"/>
      <c r="T861" s="87"/>
      <c r="U861" s="87"/>
      <c r="V861" s="87"/>
      <c r="W861" s="87"/>
      <c r="X861" s="87"/>
      <c r="Y861" s="87"/>
      <c r="Z861" s="87"/>
      <c r="AA861" s="87"/>
      <c r="AB861" s="87"/>
      <c r="AC861" s="87"/>
      <c r="AD861" s="87"/>
      <c r="AE861" s="87"/>
      <c r="AF861" s="87"/>
      <c r="AG861" s="87"/>
      <c r="AH861" s="87"/>
      <c r="AI861" s="87"/>
      <c r="AJ861" s="87"/>
      <c r="AK861" s="87"/>
      <c r="AL861" s="87"/>
    </row>
    <row r="862" spans="10:38" ht="15.75" customHeight="1">
      <c r="J862" s="87"/>
      <c r="O862" s="84"/>
      <c r="Q862" s="87"/>
      <c r="S862" s="87"/>
      <c r="T862" s="87"/>
      <c r="U862" s="87"/>
      <c r="V862" s="87"/>
      <c r="W862" s="87"/>
      <c r="X862" s="87"/>
      <c r="Y862" s="87"/>
      <c r="Z862" s="87"/>
      <c r="AA862" s="87"/>
      <c r="AB862" s="87"/>
      <c r="AC862" s="87"/>
      <c r="AD862" s="87"/>
      <c r="AE862" s="87"/>
      <c r="AF862" s="87"/>
      <c r="AG862" s="87"/>
      <c r="AH862" s="87"/>
      <c r="AI862" s="87"/>
      <c r="AJ862" s="87"/>
      <c r="AK862" s="87"/>
      <c r="AL862" s="87"/>
    </row>
    <row r="863" spans="10:38" ht="15.75" customHeight="1">
      <c r="J863" s="87"/>
      <c r="O863" s="84"/>
      <c r="Q863" s="87"/>
      <c r="S863" s="87"/>
      <c r="T863" s="87"/>
      <c r="U863" s="87"/>
      <c r="V863" s="87"/>
      <c r="W863" s="87"/>
      <c r="X863" s="87"/>
      <c r="Y863" s="87"/>
      <c r="Z863" s="87"/>
      <c r="AA863" s="87"/>
      <c r="AB863" s="87"/>
      <c r="AC863" s="87"/>
      <c r="AD863" s="87"/>
      <c r="AE863" s="87"/>
      <c r="AF863" s="87"/>
      <c r="AG863" s="87"/>
      <c r="AH863" s="87"/>
      <c r="AI863" s="87"/>
      <c r="AJ863" s="87"/>
      <c r="AK863" s="87"/>
      <c r="AL863" s="87"/>
    </row>
    <row r="864" spans="10:38" ht="15.75" customHeight="1">
      <c r="J864" s="87"/>
      <c r="O864" s="84"/>
      <c r="Q864" s="87"/>
      <c r="S864" s="87"/>
      <c r="T864" s="87"/>
      <c r="U864" s="87"/>
      <c r="V864" s="87"/>
      <c r="W864" s="87"/>
      <c r="X864" s="87"/>
      <c r="Y864" s="87"/>
      <c r="Z864" s="87"/>
      <c r="AA864" s="87"/>
      <c r="AB864" s="87"/>
      <c r="AC864" s="87"/>
      <c r="AD864" s="87"/>
      <c r="AE864" s="87"/>
      <c r="AF864" s="87"/>
      <c r="AG864" s="87"/>
      <c r="AH864" s="87"/>
      <c r="AI864" s="87"/>
      <c r="AJ864" s="87"/>
      <c r="AK864" s="87"/>
      <c r="AL864" s="87"/>
    </row>
    <row r="865" spans="10:38" ht="15.75" customHeight="1">
      <c r="J865" s="87"/>
      <c r="O865" s="84"/>
      <c r="Q865" s="87"/>
      <c r="S865" s="87"/>
      <c r="T865" s="87"/>
      <c r="U865" s="87"/>
      <c r="V865" s="87"/>
      <c r="W865" s="87"/>
      <c r="X865" s="87"/>
      <c r="Y865" s="87"/>
      <c r="Z865" s="87"/>
      <c r="AA865" s="87"/>
      <c r="AB865" s="87"/>
      <c r="AC865" s="87"/>
      <c r="AD865" s="87"/>
      <c r="AE865" s="87"/>
      <c r="AF865" s="87"/>
      <c r="AG865" s="87"/>
      <c r="AH865" s="87"/>
      <c r="AI865" s="87"/>
      <c r="AJ865" s="87"/>
      <c r="AK865" s="87"/>
      <c r="AL865" s="87"/>
    </row>
    <row r="866" spans="10:38" ht="15.75" customHeight="1">
      <c r="J866" s="87"/>
      <c r="O866" s="84"/>
      <c r="Q866" s="87"/>
      <c r="S866" s="87"/>
      <c r="T866" s="87"/>
      <c r="U866" s="87"/>
      <c r="V866" s="87"/>
      <c r="W866" s="87"/>
      <c r="X866" s="87"/>
      <c r="Y866" s="87"/>
      <c r="Z866" s="87"/>
      <c r="AA866" s="87"/>
      <c r="AB866" s="87"/>
      <c r="AC866" s="87"/>
      <c r="AD866" s="87"/>
      <c r="AE866" s="87"/>
      <c r="AF866" s="87"/>
      <c r="AG866" s="87"/>
      <c r="AH866" s="87"/>
      <c r="AI866" s="87"/>
      <c r="AJ866" s="87"/>
      <c r="AK866" s="87"/>
      <c r="AL866" s="87"/>
    </row>
    <row r="867" spans="10:38" ht="15.75" customHeight="1">
      <c r="J867" s="87"/>
      <c r="O867" s="84"/>
      <c r="Q867" s="87"/>
      <c r="S867" s="87"/>
      <c r="T867" s="87"/>
      <c r="U867" s="87"/>
      <c r="V867" s="87"/>
      <c r="W867" s="87"/>
      <c r="X867" s="87"/>
      <c r="Y867" s="87"/>
      <c r="Z867" s="87"/>
      <c r="AA867" s="87"/>
      <c r="AB867" s="87"/>
      <c r="AC867" s="87"/>
      <c r="AD867" s="87"/>
      <c r="AE867" s="87"/>
      <c r="AF867" s="87"/>
      <c r="AG867" s="87"/>
      <c r="AH867" s="87"/>
      <c r="AI867" s="87"/>
      <c r="AJ867" s="87"/>
      <c r="AK867" s="87"/>
      <c r="AL867" s="87"/>
    </row>
    <row r="868" spans="10:38" ht="15.75" customHeight="1">
      <c r="J868" s="87"/>
      <c r="O868" s="84"/>
      <c r="Q868" s="87"/>
      <c r="S868" s="87"/>
      <c r="T868" s="87"/>
      <c r="U868" s="87"/>
      <c r="V868" s="87"/>
      <c r="W868" s="87"/>
      <c r="X868" s="87"/>
      <c r="Y868" s="87"/>
      <c r="Z868" s="87"/>
      <c r="AA868" s="87"/>
      <c r="AB868" s="87"/>
      <c r="AC868" s="87"/>
      <c r="AD868" s="87"/>
      <c r="AE868" s="87"/>
      <c r="AF868" s="87"/>
      <c r="AG868" s="87"/>
      <c r="AH868" s="87"/>
      <c r="AI868" s="87"/>
      <c r="AJ868" s="87"/>
      <c r="AK868" s="87"/>
      <c r="AL868" s="87"/>
    </row>
    <row r="869" spans="10:38" ht="15.75" customHeight="1">
      <c r="J869" s="87"/>
      <c r="O869" s="84"/>
      <c r="Q869" s="87"/>
      <c r="S869" s="87"/>
      <c r="T869" s="87"/>
      <c r="U869" s="87"/>
      <c r="V869" s="87"/>
      <c r="W869" s="87"/>
      <c r="X869" s="87"/>
      <c r="Y869" s="87"/>
      <c r="Z869" s="87"/>
      <c r="AA869" s="87"/>
      <c r="AB869" s="87"/>
      <c r="AC869" s="87"/>
      <c r="AD869" s="87"/>
      <c r="AE869" s="87"/>
      <c r="AF869" s="87"/>
      <c r="AG869" s="87"/>
      <c r="AH869" s="87"/>
      <c r="AI869" s="87"/>
      <c r="AJ869" s="87"/>
      <c r="AK869" s="87"/>
      <c r="AL869" s="87"/>
    </row>
    <row r="870" spans="10:38" ht="15.75" customHeight="1">
      <c r="J870" s="87"/>
      <c r="O870" s="84"/>
      <c r="Q870" s="87"/>
      <c r="S870" s="87"/>
      <c r="T870" s="87"/>
      <c r="U870" s="87"/>
      <c r="V870" s="87"/>
      <c r="W870" s="87"/>
      <c r="X870" s="87"/>
      <c r="Y870" s="87"/>
      <c r="Z870" s="87"/>
      <c r="AA870" s="87"/>
      <c r="AB870" s="87"/>
      <c r="AC870" s="87"/>
      <c r="AD870" s="87"/>
      <c r="AE870" s="87"/>
      <c r="AF870" s="87"/>
      <c r="AG870" s="87"/>
      <c r="AH870" s="87"/>
      <c r="AI870" s="87"/>
      <c r="AJ870" s="87"/>
      <c r="AK870" s="87"/>
      <c r="AL870" s="87"/>
    </row>
    <row r="871" spans="10:38" ht="15.75" customHeight="1">
      <c r="J871" s="87"/>
      <c r="O871" s="84"/>
      <c r="Q871" s="87"/>
      <c r="S871" s="87"/>
      <c r="T871" s="87"/>
      <c r="U871" s="87"/>
      <c r="V871" s="87"/>
      <c r="W871" s="87"/>
      <c r="X871" s="87"/>
      <c r="Y871" s="87"/>
      <c r="Z871" s="87"/>
      <c r="AA871" s="87"/>
      <c r="AB871" s="87"/>
      <c r="AC871" s="87"/>
      <c r="AD871" s="87"/>
      <c r="AE871" s="87"/>
      <c r="AF871" s="87"/>
      <c r="AG871" s="87"/>
      <c r="AH871" s="87"/>
      <c r="AI871" s="87"/>
      <c r="AJ871" s="87"/>
      <c r="AK871" s="87"/>
      <c r="AL871" s="87"/>
    </row>
    <row r="872" spans="10:38" ht="15.75" customHeight="1">
      <c r="J872" s="87"/>
      <c r="O872" s="84"/>
      <c r="Q872" s="87"/>
      <c r="S872" s="87"/>
      <c r="T872" s="87"/>
      <c r="U872" s="87"/>
      <c r="V872" s="87"/>
      <c r="W872" s="87"/>
      <c r="X872" s="87"/>
      <c r="Y872" s="87"/>
      <c r="Z872" s="87"/>
      <c r="AA872" s="87"/>
      <c r="AB872" s="87"/>
      <c r="AC872" s="87"/>
      <c r="AD872" s="87"/>
      <c r="AE872" s="87"/>
      <c r="AF872" s="87"/>
      <c r="AG872" s="87"/>
      <c r="AH872" s="87"/>
      <c r="AI872" s="87"/>
      <c r="AJ872" s="87"/>
      <c r="AK872" s="87"/>
      <c r="AL872" s="87"/>
    </row>
    <row r="873" spans="10:38" ht="15.75" customHeight="1">
      <c r="J873" s="87"/>
      <c r="O873" s="84"/>
      <c r="Q873" s="87"/>
      <c r="S873" s="87"/>
      <c r="T873" s="87"/>
      <c r="U873" s="87"/>
      <c r="V873" s="87"/>
      <c r="W873" s="87"/>
      <c r="X873" s="87"/>
      <c r="Y873" s="87"/>
      <c r="Z873" s="87"/>
      <c r="AA873" s="87"/>
      <c r="AB873" s="87"/>
      <c r="AC873" s="87"/>
      <c r="AD873" s="87"/>
      <c r="AE873" s="87"/>
      <c r="AF873" s="87"/>
      <c r="AG873" s="87"/>
      <c r="AH873" s="87"/>
      <c r="AI873" s="87"/>
      <c r="AJ873" s="87"/>
      <c r="AK873" s="87"/>
      <c r="AL873" s="87"/>
    </row>
    <row r="874" spans="10:38" ht="15.75" customHeight="1">
      <c r="J874" s="87"/>
      <c r="O874" s="84"/>
      <c r="Q874" s="87"/>
      <c r="S874" s="87"/>
      <c r="T874" s="87"/>
      <c r="U874" s="87"/>
      <c r="V874" s="87"/>
      <c r="W874" s="87"/>
      <c r="X874" s="87"/>
      <c r="Y874" s="87"/>
      <c r="Z874" s="87"/>
      <c r="AA874" s="87"/>
      <c r="AB874" s="87"/>
      <c r="AC874" s="87"/>
      <c r="AD874" s="87"/>
      <c r="AE874" s="87"/>
      <c r="AF874" s="87"/>
      <c r="AG874" s="87"/>
      <c r="AH874" s="87"/>
      <c r="AI874" s="87"/>
      <c r="AJ874" s="87"/>
      <c r="AK874" s="87"/>
      <c r="AL874" s="87"/>
    </row>
    <row r="875" spans="10:38" ht="15.75" customHeight="1">
      <c r="J875" s="87"/>
      <c r="O875" s="84"/>
      <c r="Q875" s="87"/>
      <c r="S875" s="87"/>
      <c r="T875" s="87"/>
      <c r="U875" s="87"/>
      <c r="V875" s="87"/>
      <c r="W875" s="87"/>
      <c r="X875" s="87"/>
      <c r="Y875" s="87"/>
      <c r="Z875" s="87"/>
      <c r="AA875" s="87"/>
      <c r="AB875" s="87"/>
      <c r="AC875" s="87"/>
      <c r="AD875" s="87"/>
      <c r="AE875" s="87"/>
      <c r="AF875" s="87"/>
      <c r="AG875" s="87"/>
      <c r="AH875" s="87"/>
      <c r="AI875" s="87"/>
      <c r="AJ875" s="87"/>
      <c r="AK875" s="87"/>
      <c r="AL875" s="87"/>
    </row>
    <row r="876" spans="10:38" ht="15.75" customHeight="1">
      <c r="J876" s="87"/>
      <c r="O876" s="84"/>
      <c r="Q876" s="87"/>
      <c r="S876" s="87"/>
      <c r="T876" s="87"/>
      <c r="U876" s="87"/>
      <c r="V876" s="87"/>
      <c r="W876" s="87"/>
      <c r="X876" s="87"/>
      <c r="Y876" s="87"/>
      <c r="Z876" s="87"/>
      <c r="AA876" s="87"/>
      <c r="AB876" s="87"/>
      <c r="AC876" s="87"/>
      <c r="AD876" s="87"/>
      <c r="AE876" s="87"/>
      <c r="AF876" s="87"/>
      <c r="AG876" s="87"/>
      <c r="AH876" s="87"/>
      <c r="AI876" s="87"/>
      <c r="AJ876" s="87"/>
      <c r="AK876" s="87"/>
      <c r="AL876" s="87"/>
    </row>
    <row r="877" spans="10:38" ht="15.75" customHeight="1">
      <c r="J877" s="87"/>
      <c r="O877" s="84"/>
      <c r="Q877" s="87"/>
      <c r="S877" s="87"/>
      <c r="T877" s="87"/>
      <c r="U877" s="87"/>
      <c r="V877" s="87"/>
      <c r="W877" s="87"/>
      <c r="X877" s="87"/>
      <c r="Y877" s="87"/>
      <c r="Z877" s="87"/>
      <c r="AA877" s="87"/>
      <c r="AB877" s="87"/>
      <c r="AC877" s="87"/>
      <c r="AD877" s="87"/>
      <c r="AE877" s="87"/>
      <c r="AF877" s="87"/>
      <c r="AG877" s="87"/>
      <c r="AH877" s="87"/>
      <c r="AI877" s="87"/>
      <c r="AJ877" s="87"/>
      <c r="AK877" s="87"/>
      <c r="AL877" s="87"/>
    </row>
    <row r="878" spans="10:38" ht="15.75" customHeight="1">
      <c r="J878" s="87"/>
      <c r="O878" s="84"/>
      <c r="Q878" s="87"/>
      <c r="S878" s="87"/>
      <c r="T878" s="87"/>
      <c r="U878" s="87"/>
      <c r="V878" s="87"/>
      <c r="W878" s="87"/>
      <c r="X878" s="87"/>
      <c r="Y878" s="87"/>
      <c r="Z878" s="87"/>
      <c r="AA878" s="87"/>
      <c r="AB878" s="87"/>
      <c r="AC878" s="87"/>
      <c r="AD878" s="87"/>
      <c r="AE878" s="87"/>
      <c r="AF878" s="87"/>
      <c r="AG878" s="87"/>
      <c r="AH878" s="87"/>
      <c r="AI878" s="87"/>
      <c r="AJ878" s="87"/>
      <c r="AK878" s="87"/>
      <c r="AL878" s="87"/>
    </row>
    <row r="879" spans="10:38" ht="15.75" customHeight="1">
      <c r="J879" s="87"/>
      <c r="O879" s="84"/>
      <c r="Q879" s="87"/>
      <c r="S879" s="87"/>
      <c r="T879" s="87"/>
      <c r="U879" s="87"/>
      <c r="V879" s="87"/>
      <c r="W879" s="87"/>
      <c r="X879" s="87"/>
      <c r="Y879" s="87"/>
      <c r="Z879" s="87"/>
      <c r="AA879" s="87"/>
      <c r="AB879" s="87"/>
      <c r="AC879" s="87"/>
      <c r="AD879" s="87"/>
      <c r="AE879" s="87"/>
      <c r="AF879" s="87"/>
      <c r="AG879" s="87"/>
      <c r="AH879" s="87"/>
      <c r="AI879" s="87"/>
      <c r="AJ879" s="87"/>
      <c r="AK879" s="87"/>
      <c r="AL879" s="87"/>
    </row>
    <row r="880" spans="10:38" ht="15.75" customHeight="1">
      <c r="J880" s="87"/>
      <c r="O880" s="84"/>
      <c r="Q880" s="87"/>
      <c r="S880" s="87"/>
      <c r="T880" s="87"/>
      <c r="U880" s="87"/>
      <c r="V880" s="87"/>
      <c r="W880" s="87"/>
      <c r="X880" s="87"/>
      <c r="Y880" s="87"/>
      <c r="Z880" s="87"/>
      <c r="AA880" s="87"/>
      <c r="AB880" s="87"/>
      <c r="AC880" s="87"/>
      <c r="AD880" s="87"/>
      <c r="AE880" s="87"/>
      <c r="AF880" s="87"/>
      <c r="AG880" s="87"/>
      <c r="AH880" s="87"/>
      <c r="AI880" s="87"/>
      <c r="AJ880" s="87"/>
      <c r="AK880" s="87"/>
      <c r="AL880" s="87"/>
    </row>
    <row r="881" spans="10:38" ht="15.75" customHeight="1">
      <c r="J881" s="87"/>
      <c r="O881" s="84"/>
      <c r="Q881" s="87"/>
      <c r="S881" s="87"/>
      <c r="T881" s="87"/>
      <c r="U881" s="87"/>
      <c r="V881" s="87"/>
      <c r="W881" s="87"/>
      <c r="X881" s="87"/>
      <c r="Y881" s="87"/>
      <c r="Z881" s="87"/>
      <c r="AA881" s="87"/>
      <c r="AB881" s="87"/>
      <c r="AC881" s="87"/>
      <c r="AD881" s="87"/>
      <c r="AE881" s="87"/>
      <c r="AF881" s="87"/>
      <c r="AG881" s="87"/>
      <c r="AH881" s="87"/>
      <c r="AI881" s="87"/>
      <c r="AJ881" s="87"/>
      <c r="AK881" s="87"/>
      <c r="AL881" s="87"/>
    </row>
    <row r="882" spans="10:38" ht="15.75" customHeight="1">
      <c r="J882" s="87"/>
      <c r="O882" s="84"/>
      <c r="Q882" s="87"/>
      <c r="S882" s="87"/>
      <c r="T882" s="87"/>
      <c r="U882" s="87"/>
      <c r="V882" s="87"/>
      <c r="W882" s="87"/>
      <c r="X882" s="87"/>
      <c r="Y882" s="87"/>
      <c r="Z882" s="87"/>
      <c r="AA882" s="87"/>
      <c r="AB882" s="87"/>
      <c r="AC882" s="87"/>
      <c r="AD882" s="87"/>
      <c r="AE882" s="87"/>
      <c r="AF882" s="87"/>
      <c r="AG882" s="87"/>
      <c r="AH882" s="87"/>
      <c r="AI882" s="87"/>
      <c r="AJ882" s="87"/>
      <c r="AK882" s="87"/>
      <c r="AL882" s="87"/>
    </row>
    <row r="883" spans="10:38" ht="15.75" customHeight="1">
      <c r="J883" s="87"/>
      <c r="O883" s="84"/>
      <c r="Q883" s="87"/>
      <c r="S883" s="87"/>
      <c r="T883" s="87"/>
      <c r="U883" s="87"/>
      <c r="V883" s="87"/>
      <c r="W883" s="87"/>
      <c r="X883" s="87"/>
      <c r="Y883" s="87"/>
      <c r="Z883" s="87"/>
      <c r="AA883" s="87"/>
      <c r="AB883" s="87"/>
      <c r="AC883" s="87"/>
      <c r="AD883" s="87"/>
      <c r="AE883" s="87"/>
      <c r="AF883" s="87"/>
      <c r="AG883" s="87"/>
      <c r="AH883" s="87"/>
      <c r="AI883" s="87"/>
      <c r="AJ883" s="87"/>
      <c r="AK883" s="87"/>
      <c r="AL883" s="87"/>
    </row>
    <row r="884" spans="10:38" ht="15.75" customHeight="1">
      <c r="J884" s="87"/>
      <c r="O884" s="84"/>
      <c r="Q884" s="87"/>
      <c r="S884" s="87"/>
      <c r="T884" s="87"/>
      <c r="U884" s="87"/>
      <c r="V884" s="87"/>
      <c r="W884" s="87"/>
      <c r="X884" s="87"/>
      <c r="Y884" s="87"/>
      <c r="Z884" s="87"/>
      <c r="AA884" s="87"/>
      <c r="AB884" s="87"/>
      <c r="AC884" s="87"/>
      <c r="AD884" s="87"/>
      <c r="AE884" s="87"/>
      <c r="AF884" s="87"/>
      <c r="AG884" s="87"/>
      <c r="AH884" s="87"/>
      <c r="AI884" s="87"/>
      <c r="AJ884" s="87"/>
      <c r="AK884" s="87"/>
      <c r="AL884" s="87"/>
    </row>
    <row r="885" spans="10:38" ht="15.75" customHeight="1">
      <c r="J885" s="87"/>
      <c r="O885" s="84"/>
      <c r="Q885" s="87"/>
      <c r="S885" s="87"/>
      <c r="T885" s="87"/>
      <c r="U885" s="87"/>
      <c r="V885" s="87"/>
      <c r="W885" s="87"/>
      <c r="X885" s="87"/>
      <c r="Y885" s="87"/>
      <c r="Z885" s="87"/>
      <c r="AA885" s="87"/>
      <c r="AB885" s="87"/>
      <c r="AC885" s="87"/>
      <c r="AD885" s="87"/>
      <c r="AE885" s="87"/>
      <c r="AF885" s="87"/>
      <c r="AG885" s="87"/>
      <c r="AH885" s="87"/>
      <c r="AI885" s="87"/>
      <c r="AJ885" s="87"/>
      <c r="AK885" s="87"/>
      <c r="AL885" s="87"/>
    </row>
    <row r="886" spans="10:38" ht="15.75" customHeight="1">
      <c r="J886" s="87"/>
      <c r="O886" s="84"/>
      <c r="Q886" s="87"/>
      <c r="S886" s="87"/>
      <c r="T886" s="87"/>
      <c r="U886" s="87"/>
      <c r="V886" s="87"/>
      <c r="W886" s="87"/>
      <c r="X886" s="87"/>
      <c r="Y886" s="87"/>
      <c r="Z886" s="87"/>
      <c r="AA886" s="87"/>
      <c r="AB886" s="87"/>
      <c r="AC886" s="87"/>
      <c r="AD886" s="87"/>
      <c r="AE886" s="87"/>
      <c r="AF886" s="87"/>
      <c r="AG886" s="87"/>
      <c r="AH886" s="87"/>
      <c r="AI886" s="87"/>
      <c r="AJ886" s="87"/>
      <c r="AK886" s="87"/>
      <c r="AL886" s="87"/>
    </row>
    <row r="887" spans="10:38" ht="15.75" customHeight="1">
      <c r="J887" s="87"/>
      <c r="O887" s="84"/>
      <c r="Q887" s="87"/>
      <c r="S887" s="87"/>
      <c r="T887" s="87"/>
      <c r="U887" s="87"/>
      <c r="V887" s="87"/>
      <c r="W887" s="87"/>
      <c r="X887" s="87"/>
      <c r="Y887" s="87"/>
      <c r="Z887" s="87"/>
      <c r="AA887" s="87"/>
      <c r="AB887" s="87"/>
      <c r="AC887" s="87"/>
      <c r="AD887" s="87"/>
      <c r="AE887" s="87"/>
      <c r="AF887" s="87"/>
      <c r="AG887" s="87"/>
      <c r="AH887" s="87"/>
      <c r="AI887" s="87"/>
      <c r="AJ887" s="87"/>
      <c r="AK887" s="87"/>
      <c r="AL887" s="87"/>
    </row>
    <row r="888" spans="10:38" ht="15.75" customHeight="1">
      <c r="J888" s="87"/>
      <c r="O888" s="84"/>
      <c r="Q888" s="87"/>
      <c r="S888" s="87"/>
      <c r="T888" s="87"/>
      <c r="U888" s="87"/>
      <c r="V888" s="87"/>
      <c r="W888" s="87"/>
      <c r="X888" s="87"/>
      <c r="Y888" s="87"/>
      <c r="Z888" s="87"/>
      <c r="AA888" s="87"/>
      <c r="AB888" s="87"/>
      <c r="AC888" s="87"/>
      <c r="AD888" s="87"/>
      <c r="AE888" s="87"/>
      <c r="AF888" s="87"/>
      <c r="AG888" s="87"/>
      <c r="AH888" s="87"/>
      <c r="AI888" s="87"/>
      <c r="AJ888" s="87"/>
      <c r="AK888" s="87"/>
      <c r="AL888" s="87"/>
    </row>
    <row r="889" spans="10:38" ht="15.75" customHeight="1">
      <c r="J889" s="87"/>
      <c r="O889" s="84"/>
      <c r="Q889" s="87"/>
      <c r="S889" s="87"/>
      <c r="T889" s="87"/>
      <c r="U889" s="87"/>
      <c r="V889" s="87"/>
      <c r="W889" s="87"/>
      <c r="X889" s="87"/>
      <c r="Y889" s="87"/>
      <c r="Z889" s="87"/>
      <c r="AA889" s="87"/>
      <c r="AB889" s="87"/>
      <c r="AC889" s="87"/>
      <c r="AD889" s="87"/>
      <c r="AE889" s="87"/>
      <c r="AF889" s="87"/>
      <c r="AG889" s="87"/>
      <c r="AH889" s="87"/>
      <c r="AI889" s="87"/>
      <c r="AJ889" s="87"/>
      <c r="AK889" s="87"/>
      <c r="AL889" s="87"/>
    </row>
    <row r="890" spans="10:38" ht="15.75" customHeight="1">
      <c r="J890" s="87"/>
      <c r="O890" s="84"/>
      <c r="Q890" s="87"/>
      <c r="S890" s="87"/>
      <c r="T890" s="87"/>
      <c r="U890" s="87"/>
      <c r="V890" s="87"/>
      <c r="W890" s="87"/>
      <c r="X890" s="87"/>
      <c r="Y890" s="87"/>
      <c r="Z890" s="87"/>
      <c r="AA890" s="87"/>
      <c r="AB890" s="87"/>
      <c r="AC890" s="87"/>
      <c r="AD890" s="87"/>
      <c r="AE890" s="87"/>
      <c r="AF890" s="87"/>
      <c r="AG890" s="87"/>
      <c r="AH890" s="87"/>
      <c r="AI890" s="87"/>
      <c r="AJ890" s="87"/>
      <c r="AK890" s="87"/>
      <c r="AL890" s="87"/>
    </row>
    <row r="891" spans="10:38" ht="15.75" customHeight="1">
      <c r="J891" s="87"/>
      <c r="O891" s="84"/>
      <c r="Q891" s="87"/>
      <c r="S891" s="87"/>
      <c r="T891" s="87"/>
      <c r="U891" s="87"/>
      <c r="V891" s="87"/>
      <c r="W891" s="87"/>
      <c r="X891" s="87"/>
      <c r="Y891" s="87"/>
      <c r="Z891" s="87"/>
      <c r="AA891" s="87"/>
      <c r="AB891" s="87"/>
      <c r="AC891" s="87"/>
      <c r="AD891" s="87"/>
      <c r="AE891" s="87"/>
      <c r="AF891" s="87"/>
      <c r="AG891" s="87"/>
      <c r="AH891" s="87"/>
      <c r="AI891" s="87"/>
      <c r="AJ891" s="87"/>
      <c r="AK891" s="87"/>
      <c r="AL891" s="87"/>
    </row>
    <row r="892" spans="10:38" ht="15.75" customHeight="1">
      <c r="J892" s="87"/>
      <c r="O892" s="84"/>
      <c r="Q892" s="87"/>
      <c r="S892" s="87"/>
      <c r="T892" s="87"/>
      <c r="U892" s="87"/>
      <c r="V892" s="87"/>
      <c r="W892" s="87"/>
      <c r="X892" s="87"/>
      <c r="Y892" s="87"/>
      <c r="Z892" s="87"/>
      <c r="AA892" s="87"/>
      <c r="AB892" s="87"/>
      <c r="AC892" s="87"/>
      <c r="AD892" s="87"/>
      <c r="AE892" s="87"/>
      <c r="AF892" s="87"/>
      <c r="AG892" s="87"/>
      <c r="AH892" s="87"/>
      <c r="AI892" s="87"/>
      <c r="AJ892" s="87"/>
      <c r="AK892" s="87"/>
      <c r="AL892" s="87"/>
    </row>
    <row r="893" spans="10:38" ht="15.75" customHeight="1">
      <c r="J893" s="87"/>
      <c r="O893" s="84"/>
      <c r="Q893" s="87"/>
      <c r="S893" s="87"/>
      <c r="T893" s="87"/>
      <c r="U893" s="87"/>
      <c r="V893" s="87"/>
      <c r="W893" s="87"/>
      <c r="X893" s="87"/>
      <c r="Y893" s="87"/>
      <c r="Z893" s="87"/>
      <c r="AA893" s="87"/>
      <c r="AB893" s="87"/>
      <c r="AC893" s="87"/>
      <c r="AD893" s="87"/>
      <c r="AE893" s="87"/>
      <c r="AF893" s="87"/>
      <c r="AG893" s="87"/>
      <c r="AH893" s="87"/>
      <c r="AI893" s="87"/>
      <c r="AJ893" s="87"/>
      <c r="AK893" s="87"/>
      <c r="AL893" s="87"/>
    </row>
    <row r="894" spans="10:38" ht="15.75" customHeight="1">
      <c r="J894" s="87"/>
      <c r="O894" s="84"/>
      <c r="Q894" s="87"/>
      <c r="S894" s="87"/>
      <c r="T894" s="87"/>
      <c r="U894" s="87"/>
      <c r="V894" s="87"/>
      <c r="W894" s="87"/>
      <c r="X894" s="87"/>
      <c r="Y894" s="87"/>
      <c r="Z894" s="87"/>
      <c r="AA894" s="87"/>
      <c r="AB894" s="87"/>
      <c r="AC894" s="87"/>
      <c r="AD894" s="87"/>
      <c r="AE894" s="87"/>
      <c r="AF894" s="87"/>
      <c r="AG894" s="87"/>
      <c r="AH894" s="87"/>
      <c r="AI894" s="87"/>
      <c r="AJ894" s="87"/>
      <c r="AK894" s="87"/>
      <c r="AL894" s="87"/>
    </row>
    <row r="895" spans="10:38" ht="15.75" customHeight="1">
      <c r="J895" s="87"/>
      <c r="O895" s="84"/>
      <c r="Q895" s="87"/>
      <c r="S895" s="87"/>
      <c r="T895" s="87"/>
      <c r="U895" s="87"/>
      <c r="V895" s="87"/>
      <c r="W895" s="87"/>
      <c r="X895" s="87"/>
      <c r="Y895" s="87"/>
      <c r="Z895" s="87"/>
      <c r="AA895" s="87"/>
      <c r="AB895" s="87"/>
      <c r="AC895" s="87"/>
      <c r="AD895" s="87"/>
      <c r="AE895" s="87"/>
      <c r="AF895" s="87"/>
      <c r="AG895" s="87"/>
      <c r="AH895" s="87"/>
      <c r="AI895" s="87"/>
      <c r="AJ895" s="87"/>
      <c r="AK895" s="87"/>
      <c r="AL895" s="87"/>
    </row>
    <row r="896" spans="10:38" ht="15.75" customHeight="1">
      <c r="J896" s="87"/>
      <c r="O896" s="84"/>
      <c r="Q896" s="87"/>
      <c r="S896" s="87"/>
      <c r="T896" s="87"/>
      <c r="U896" s="87"/>
      <c r="V896" s="87"/>
      <c r="W896" s="87"/>
      <c r="X896" s="87"/>
      <c r="Y896" s="87"/>
      <c r="Z896" s="87"/>
      <c r="AA896" s="87"/>
      <c r="AB896" s="87"/>
      <c r="AC896" s="87"/>
      <c r="AD896" s="87"/>
      <c r="AE896" s="87"/>
      <c r="AF896" s="87"/>
      <c r="AG896" s="87"/>
      <c r="AH896" s="87"/>
      <c r="AI896" s="87"/>
      <c r="AJ896" s="87"/>
      <c r="AK896" s="87"/>
      <c r="AL896" s="87"/>
    </row>
    <row r="897" spans="10:38" ht="15.75" customHeight="1">
      <c r="J897" s="87"/>
      <c r="O897" s="84"/>
      <c r="Q897" s="87"/>
      <c r="S897" s="87"/>
      <c r="T897" s="87"/>
      <c r="U897" s="87"/>
      <c r="V897" s="87"/>
      <c r="W897" s="87"/>
      <c r="X897" s="87"/>
      <c r="Y897" s="87"/>
      <c r="Z897" s="87"/>
      <c r="AA897" s="87"/>
      <c r="AB897" s="87"/>
      <c r="AC897" s="87"/>
      <c r="AD897" s="87"/>
      <c r="AE897" s="87"/>
      <c r="AF897" s="87"/>
      <c r="AG897" s="87"/>
      <c r="AH897" s="87"/>
      <c r="AI897" s="87"/>
      <c r="AJ897" s="87"/>
      <c r="AK897" s="87"/>
      <c r="AL897" s="87"/>
    </row>
    <row r="898" spans="10:38" ht="15.75" customHeight="1">
      <c r="J898" s="87"/>
      <c r="O898" s="84"/>
      <c r="Q898" s="87"/>
      <c r="S898" s="87"/>
      <c r="T898" s="87"/>
      <c r="U898" s="87"/>
      <c r="V898" s="87"/>
      <c r="W898" s="87"/>
      <c r="X898" s="87"/>
      <c r="Y898" s="87"/>
      <c r="Z898" s="87"/>
      <c r="AA898" s="87"/>
      <c r="AB898" s="87"/>
      <c r="AC898" s="87"/>
      <c r="AD898" s="87"/>
      <c r="AE898" s="87"/>
      <c r="AF898" s="87"/>
      <c r="AG898" s="87"/>
      <c r="AH898" s="87"/>
      <c r="AI898" s="87"/>
      <c r="AJ898" s="87"/>
      <c r="AK898" s="87"/>
      <c r="AL898" s="87"/>
    </row>
    <row r="899" spans="10:38" ht="15.75" customHeight="1">
      <c r="J899" s="87"/>
      <c r="O899" s="84"/>
      <c r="Q899" s="87"/>
      <c r="S899" s="87"/>
      <c r="T899" s="87"/>
      <c r="U899" s="87"/>
      <c r="V899" s="87"/>
      <c r="W899" s="87"/>
      <c r="X899" s="87"/>
      <c r="Y899" s="87"/>
      <c r="Z899" s="87"/>
      <c r="AA899" s="87"/>
      <c r="AB899" s="87"/>
      <c r="AC899" s="87"/>
      <c r="AD899" s="87"/>
      <c r="AE899" s="87"/>
      <c r="AF899" s="87"/>
      <c r="AG899" s="87"/>
      <c r="AH899" s="87"/>
      <c r="AI899" s="87"/>
      <c r="AJ899" s="87"/>
      <c r="AK899" s="87"/>
      <c r="AL899" s="87"/>
    </row>
    <row r="900" spans="10:38" ht="15.75" customHeight="1">
      <c r="J900" s="87"/>
      <c r="O900" s="84"/>
      <c r="Q900" s="87"/>
      <c r="S900" s="87"/>
      <c r="T900" s="87"/>
      <c r="U900" s="87"/>
      <c r="V900" s="87"/>
      <c r="W900" s="87"/>
      <c r="X900" s="87"/>
      <c r="Y900" s="87"/>
      <c r="Z900" s="87"/>
      <c r="AA900" s="87"/>
      <c r="AB900" s="87"/>
      <c r="AC900" s="87"/>
      <c r="AD900" s="87"/>
      <c r="AE900" s="87"/>
      <c r="AF900" s="87"/>
      <c r="AG900" s="87"/>
      <c r="AH900" s="87"/>
      <c r="AI900" s="87"/>
      <c r="AJ900" s="87"/>
      <c r="AK900" s="87"/>
      <c r="AL900" s="87"/>
    </row>
    <row r="901" spans="10:38" ht="15.75" customHeight="1">
      <c r="J901" s="87"/>
      <c r="O901" s="84"/>
      <c r="Q901" s="87"/>
      <c r="S901" s="87"/>
      <c r="T901" s="87"/>
      <c r="U901" s="87"/>
      <c r="V901" s="87"/>
      <c r="W901" s="87"/>
      <c r="X901" s="87"/>
      <c r="Y901" s="87"/>
      <c r="Z901" s="87"/>
      <c r="AA901" s="87"/>
      <c r="AB901" s="87"/>
      <c r="AC901" s="87"/>
      <c r="AD901" s="87"/>
      <c r="AE901" s="87"/>
      <c r="AF901" s="87"/>
      <c r="AG901" s="87"/>
      <c r="AH901" s="87"/>
      <c r="AI901" s="87"/>
      <c r="AJ901" s="87"/>
      <c r="AK901" s="87"/>
      <c r="AL901" s="87"/>
    </row>
    <row r="902" spans="10:38" ht="15.75" customHeight="1">
      <c r="J902" s="87"/>
      <c r="O902" s="84"/>
      <c r="Q902" s="87"/>
      <c r="S902" s="87"/>
      <c r="T902" s="87"/>
      <c r="U902" s="87"/>
      <c r="V902" s="87"/>
      <c r="W902" s="87"/>
      <c r="X902" s="87"/>
      <c r="Y902" s="87"/>
      <c r="Z902" s="87"/>
      <c r="AA902" s="87"/>
      <c r="AB902" s="87"/>
      <c r="AC902" s="87"/>
      <c r="AD902" s="87"/>
      <c r="AE902" s="87"/>
      <c r="AF902" s="87"/>
      <c r="AG902" s="87"/>
      <c r="AH902" s="87"/>
      <c r="AI902" s="87"/>
      <c r="AJ902" s="87"/>
      <c r="AK902" s="87"/>
      <c r="AL902" s="87"/>
    </row>
    <row r="903" spans="10:38" ht="15.75" customHeight="1">
      <c r="J903" s="87"/>
      <c r="O903" s="84"/>
      <c r="Q903" s="87"/>
      <c r="S903" s="87"/>
      <c r="T903" s="87"/>
      <c r="U903" s="87"/>
      <c r="V903" s="87"/>
      <c r="W903" s="87"/>
      <c r="X903" s="87"/>
      <c r="Y903" s="87"/>
      <c r="Z903" s="87"/>
      <c r="AA903" s="87"/>
      <c r="AB903" s="87"/>
      <c r="AC903" s="87"/>
      <c r="AD903" s="87"/>
      <c r="AE903" s="87"/>
      <c r="AF903" s="87"/>
      <c r="AG903" s="87"/>
      <c r="AH903" s="87"/>
      <c r="AI903" s="87"/>
      <c r="AJ903" s="87"/>
      <c r="AK903" s="87"/>
      <c r="AL903" s="87"/>
    </row>
    <row r="904" spans="10:38" ht="15.75" customHeight="1">
      <c r="J904" s="87"/>
      <c r="O904" s="84"/>
      <c r="Q904" s="87"/>
      <c r="S904" s="87"/>
      <c r="T904" s="87"/>
      <c r="U904" s="87"/>
      <c r="V904" s="87"/>
      <c r="W904" s="87"/>
      <c r="X904" s="87"/>
      <c r="Y904" s="87"/>
      <c r="Z904" s="87"/>
      <c r="AA904" s="87"/>
      <c r="AB904" s="87"/>
      <c r="AC904" s="87"/>
      <c r="AD904" s="87"/>
      <c r="AE904" s="87"/>
      <c r="AF904" s="87"/>
      <c r="AG904" s="87"/>
      <c r="AH904" s="87"/>
      <c r="AI904" s="87"/>
      <c r="AJ904" s="87"/>
      <c r="AK904" s="87"/>
      <c r="AL904" s="87"/>
    </row>
    <row r="905" spans="10:38" ht="15.75" customHeight="1">
      <c r="J905" s="87"/>
      <c r="O905" s="84"/>
      <c r="Q905" s="87"/>
      <c r="S905" s="87"/>
      <c r="T905" s="87"/>
      <c r="U905" s="87"/>
      <c r="V905" s="87"/>
      <c r="W905" s="87"/>
      <c r="X905" s="87"/>
      <c r="Y905" s="87"/>
      <c r="Z905" s="87"/>
      <c r="AA905" s="87"/>
      <c r="AB905" s="87"/>
      <c r="AC905" s="87"/>
      <c r="AD905" s="87"/>
      <c r="AE905" s="87"/>
      <c r="AF905" s="87"/>
      <c r="AG905" s="87"/>
      <c r="AH905" s="87"/>
      <c r="AI905" s="87"/>
      <c r="AJ905" s="87"/>
      <c r="AK905" s="87"/>
      <c r="AL905" s="87"/>
    </row>
    <row r="906" spans="10:38" ht="15.75" customHeight="1">
      <c r="J906" s="87"/>
      <c r="O906" s="84"/>
      <c r="Q906" s="87"/>
      <c r="S906" s="87"/>
      <c r="T906" s="87"/>
      <c r="U906" s="87"/>
      <c r="V906" s="87"/>
      <c r="W906" s="87"/>
      <c r="X906" s="87"/>
      <c r="Y906" s="87"/>
      <c r="Z906" s="87"/>
      <c r="AA906" s="87"/>
      <c r="AB906" s="87"/>
      <c r="AC906" s="87"/>
      <c r="AD906" s="87"/>
      <c r="AE906" s="87"/>
      <c r="AF906" s="87"/>
      <c r="AG906" s="87"/>
      <c r="AH906" s="87"/>
      <c r="AI906" s="87"/>
      <c r="AJ906" s="87"/>
      <c r="AK906" s="87"/>
      <c r="AL906" s="87"/>
    </row>
    <row r="907" spans="10:38" ht="15.75" customHeight="1">
      <c r="J907" s="87"/>
      <c r="O907" s="84"/>
      <c r="Q907" s="87"/>
      <c r="S907" s="87"/>
      <c r="T907" s="87"/>
      <c r="U907" s="87"/>
      <c r="V907" s="87"/>
      <c r="W907" s="87"/>
      <c r="X907" s="87"/>
      <c r="Y907" s="87"/>
      <c r="Z907" s="87"/>
      <c r="AA907" s="87"/>
      <c r="AB907" s="87"/>
      <c r="AC907" s="87"/>
      <c r="AD907" s="87"/>
      <c r="AE907" s="87"/>
      <c r="AF907" s="87"/>
      <c r="AG907" s="87"/>
      <c r="AH907" s="87"/>
      <c r="AI907" s="87"/>
      <c r="AJ907" s="87"/>
      <c r="AK907" s="87"/>
      <c r="AL907" s="87"/>
    </row>
    <row r="908" spans="10:38" ht="15.75" customHeight="1">
      <c r="J908" s="87"/>
      <c r="O908" s="84"/>
      <c r="Q908" s="87"/>
      <c r="S908" s="87"/>
      <c r="T908" s="87"/>
      <c r="U908" s="87"/>
      <c r="V908" s="87"/>
      <c r="W908" s="87"/>
      <c r="X908" s="87"/>
      <c r="Y908" s="87"/>
      <c r="Z908" s="87"/>
      <c r="AA908" s="87"/>
      <c r="AB908" s="87"/>
      <c r="AC908" s="87"/>
      <c r="AD908" s="87"/>
      <c r="AE908" s="87"/>
      <c r="AF908" s="87"/>
      <c r="AG908" s="87"/>
      <c r="AH908" s="87"/>
      <c r="AI908" s="87"/>
      <c r="AJ908" s="87"/>
      <c r="AK908" s="87"/>
      <c r="AL908" s="87"/>
    </row>
    <row r="909" spans="10:38" ht="15.75" customHeight="1">
      <c r="J909" s="87"/>
      <c r="O909" s="84"/>
      <c r="Q909" s="87"/>
      <c r="S909" s="87"/>
      <c r="T909" s="87"/>
      <c r="U909" s="87"/>
      <c r="V909" s="87"/>
      <c r="W909" s="87"/>
      <c r="X909" s="87"/>
      <c r="Y909" s="87"/>
      <c r="Z909" s="87"/>
      <c r="AA909" s="87"/>
      <c r="AB909" s="87"/>
      <c r="AC909" s="87"/>
      <c r="AD909" s="87"/>
      <c r="AE909" s="87"/>
      <c r="AF909" s="87"/>
      <c r="AG909" s="87"/>
      <c r="AH909" s="87"/>
      <c r="AI909" s="87"/>
      <c r="AJ909" s="87"/>
      <c r="AK909" s="87"/>
      <c r="AL909" s="87"/>
    </row>
    <row r="910" spans="10:38" ht="15.75" customHeight="1">
      <c r="J910" s="87"/>
      <c r="O910" s="84"/>
      <c r="Q910" s="87"/>
      <c r="S910" s="87"/>
      <c r="T910" s="87"/>
      <c r="U910" s="87"/>
      <c r="V910" s="87"/>
      <c r="W910" s="87"/>
      <c r="X910" s="87"/>
      <c r="Y910" s="87"/>
      <c r="Z910" s="87"/>
      <c r="AA910" s="87"/>
      <c r="AB910" s="87"/>
      <c r="AC910" s="87"/>
      <c r="AD910" s="87"/>
      <c r="AE910" s="87"/>
      <c r="AF910" s="87"/>
      <c r="AG910" s="87"/>
      <c r="AH910" s="87"/>
      <c r="AI910" s="87"/>
      <c r="AJ910" s="87"/>
      <c r="AK910" s="87"/>
      <c r="AL910" s="87"/>
    </row>
    <row r="911" spans="10:38" ht="15.75" customHeight="1">
      <c r="J911" s="87"/>
      <c r="O911" s="84"/>
      <c r="Q911" s="87"/>
      <c r="S911" s="87"/>
      <c r="T911" s="87"/>
      <c r="U911" s="87"/>
      <c r="V911" s="87"/>
      <c r="W911" s="87"/>
      <c r="X911" s="87"/>
      <c r="Y911" s="87"/>
      <c r="Z911" s="87"/>
      <c r="AA911" s="87"/>
      <c r="AB911" s="87"/>
      <c r="AC911" s="87"/>
      <c r="AD911" s="87"/>
      <c r="AE911" s="87"/>
      <c r="AF911" s="87"/>
      <c r="AG911" s="87"/>
      <c r="AH911" s="87"/>
      <c r="AI911" s="87"/>
      <c r="AJ911" s="87"/>
      <c r="AK911" s="87"/>
      <c r="AL911" s="87"/>
    </row>
    <row r="912" spans="10:38" ht="15.75" customHeight="1">
      <c r="J912" s="87"/>
      <c r="O912" s="84"/>
      <c r="Q912" s="87"/>
      <c r="S912" s="87"/>
      <c r="T912" s="87"/>
      <c r="U912" s="87"/>
      <c r="V912" s="87"/>
      <c r="W912" s="87"/>
      <c r="X912" s="87"/>
      <c r="Y912" s="87"/>
      <c r="Z912" s="87"/>
      <c r="AA912" s="87"/>
      <c r="AB912" s="87"/>
      <c r="AC912" s="87"/>
      <c r="AD912" s="87"/>
      <c r="AE912" s="87"/>
      <c r="AF912" s="87"/>
      <c r="AG912" s="87"/>
      <c r="AH912" s="87"/>
      <c r="AI912" s="87"/>
      <c r="AJ912" s="87"/>
      <c r="AK912" s="87"/>
      <c r="AL912" s="87"/>
    </row>
    <row r="913" spans="10:38" ht="15.75" customHeight="1">
      <c r="J913" s="87"/>
      <c r="O913" s="84"/>
      <c r="Q913" s="87"/>
      <c r="S913" s="87"/>
      <c r="T913" s="87"/>
      <c r="U913" s="87"/>
      <c r="V913" s="87"/>
      <c r="W913" s="87"/>
      <c r="X913" s="87"/>
      <c r="Y913" s="87"/>
      <c r="Z913" s="87"/>
      <c r="AA913" s="87"/>
      <c r="AB913" s="87"/>
      <c r="AC913" s="87"/>
      <c r="AD913" s="87"/>
      <c r="AE913" s="87"/>
      <c r="AF913" s="87"/>
      <c r="AG913" s="87"/>
      <c r="AH913" s="87"/>
      <c r="AI913" s="87"/>
      <c r="AJ913" s="87"/>
      <c r="AK913" s="87"/>
      <c r="AL913" s="87"/>
    </row>
    <row r="914" spans="10:38" ht="15.75" customHeight="1">
      <c r="J914" s="87"/>
      <c r="O914" s="84"/>
      <c r="Q914" s="87"/>
      <c r="S914" s="87"/>
      <c r="T914" s="87"/>
      <c r="U914" s="87"/>
      <c r="V914" s="87"/>
      <c r="W914" s="87"/>
      <c r="X914" s="87"/>
      <c r="Y914" s="87"/>
      <c r="Z914" s="87"/>
      <c r="AA914" s="87"/>
      <c r="AB914" s="87"/>
      <c r="AC914" s="87"/>
      <c r="AD914" s="87"/>
      <c r="AE914" s="87"/>
      <c r="AF914" s="87"/>
      <c r="AG914" s="87"/>
      <c r="AH914" s="87"/>
      <c r="AI914" s="87"/>
      <c r="AJ914" s="87"/>
      <c r="AK914" s="87"/>
      <c r="AL914" s="87"/>
    </row>
    <row r="915" spans="10:38" ht="15.75" customHeight="1">
      <c r="J915" s="87"/>
      <c r="O915" s="84"/>
      <c r="Q915" s="87"/>
      <c r="S915" s="87"/>
      <c r="T915" s="87"/>
      <c r="U915" s="87"/>
      <c r="V915" s="87"/>
      <c r="W915" s="87"/>
      <c r="X915" s="87"/>
      <c r="Y915" s="87"/>
      <c r="Z915" s="87"/>
      <c r="AA915" s="87"/>
      <c r="AB915" s="87"/>
      <c r="AC915" s="87"/>
      <c r="AD915" s="87"/>
      <c r="AE915" s="87"/>
      <c r="AF915" s="87"/>
      <c r="AG915" s="87"/>
      <c r="AH915" s="87"/>
      <c r="AI915" s="87"/>
      <c r="AJ915" s="87"/>
      <c r="AK915" s="87"/>
      <c r="AL915" s="87"/>
    </row>
    <row r="916" spans="10:38" ht="15.75" customHeight="1">
      <c r="J916" s="87"/>
      <c r="O916" s="84"/>
      <c r="Q916" s="87"/>
      <c r="S916" s="87"/>
      <c r="T916" s="87"/>
      <c r="U916" s="87"/>
      <c r="V916" s="87"/>
      <c r="W916" s="87"/>
      <c r="X916" s="87"/>
      <c r="Y916" s="87"/>
      <c r="Z916" s="87"/>
      <c r="AA916" s="87"/>
      <c r="AB916" s="87"/>
      <c r="AC916" s="87"/>
      <c r="AD916" s="87"/>
      <c r="AE916" s="87"/>
      <c r="AF916" s="87"/>
      <c r="AG916" s="87"/>
      <c r="AH916" s="87"/>
      <c r="AI916" s="87"/>
      <c r="AJ916" s="87"/>
      <c r="AK916" s="87"/>
      <c r="AL916" s="87"/>
    </row>
    <row r="917" spans="10:38" ht="15.75" customHeight="1">
      <c r="J917" s="87"/>
      <c r="O917" s="84"/>
      <c r="Q917" s="87"/>
      <c r="S917" s="87"/>
      <c r="T917" s="87"/>
      <c r="U917" s="87"/>
      <c r="V917" s="87"/>
      <c r="W917" s="87"/>
      <c r="X917" s="87"/>
      <c r="Y917" s="87"/>
      <c r="Z917" s="87"/>
      <c r="AA917" s="87"/>
      <c r="AB917" s="87"/>
      <c r="AC917" s="87"/>
      <c r="AD917" s="87"/>
      <c r="AE917" s="87"/>
      <c r="AF917" s="87"/>
      <c r="AG917" s="87"/>
      <c r="AH917" s="87"/>
      <c r="AI917" s="87"/>
      <c r="AJ917" s="87"/>
      <c r="AK917" s="87"/>
      <c r="AL917" s="87"/>
    </row>
    <row r="918" spans="10:38" ht="15.75" customHeight="1">
      <c r="J918" s="87"/>
      <c r="O918" s="84"/>
      <c r="Q918" s="87"/>
      <c r="S918" s="87"/>
      <c r="T918" s="87"/>
      <c r="U918" s="87"/>
      <c r="V918" s="87"/>
      <c r="W918" s="87"/>
      <c r="X918" s="87"/>
      <c r="Y918" s="87"/>
      <c r="Z918" s="87"/>
      <c r="AA918" s="87"/>
      <c r="AB918" s="87"/>
      <c r="AC918" s="87"/>
      <c r="AD918" s="87"/>
      <c r="AE918" s="87"/>
      <c r="AF918" s="87"/>
      <c r="AG918" s="87"/>
      <c r="AH918" s="87"/>
      <c r="AI918" s="87"/>
      <c r="AJ918" s="87"/>
      <c r="AK918" s="87"/>
      <c r="AL918" s="87"/>
    </row>
    <row r="919" spans="10:38" ht="15.75" customHeight="1">
      <c r="J919" s="87"/>
      <c r="O919" s="84"/>
      <c r="Q919" s="87"/>
      <c r="S919" s="87"/>
      <c r="T919" s="87"/>
      <c r="U919" s="87"/>
      <c r="V919" s="87"/>
      <c r="W919" s="87"/>
      <c r="X919" s="87"/>
      <c r="Y919" s="87"/>
      <c r="Z919" s="87"/>
      <c r="AA919" s="87"/>
      <c r="AB919" s="87"/>
      <c r="AC919" s="87"/>
      <c r="AD919" s="87"/>
      <c r="AE919" s="87"/>
      <c r="AF919" s="87"/>
      <c r="AG919" s="87"/>
      <c r="AH919" s="87"/>
      <c r="AI919" s="87"/>
      <c r="AJ919" s="87"/>
      <c r="AK919" s="87"/>
      <c r="AL919" s="87"/>
    </row>
    <row r="920" spans="10:38" ht="15.75" customHeight="1">
      <c r="J920" s="87"/>
      <c r="O920" s="84"/>
      <c r="Q920" s="87"/>
      <c r="S920" s="87"/>
      <c r="T920" s="87"/>
      <c r="U920" s="87"/>
      <c r="V920" s="87"/>
      <c r="W920" s="87"/>
      <c r="X920" s="87"/>
      <c r="Y920" s="87"/>
      <c r="Z920" s="87"/>
      <c r="AA920" s="87"/>
      <c r="AB920" s="87"/>
      <c r="AC920" s="87"/>
      <c r="AD920" s="87"/>
      <c r="AE920" s="87"/>
      <c r="AF920" s="87"/>
      <c r="AG920" s="87"/>
      <c r="AH920" s="87"/>
      <c r="AI920" s="87"/>
      <c r="AJ920" s="87"/>
      <c r="AK920" s="87"/>
      <c r="AL920" s="87"/>
    </row>
    <row r="921" spans="10:38" ht="15.75" customHeight="1">
      <c r="J921" s="87"/>
      <c r="O921" s="84"/>
      <c r="Q921" s="87"/>
      <c r="S921" s="87"/>
      <c r="T921" s="87"/>
      <c r="U921" s="87"/>
      <c r="V921" s="87"/>
      <c r="W921" s="87"/>
      <c r="X921" s="87"/>
      <c r="Y921" s="87"/>
      <c r="Z921" s="87"/>
      <c r="AA921" s="87"/>
      <c r="AB921" s="87"/>
      <c r="AC921" s="87"/>
      <c r="AD921" s="87"/>
      <c r="AE921" s="87"/>
      <c r="AF921" s="87"/>
      <c r="AG921" s="87"/>
      <c r="AH921" s="87"/>
      <c r="AI921" s="87"/>
      <c r="AJ921" s="87"/>
      <c r="AK921" s="87"/>
      <c r="AL921" s="87"/>
    </row>
    <row r="922" spans="10:38" ht="15.75" customHeight="1">
      <c r="J922" s="87"/>
      <c r="O922" s="84"/>
      <c r="Q922" s="87"/>
      <c r="S922" s="87"/>
      <c r="T922" s="87"/>
      <c r="U922" s="87"/>
      <c r="V922" s="87"/>
      <c r="W922" s="87"/>
      <c r="X922" s="87"/>
      <c r="Y922" s="87"/>
      <c r="Z922" s="87"/>
      <c r="AA922" s="87"/>
      <c r="AB922" s="87"/>
      <c r="AC922" s="87"/>
      <c r="AD922" s="87"/>
      <c r="AE922" s="87"/>
      <c r="AF922" s="87"/>
      <c r="AG922" s="87"/>
      <c r="AH922" s="87"/>
      <c r="AI922" s="87"/>
      <c r="AJ922" s="87"/>
      <c r="AK922" s="87"/>
      <c r="AL922" s="87"/>
    </row>
    <row r="923" spans="10:38" ht="15.75" customHeight="1">
      <c r="J923" s="87"/>
      <c r="O923" s="84"/>
      <c r="Q923" s="87"/>
      <c r="S923" s="87"/>
      <c r="T923" s="87"/>
      <c r="U923" s="87"/>
      <c r="V923" s="87"/>
      <c r="W923" s="87"/>
      <c r="X923" s="87"/>
      <c r="Y923" s="87"/>
      <c r="Z923" s="87"/>
      <c r="AA923" s="87"/>
      <c r="AB923" s="87"/>
      <c r="AC923" s="87"/>
      <c r="AD923" s="87"/>
      <c r="AE923" s="87"/>
      <c r="AF923" s="87"/>
      <c r="AG923" s="87"/>
      <c r="AH923" s="87"/>
      <c r="AI923" s="87"/>
      <c r="AJ923" s="87"/>
      <c r="AK923" s="87"/>
      <c r="AL923" s="87"/>
    </row>
    <row r="924" spans="10:38" ht="15.75" customHeight="1">
      <c r="J924" s="87"/>
      <c r="O924" s="84"/>
      <c r="Q924" s="87"/>
      <c r="S924" s="87"/>
      <c r="T924" s="87"/>
      <c r="U924" s="87"/>
      <c r="V924" s="87"/>
      <c r="W924" s="87"/>
      <c r="X924" s="87"/>
      <c r="Y924" s="87"/>
      <c r="Z924" s="87"/>
      <c r="AA924" s="87"/>
      <c r="AB924" s="87"/>
      <c r="AC924" s="87"/>
      <c r="AD924" s="87"/>
      <c r="AE924" s="87"/>
      <c r="AF924" s="87"/>
      <c r="AG924" s="87"/>
      <c r="AH924" s="87"/>
      <c r="AI924" s="87"/>
      <c r="AJ924" s="87"/>
      <c r="AK924" s="87"/>
      <c r="AL924" s="87"/>
    </row>
    <row r="925" spans="10:38" ht="15.75" customHeight="1">
      <c r="J925" s="87"/>
      <c r="O925" s="84"/>
      <c r="Q925" s="87"/>
      <c r="S925" s="87"/>
      <c r="T925" s="87"/>
      <c r="U925" s="87"/>
      <c r="V925" s="87"/>
      <c r="W925" s="87"/>
      <c r="X925" s="87"/>
      <c r="Y925" s="87"/>
      <c r="Z925" s="87"/>
      <c r="AA925" s="87"/>
      <c r="AB925" s="87"/>
      <c r="AC925" s="87"/>
      <c r="AD925" s="87"/>
      <c r="AE925" s="87"/>
      <c r="AF925" s="87"/>
      <c r="AG925" s="87"/>
      <c r="AH925" s="87"/>
      <c r="AI925" s="87"/>
      <c r="AJ925" s="87"/>
      <c r="AK925" s="87"/>
      <c r="AL925" s="87"/>
    </row>
    <row r="926" spans="10:38" ht="15.75" customHeight="1">
      <c r="J926" s="87"/>
      <c r="O926" s="84"/>
      <c r="Q926" s="87"/>
      <c r="S926" s="87"/>
      <c r="T926" s="87"/>
      <c r="U926" s="87"/>
      <c r="V926" s="87"/>
      <c r="W926" s="87"/>
      <c r="X926" s="87"/>
      <c r="Y926" s="87"/>
      <c r="Z926" s="87"/>
      <c r="AA926" s="87"/>
      <c r="AB926" s="87"/>
      <c r="AC926" s="87"/>
      <c r="AD926" s="87"/>
      <c r="AE926" s="87"/>
      <c r="AF926" s="87"/>
      <c r="AG926" s="87"/>
      <c r="AH926" s="87"/>
      <c r="AI926" s="87"/>
      <c r="AJ926" s="87"/>
      <c r="AK926" s="87"/>
      <c r="AL926" s="87"/>
    </row>
    <row r="927" spans="10:38" ht="15.75" customHeight="1">
      <c r="J927" s="87"/>
      <c r="O927" s="84"/>
      <c r="Q927" s="87"/>
      <c r="S927" s="87"/>
      <c r="T927" s="87"/>
      <c r="U927" s="87"/>
      <c r="V927" s="87"/>
      <c r="W927" s="87"/>
      <c r="X927" s="87"/>
      <c r="Y927" s="87"/>
      <c r="Z927" s="87"/>
      <c r="AA927" s="87"/>
      <c r="AB927" s="87"/>
      <c r="AC927" s="87"/>
      <c r="AD927" s="87"/>
      <c r="AE927" s="87"/>
      <c r="AF927" s="87"/>
      <c r="AG927" s="87"/>
      <c r="AH927" s="87"/>
      <c r="AI927" s="87"/>
      <c r="AJ927" s="87"/>
      <c r="AK927" s="87"/>
      <c r="AL927" s="87"/>
    </row>
    <row r="928" spans="10:38" ht="15.75" customHeight="1">
      <c r="J928" s="87"/>
      <c r="O928" s="84"/>
      <c r="Q928" s="87"/>
      <c r="S928" s="87"/>
      <c r="T928" s="87"/>
      <c r="U928" s="87"/>
      <c r="V928" s="87"/>
      <c r="W928" s="87"/>
      <c r="X928" s="87"/>
      <c r="Y928" s="87"/>
      <c r="Z928" s="87"/>
      <c r="AA928" s="87"/>
      <c r="AB928" s="87"/>
      <c r="AC928" s="87"/>
      <c r="AD928" s="87"/>
      <c r="AE928" s="87"/>
      <c r="AF928" s="87"/>
      <c r="AG928" s="87"/>
      <c r="AH928" s="87"/>
      <c r="AI928" s="87"/>
      <c r="AJ928" s="87"/>
      <c r="AK928" s="87"/>
      <c r="AL928" s="87"/>
    </row>
    <row r="929" spans="10:38" ht="15.75" customHeight="1">
      <c r="J929" s="87"/>
      <c r="O929" s="84"/>
      <c r="Q929" s="87"/>
      <c r="S929" s="87"/>
      <c r="T929" s="87"/>
      <c r="U929" s="87"/>
      <c r="V929" s="87"/>
      <c r="W929" s="87"/>
      <c r="X929" s="87"/>
      <c r="Y929" s="87"/>
      <c r="Z929" s="87"/>
      <c r="AA929" s="87"/>
      <c r="AB929" s="87"/>
      <c r="AC929" s="87"/>
      <c r="AD929" s="87"/>
      <c r="AE929" s="87"/>
      <c r="AF929" s="87"/>
      <c r="AG929" s="87"/>
      <c r="AH929" s="87"/>
      <c r="AI929" s="87"/>
      <c r="AJ929" s="87"/>
      <c r="AK929" s="87"/>
      <c r="AL929" s="87"/>
    </row>
    <row r="930" spans="10:38" ht="15.75" customHeight="1">
      <c r="J930" s="87"/>
      <c r="O930" s="84"/>
      <c r="Q930" s="87"/>
      <c r="S930" s="87"/>
      <c r="T930" s="87"/>
      <c r="U930" s="87"/>
      <c r="V930" s="87"/>
      <c r="W930" s="87"/>
      <c r="X930" s="87"/>
      <c r="Y930" s="87"/>
      <c r="Z930" s="87"/>
      <c r="AA930" s="87"/>
      <c r="AB930" s="87"/>
      <c r="AC930" s="87"/>
      <c r="AD930" s="87"/>
      <c r="AE930" s="87"/>
      <c r="AF930" s="87"/>
      <c r="AG930" s="87"/>
      <c r="AH930" s="87"/>
      <c r="AI930" s="87"/>
      <c r="AJ930" s="87"/>
      <c r="AK930" s="87"/>
      <c r="AL930" s="87"/>
    </row>
    <row r="931" spans="10:38" ht="15.75" customHeight="1">
      <c r="J931" s="87"/>
      <c r="O931" s="84"/>
      <c r="Q931" s="87"/>
      <c r="S931" s="87"/>
      <c r="T931" s="87"/>
      <c r="U931" s="87"/>
      <c r="V931" s="87"/>
      <c r="W931" s="87"/>
      <c r="X931" s="87"/>
      <c r="Y931" s="87"/>
      <c r="Z931" s="87"/>
      <c r="AA931" s="87"/>
      <c r="AB931" s="87"/>
      <c r="AC931" s="87"/>
      <c r="AD931" s="87"/>
      <c r="AE931" s="87"/>
      <c r="AF931" s="87"/>
      <c r="AG931" s="87"/>
      <c r="AH931" s="87"/>
      <c r="AI931" s="87"/>
      <c r="AJ931" s="87"/>
      <c r="AK931" s="87"/>
      <c r="AL931" s="87"/>
    </row>
    <row r="932" spans="10:38" ht="15.75" customHeight="1">
      <c r="J932" s="87"/>
      <c r="O932" s="84"/>
      <c r="Q932" s="87"/>
      <c r="S932" s="87"/>
      <c r="T932" s="87"/>
      <c r="U932" s="87"/>
      <c r="V932" s="87"/>
      <c r="W932" s="87"/>
      <c r="X932" s="87"/>
      <c r="Y932" s="87"/>
      <c r="Z932" s="87"/>
      <c r="AA932" s="87"/>
      <c r="AB932" s="87"/>
      <c r="AC932" s="87"/>
      <c r="AD932" s="87"/>
      <c r="AE932" s="87"/>
      <c r="AF932" s="87"/>
      <c r="AG932" s="87"/>
      <c r="AH932" s="87"/>
      <c r="AI932" s="87"/>
      <c r="AJ932" s="87"/>
      <c r="AK932" s="87"/>
      <c r="AL932" s="87"/>
    </row>
    <row r="933" spans="10:38" ht="15.75" customHeight="1">
      <c r="J933" s="87"/>
      <c r="O933" s="84"/>
      <c r="Q933" s="87"/>
      <c r="S933" s="87"/>
      <c r="T933" s="87"/>
      <c r="U933" s="87"/>
      <c r="V933" s="87"/>
      <c r="W933" s="87"/>
      <c r="X933" s="87"/>
      <c r="Y933" s="87"/>
      <c r="Z933" s="87"/>
      <c r="AA933" s="87"/>
      <c r="AB933" s="87"/>
      <c r="AC933" s="87"/>
      <c r="AD933" s="87"/>
      <c r="AE933" s="87"/>
      <c r="AF933" s="87"/>
      <c r="AG933" s="87"/>
      <c r="AH933" s="87"/>
      <c r="AI933" s="87"/>
      <c r="AJ933" s="87"/>
      <c r="AK933" s="87"/>
      <c r="AL933" s="87"/>
    </row>
    <row r="934" spans="10:38" ht="15.75" customHeight="1">
      <c r="J934" s="87"/>
      <c r="O934" s="84"/>
      <c r="Q934" s="87"/>
      <c r="S934" s="87"/>
      <c r="T934" s="87"/>
      <c r="U934" s="87"/>
      <c r="V934" s="87"/>
      <c r="W934" s="87"/>
      <c r="X934" s="87"/>
      <c r="Y934" s="87"/>
      <c r="Z934" s="87"/>
      <c r="AA934" s="87"/>
      <c r="AB934" s="87"/>
      <c r="AC934" s="87"/>
      <c r="AD934" s="87"/>
      <c r="AE934" s="87"/>
      <c r="AF934" s="87"/>
      <c r="AG934" s="87"/>
      <c r="AH934" s="87"/>
      <c r="AI934" s="87"/>
      <c r="AJ934" s="87"/>
      <c r="AK934" s="87"/>
      <c r="AL934" s="87"/>
    </row>
    <row r="935" spans="10:38" ht="15.75" customHeight="1">
      <c r="J935" s="87"/>
      <c r="O935" s="84"/>
      <c r="Q935" s="87"/>
      <c r="S935" s="87"/>
      <c r="T935" s="87"/>
      <c r="U935" s="87"/>
      <c r="V935" s="87"/>
      <c r="W935" s="87"/>
      <c r="X935" s="87"/>
      <c r="Y935" s="87"/>
      <c r="Z935" s="87"/>
      <c r="AA935" s="87"/>
      <c r="AB935" s="87"/>
      <c r="AC935" s="87"/>
      <c r="AD935" s="87"/>
      <c r="AE935" s="87"/>
      <c r="AF935" s="87"/>
      <c r="AG935" s="87"/>
      <c r="AH935" s="87"/>
      <c r="AI935" s="87"/>
      <c r="AJ935" s="87"/>
      <c r="AK935" s="87"/>
      <c r="AL935" s="87"/>
    </row>
    <row r="936" spans="10:38" ht="15.75" customHeight="1">
      <c r="J936" s="87"/>
      <c r="O936" s="84"/>
      <c r="Q936" s="87"/>
      <c r="S936" s="87"/>
      <c r="T936" s="87"/>
      <c r="U936" s="87"/>
      <c r="V936" s="87"/>
      <c r="W936" s="87"/>
      <c r="X936" s="87"/>
      <c r="Y936" s="87"/>
      <c r="Z936" s="87"/>
      <c r="AA936" s="87"/>
      <c r="AB936" s="87"/>
      <c r="AC936" s="87"/>
      <c r="AD936" s="87"/>
      <c r="AE936" s="87"/>
      <c r="AF936" s="87"/>
      <c r="AG936" s="87"/>
      <c r="AH936" s="87"/>
      <c r="AI936" s="87"/>
      <c r="AJ936" s="87"/>
      <c r="AK936" s="87"/>
      <c r="AL936" s="87"/>
    </row>
    <row r="937" spans="10:38" ht="15.75" customHeight="1">
      <c r="J937" s="87"/>
      <c r="O937" s="84"/>
      <c r="Q937" s="87"/>
      <c r="S937" s="87"/>
      <c r="T937" s="87"/>
      <c r="U937" s="87"/>
      <c r="V937" s="87"/>
      <c r="W937" s="87"/>
      <c r="X937" s="87"/>
      <c r="Y937" s="87"/>
      <c r="Z937" s="87"/>
      <c r="AA937" s="87"/>
      <c r="AB937" s="87"/>
      <c r="AC937" s="87"/>
      <c r="AD937" s="87"/>
      <c r="AE937" s="87"/>
      <c r="AF937" s="87"/>
      <c r="AG937" s="87"/>
      <c r="AH937" s="87"/>
      <c r="AI937" s="87"/>
      <c r="AJ937" s="87"/>
      <c r="AK937" s="87"/>
      <c r="AL937" s="87"/>
    </row>
    <row r="938" spans="10:38" ht="15.75" customHeight="1">
      <c r="J938" s="87"/>
      <c r="O938" s="84"/>
      <c r="Q938" s="87"/>
      <c r="S938" s="87"/>
      <c r="T938" s="87"/>
      <c r="U938" s="87"/>
      <c r="V938" s="87"/>
      <c r="W938" s="87"/>
      <c r="X938" s="87"/>
      <c r="Y938" s="87"/>
      <c r="Z938" s="87"/>
      <c r="AA938" s="87"/>
      <c r="AB938" s="87"/>
      <c r="AC938" s="87"/>
      <c r="AD938" s="87"/>
      <c r="AE938" s="87"/>
      <c r="AF938" s="87"/>
      <c r="AG938" s="87"/>
      <c r="AH938" s="87"/>
      <c r="AI938" s="87"/>
      <c r="AJ938" s="87"/>
      <c r="AK938" s="87"/>
      <c r="AL938" s="87"/>
    </row>
    <row r="939" spans="10:38" ht="15.75" customHeight="1">
      <c r="J939" s="87"/>
      <c r="O939" s="84"/>
      <c r="Q939" s="87"/>
      <c r="S939" s="87"/>
      <c r="T939" s="87"/>
      <c r="U939" s="87"/>
      <c r="V939" s="87"/>
      <c r="W939" s="87"/>
      <c r="X939" s="87"/>
      <c r="Y939" s="87"/>
      <c r="Z939" s="87"/>
      <c r="AA939" s="87"/>
      <c r="AB939" s="87"/>
      <c r="AC939" s="87"/>
      <c r="AD939" s="87"/>
      <c r="AE939" s="87"/>
      <c r="AF939" s="87"/>
      <c r="AG939" s="87"/>
      <c r="AH939" s="87"/>
      <c r="AI939" s="87"/>
      <c r="AJ939" s="87"/>
      <c r="AK939" s="87"/>
      <c r="AL939" s="87"/>
    </row>
    <row r="940" spans="10:38" ht="15.75" customHeight="1">
      <c r="J940" s="87"/>
      <c r="O940" s="84"/>
      <c r="Q940" s="87"/>
      <c r="S940" s="87"/>
      <c r="T940" s="87"/>
      <c r="U940" s="87"/>
      <c r="V940" s="87"/>
      <c r="W940" s="87"/>
      <c r="X940" s="87"/>
      <c r="Y940" s="87"/>
      <c r="Z940" s="87"/>
      <c r="AA940" s="87"/>
      <c r="AB940" s="87"/>
      <c r="AC940" s="87"/>
      <c r="AD940" s="87"/>
      <c r="AE940" s="87"/>
      <c r="AF940" s="87"/>
      <c r="AG940" s="87"/>
      <c r="AH940" s="87"/>
      <c r="AI940" s="87"/>
      <c r="AJ940" s="87"/>
      <c r="AK940" s="87"/>
      <c r="AL940" s="87"/>
    </row>
    <row r="941" spans="10:38" ht="15.75" customHeight="1">
      <c r="J941" s="87"/>
      <c r="O941" s="84"/>
      <c r="Q941" s="87"/>
      <c r="S941" s="87"/>
      <c r="T941" s="87"/>
      <c r="U941" s="87"/>
      <c r="V941" s="87"/>
      <c r="W941" s="87"/>
      <c r="X941" s="87"/>
      <c r="Y941" s="87"/>
      <c r="Z941" s="87"/>
      <c r="AA941" s="87"/>
      <c r="AB941" s="87"/>
      <c r="AC941" s="87"/>
      <c r="AD941" s="87"/>
      <c r="AE941" s="87"/>
      <c r="AF941" s="87"/>
      <c r="AG941" s="87"/>
      <c r="AH941" s="87"/>
      <c r="AI941" s="87"/>
      <c r="AJ941" s="87"/>
      <c r="AK941" s="87"/>
      <c r="AL941" s="87"/>
    </row>
    <row r="942" spans="10:38" ht="15.75" customHeight="1">
      <c r="J942" s="87"/>
      <c r="O942" s="84"/>
      <c r="Q942" s="87"/>
      <c r="S942" s="87"/>
      <c r="T942" s="87"/>
      <c r="U942" s="87"/>
      <c r="V942" s="87"/>
      <c r="W942" s="87"/>
      <c r="X942" s="87"/>
      <c r="Y942" s="87"/>
      <c r="Z942" s="87"/>
      <c r="AA942" s="87"/>
      <c r="AB942" s="87"/>
      <c r="AC942" s="87"/>
      <c r="AD942" s="87"/>
      <c r="AE942" s="87"/>
      <c r="AF942" s="87"/>
      <c r="AG942" s="87"/>
      <c r="AH942" s="87"/>
      <c r="AI942" s="87"/>
      <c r="AJ942" s="87"/>
      <c r="AK942" s="87"/>
      <c r="AL942" s="87"/>
    </row>
    <row r="943" spans="10:38" ht="15.75" customHeight="1">
      <c r="J943" s="87"/>
      <c r="O943" s="84"/>
      <c r="Q943" s="87"/>
      <c r="S943" s="87"/>
      <c r="T943" s="87"/>
      <c r="U943" s="87"/>
      <c r="V943" s="87"/>
      <c r="W943" s="87"/>
      <c r="X943" s="87"/>
      <c r="Y943" s="87"/>
      <c r="Z943" s="87"/>
      <c r="AA943" s="87"/>
      <c r="AB943" s="87"/>
      <c r="AC943" s="87"/>
      <c r="AD943" s="87"/>
      <c r="AE943" s="87"/>
      <c r="AF943" s="87"/>
      <c r="AG943" s="87"/>
      <c r="AH943" s="87"/>
      <c r="AI943" s="87"/>
      <c r="AJ943" s="87"/>
      <c r="AK943" s="87"/>
      <c r="AL943" s="87"/>
    </row>
    <row r="944" spans="10:38" ht="15.75" customHeight="1">
      <c r="J944" s="87"/>
      <c r="O944" s="84"/>
      <c r="Q944" s="87"/>
      <c r="S944" s="87"/>
      <c r="T944" s="87"/>
      <c r="U944" s="87"/>
      <c r="V944" s="87"/>
      <c r="W944" s="87"/>
      <c r="X944" s="87"/>
      <c r="Y944" s="87"/>
      <c r="Z944" s="87"/>
      <c r="AA944" s="87"/>
      <c r="AB944" s="87"/>
      <c r="AC944" s="87"/>
      <c r="AD944" s="87"/>
      <c r="AE944" s="87"/>
      <c r="AF944" s="87"/>
      <c r="AG944" s="87"/>
      <c r="AH944" s="87"/>
      <c r="AI944" s="87"/>
      <c r="AJ944" s="87"/>
      <c r="AK944" s="87"/>
      <c r="AL944" s="87"/>
    </row>
    <row r="945" spans="10:38" ht="15.75" customHeight="1">
      <c r="J945" s="87"/>
      <c r="O945" s="84"/>
      <c r="Q945" s="87"/>
      <c r="S945" s="87"/>
      <c r="T945" s="87"/>
      <c r="U945" s="87"/>
      <c r="V945" s="87"/>
      <c r="W945" s="87"/>
      <c r="X945" s="87"/>
      <c r="Y945" s="87"/>
      <c r="Z945" s="87"/>
      <c r="AA945" s="87"/>
      <c r="AB945" s="87"/>
      <c r="AC945" s="87"/>
      <c r="AD945" s="87"/>
      <c r="AE945" s="87"/>
      <c r="AF945" s="87"/>
      <c r="AG945" s="87"/>
      <c r="AH945" s="87"/>
      <c r="AI945" s="87"/>
      <c r="AJ945" s="87"/>
      <c r="AK945" s="87"/>
      <c r="AL945" s="87"/>
    </row>
    <row r="946" spans="10:38" ht="15.75" customHeight="1">
      <c r="J946" s="87"/>
      <c r="O946" s="84"/>
      <c r="Q946" s="87"/>
      <c r="S946" s="87"/>
      <c r="T946" s="87"/>
      <c r="U946" s="87"/>
      <c r="V946" s="87"/>
      <c r="W946" s="87"/>
      <c r="X946" s="87"/>
      <c r="Y946" s="87"/>
      <c r="Z946" s="87"/>
      <c r="AA946" s="87"/>
      <c r="AB946" s="87"/>
      <c r="AC946" s="87"/>
      <c r="AD946" s="87"/>
      <c r="AE946" s="87"/>
      <c r="AF946" s="87"/>
      <c r="AG946" s="87"/>
      <c r="AH946" s="87"/>
      <c r="AI946" s="87"/>
      <c r="AJ946" s="87"/>
      <c r="AK946" s="87"/>
      <c r="AL946" s="87"/>
    </row>
    <row r="947" spans="10:38" ht="15.75" customHeight="1">
      <c r="J947" s="87"/>
      <c r="O947" s="84"/>
      <c r="Q947" s="87"/>
      <c r="S947" s="87"/>
      <c r="T947" s="87"/>
      <c r="U947" s="87"/>
      <c r="V947" s="87"/>
      <c r="W947" s="87"/>
      <c r="X947" s="87"/>
      <c r="Y947" s="87"/>
      <c r="Z947" s="87"/>
      <c r="AA947" s="87"/>
      <c r="AB947" s="87"/>
      <c r="AC947" s="87"/>
      <c r="AD947" s="87"/>
      <c r="AE947" s="87"/>
      <c r="AF947" s="87"/>
      <c r="AG947" s="87"/>
      <c r="AH947" s="87"/>
      <c r="AI947" s="87"/>
      <c r="AJ947" s="87"/>
      <c r="AK947" s="87"/>
      <c r="AL947" s="87"/>
    </row>
    <row r="948" spans="10:38" ht="15.75" customHeight="1">
      <c r="J948" s="87"/>
      <c r="O948" s="84"/>
      <c r="Q948" s="87"/>
      <c r="S948" s="87"/>
      <c r="T948" s="87"/>
      <c r="U948" s="87"/>
      <c r="V948" s="87"/>
      <c r="W948" s="87"/>
      <c r="X948" s="87"/>
      <c r="Y948" s="87"/>
      <c r="Z948" s="87"/>
      <c r="AA948" s="87"/>
      <c r="AB948" s="87"/>
      <c r="AC948" s="87"/>
      <c r="AD948" s="87"/>
      <c r="AE948" s="87"/>
      <c r="AF948" s="87"/>
      <c r="AG948" s="87"/>
      <c r="AH948" s="87"/>
      <c r="AI948" s="87"/>
      <c r="AJ948" s="87"/>
      <c r="AK948" s="87"/>
      <c r="AL948" s="87"/>
    </row>
    <row r="949" spans="10:38" ht="15.75" customHeight="1">
      <c r="J949" s="87"/>
      <c r="O949" s="84"/>
      <c r="Q949" s="87"/>
      <c r="S949" s="87"/>
      <c r="T949" s="87"/>
      <c r="U949" s="87"/>
      <c r="V949" s="87"/>
      <c r="W949" s="87"/>
      <c r="X949" s="87"/>
      <c r="Y949" s="87"/>
      <c r="Z949" s="87"/>
      <c r="AA949" s="87"/>
      <c r="AB949" s="87"/>
      <c r="AC949" s="87"/>
      <c r="AD949" s="87"/>
      <c r="AE949" s="87"/>
      <c r="AF949" s="87"/>
      <c r="AG949" s="87"/>
      <c r="AH949" s="87"/>
      <c r="AI949" s="87"/>
      <c r="AJ949" s="87"/>
      <c r="AK949" s="87"/>
      <c r="AL949" s="87"/>
    </row>
    <row r="950" spans="10:38" ht="15.75" customHeight="1">
      <c r="J950" s="87"/>
      <c r="O950" s="84"/>
      <c r="Q950" s="87"/>
      <c r="S950" s="87"/>
      <c r="T950" s="87"/>
      <c r="U950" s="87"/>
      <c r="V950" s="87"/>
      <c r="W950" s="87"/>
      <c r="X950" s="87"/>
      <c r="Y950" s="87"/>
      <c r="Z950" s="87"/>
      <c r="AA950" s="87"/>
      <c r="AB950" s="87"/>
      <c r="AC950" s="87"/>
      <c r="AD950" s="87"/>
      <c r="AE950" s="87"/>
      <c r="AF950" s="87"/>
      <c r="AG950" s="87"/>
      <c r="AH950" s="87"/>
      <c r="AI950" s="87"/>
      <c r="AJ950" s="87"/>
      <c r="AK950" s="87"/>
      <c r="AL950" s="87"/>
    </row>
    <row r="951" spans="10:38" ht="15.75" customHeight="1">
      <c r="J951" s="87"/>
      <c r="O951" s="84"/>
      <c r="Q951" s="87"/>
      <c r="S951" s="87"/>
      <c r="T951" s="87"/>
      <c r="U951" s="87"/>
      <c r="V951" s="87"/>
      <c r="W951" s="87"/>
      <c r="X951" s="87"/>
      <c r="Y951" s="87"/>
      <c r="Z951" s="87"/>
      <c r="AA951" s="87"/>
      <c r="AB951" s="87"/>
      <c r="AC951" s="87"/>
      <c r="AD951" s="87"/>
      <c r="AE951" s="87"/>
      <c r="AF951" s="87"/>
      <c r="AG951" s="87"/>
      <c r="AH951" s="87"/>
      <c r="AI951" s="87"/>
      <c r="AJ951" s="87"/>
      <c r="AK951" s="87"/>
      <c r="AL951" s="87"/>
    </row>
    <row r="952" spans="10:38" ht="15.75" customHeight="1">
      <c r="J952" s="87"/>
      <c r="O952" s="84"/>
      <c r="Q952" s="87"/>
      <c r="S952" s="87"/>
      <c r="T952" s="87"/>
      <c r="U952" s="87"/>
      <c r="V952" s="87"/>
      <c r="W952" s="87"/>
      <c r="X952" s="87"/>
      <c r="Y952" s="87"/>
      <c r="Z952" s="87"/>
      <c r="AA952" s="87"/>
      <c r="AB952" s="87"/>
      <c r="AC952" s="87"/>
      <c r="AD952" s="87"/>
      <c r="AE952" s="87"/>
      <c r="AF952" s="87"/>
      <c r="AG952" s="87"/>
      <c r="AH952" s="87"/>
      <c r="AI952" s="87"/>
      <c r="AJ952" s="87"/>
      <c r="AK952" s="87"/>
      <c r="AL952" s="87"/>
    </row>
    <row r="953" spans="10:38" ht="15.75" customHeight="1">
      <c r="J953" s="87"/>
      <c r="O953" s="84"/>
      <c r="Q953" s="87"/>
      <c r="S953" s="87"/>
      <c r="T953" s="87"/>
      <c r="U953" s="87"/>
      <c r="V953" s="87"/>
      <c r="W953" s="87"/>
      <c r="X953" s="87"/>
      <c r="Y953" s="87"/>
      <c r="Z953" s="87"/>
      <c r="AA953" s="87"/>
      <c r="AB953" s="87"/>
      <c r="AC953" s="87"/>
      <c r="AD953" s="87"/>
      <c r="AE953" s="87"/>
      <c r="AF953" s="87"/>
      <c r="AG953" s="87"/>
      <c r="AH953" s="87"/>
      <c r="AI953" s="87"/>
      <c r="AJ953" s="87"/>
      <c r="AK953" s="87"/>
      <c r="AL953" s="87"/>
    </row>
    <row r="954" spans="10:38" ht="15.75" customHeight="1">
      <c r="J954" s="87"/>
      <c r="O954" s="84"/>
      <c r="Q954" s="87"/>
      <c r="S954" s="87"/>
      <c r="T954" s="87"/>
      <c r="U954" s="87"/>
      <c r="V954" s="87"/>
      <c r="W954" s="87"/>
      <c r="X954" s="87"/>
      <c r="Y954" s="87"/>
      <c r="Z954" s="87"/>
      <c r="AA954" s="87"/>
      <c r="AB954" s="87"/>
      <c r="AC954" s="87"/>
      <c r="AD954" s="87"/>
      <c r="AE954" s="87"/>
      <c r="AF954" s="87"/>
      <c r="AG954" s="87"/>
      <c r="AH954" s="87"/>
      <c r="AI954" s="87"/>
      <c r="AJ954" s="87"/>
      <c r="AK954" s="87"/>
      <c r="AL954" s="87"/>
    </row>
    <row r="955" spans="10:38" ht="15.75" customHeight="1">
      <c r="J955" s="87"/>
      <c r="O955" s="84"/>
      <c r="Q955" s="87"/>
      <c r="S955" s="87"/>
      <c r="T955" s="87"/>
      <c r="U955" s="87"/>
      <c r="V955" s="87"/>
      <c r="W955" s="87"/>
      <c r="X955" s="87"/>
      <c r="Y955" s="87"/>
      <c r="Z955" s="87"/>
      <c r="AA955" s="87"/>
      <c r="AB955" s="87"/>
      <c r="AC955" s="87"/>
      <c r="AD955" s="87"/>
      <c r="AE955" s="87"/>
      <c r="AF955" s="87"/>
      <c r="AG955" s="87"/>
      <c r="AH955" s="87"/>
      <c r="AI955" s="87"/>
      <c r="AJ955" s="87"/>
      <c r="AK955" s="87"/>
      <c r="AL955" s="87"/>
    </row>
    <row r="956" spans="10:38" ht="15.75" customHeight="1">
      <c r="J956" s="87"/>
      <c r="O956" s="84"/>
      <c r="Q956" s="87"/>
      <c r="S956" s="87"/>
      <c r="T956" s="87"/>
      <c r="U956" s="87"/>
      <c r="V956" s="87"/>
      <c r="W956" s="87"/>
      <c r="X956" s="87"/>
      <c r="Y956" s="87"/>
      <c r="Z956" s="87"/>
      <c r="AA956" s="87"/>
      <c r="AB956" s="87"/>
      <c r="AC956" s="87"/>
      <c r="AD956" s="87"/>
      <c r="AE956" s="87"/>
      <c r="AF956" s="87"/>
      <c r="AG956" s="87"/>
      <c r="AH956" s="87"/>
      <c r="AI956" s="87"/>
      <c r="AJ956" s="87"/>
      <c r="AK956" s="87"/>
      <c r="AL956" s="87"/>
    </row>
    <row r="957" spans="10:38" ht="15.75" customHeight="1">
      <c r="J957" s="87"/>
      <c r="O957" s="84"/>
      <c r="Q957" s="87"/>
      <c r="S957" s="87"/>
      <c r="T957" s="87"/>
      <c r="U957" s="87"/>
      <c r="V957" s="87"/>
      <c r="W957" s="87"/>
      <c r="X957" s="87"/>
      <c r="Y957" s="87"/>
      <c r="Z957" s="87"/>
      <c r="AA957" s="87"/>
      <c r="AB957" s="87"/>
      <c r="AC957" s="87"/>
      <c r="AD957" s="87"/>
      <c r="AE957" s="87"/>
      <c r="AF957" s="87"/>
      <c r="AG957" s="87"/>
      <c r="AH957" s="87"/>
      <c r="AI957" s="87"/>
      <c r="AJ957" s="87"/>
      <c r="AK957" s="87"/>
      <c r="AL957" s="87"/>
    </row>
    <row r="958" spans="10:38" ht="15.75" customHeight="1">
      <c r="J958" s="87"/>
      <c r="O958" s="84"/>
      <c r="Q958" s="87"/>
      <c r="S958" s="87"/>
      <c r="T958" s="87"/>
      <c r="U958" s="87"/>
      <c r="V958" s="87"/>
      <c r="W958" s="87"/>
      <c r="X958" s="87"/>
      <c r="Y958" s="87"/>
      <c r="Z958" s="87"/>
      <c r="AA958" s="87"/>
      <c r="AB958" s="87"/>
      <c r="AC958" s="87"/>
      <c r="AD958" s="87"/>
      <c r="AE958" s="87"/>
      <c r="AF958" s="87"/>
      <c r="AG958" s="87"/>
      <c r="AH958" s="87"/>
      <c r="AI958" s="87"/>
      <c r="AJ958" s="87"/>
      <c r="AK958" s="87"/>
      <c r="AL958" s="87"/>
    </row>
    <row r="959" spans="10:38" ht="15.75" customHeight="1">
      <c r="J959" s="87"/>
      <c r="O959" s="84"/>
      <c r="Q959" s="87"/>
      <c r="S959" s="87"/>
      <c r="T959" s="87"/>
      <c r="U959" s="87"/>
      <c r="V959" s="87"/>
      <c r="W959" s="87"/>
      <c r="X959" s="87"/>
      <c r="Y959" s="87"/>
      <c r="Z959" s="87"/>
      <c r="AA959" s="87"/>
      <c r="AB959" s="87"/>
      <c r="AC959" s="87"/>
      <c r="AD959" s="87"/>
      <c r="AE959" s="87"/>
      <c r="AF959" s="87"/>
      <c r="AG959" s="87"/>
      <c r="AH959" s="87"/>
      <c r="AI959" s="87"/>
      <c r="AJ959" s="87"/>
      <c r="AK959" s="87"/>
      <c r="AL959" s="87"/>
    </row>
    <row r="960" spans="10:38" ht="15.75" customHeight="1">
      <c r="J960" s="87"/>
      <c r="O960" s="84"/>
      <c r="Q960" s="87"/>
      <c r="S960" s="87"/>
      <c r="T960" s="87"/>
      <c r="U960" s="87"/>
      <c r="V960" s="87"/>
      <c r="W960" s="87"/>
      <c r="X960" s="87"/>
      <c r="Y960" s="87"/>
      <c r="Z960" s="87"/>
      <c r="AA960" s="87"/>
      <c r="AB960" s="87"/>
      <c r="AC960" s="87"/>
      <c r="AD960" s="87"/>
      <c r="AE960" s="87"/>
      <c r="AF960" s="87"/>
      <c r="AG960" s="87"/>
      <c r="AH960" s="87"/>
      <c r="AI960" s="87"/>
      <c r="AJ960" s="87"/>
      <c r="AK960" s="87"/>
      <c r="AL960" s="87"/>
    </row>
    <row r="961" spans="10:38" ht="15.75" customHeight="1">
      <c r="J961" s="87"/>
      <c r="O961" s="84"/>
      <c r="Q961" s="87"/>
      <c r="S961" s="87"/>
      <c r="T961" s="87"/>
      <c r="U961" s="87"/>
      <c r="V961" s="87"/>
      <c r="W961" s="87"/>
      <c r="X961" s="87"/>
      <c r="Y961" s="87"/>
      <c r="Z961" s="87"/>
      <c r="AA961" s="87"/>
      <c r="AB961" s="87"/>
      <c r="AC961" s="87"/>
      <c r="AD961" s="87"/>
      <c r="AE961" s="87"/>
      <c r="AF961" s="87"/>
      <c r="AG961" s="87"/>
      <c r="AH961" s="87"/>
      <c r="AI961" s="87"/>
      <c r="AJ961" s="87"/>
      <c r="AK961" s="87"/>
      <c r="AL961" s="87"/>
    </row>
    <row r="962" spans="10:38" ht="15.75" customHeight="1">
      <c r="J962" s="87"/>
      <c r="O962" s="84"/>
      <c r="Q962" s="87"/>
      <c r="S962" s="87"/>
      <c r="T962" s="87"/>
      <c r="U962" s="87"/>
      <c r="V962" s="87"/>
      <c r="W962" s="87"/>
      <c r="X962" s="87"/>
      <c r="Y962" s="87"/>
      <c r="Z962" s="87"/>
      <c r="AA962" s="87"/>
      <c r="AB962" s="87"/>
      <c r="AC962" s="87"/>
      <c r="AD962" s="87"/>
      <c r="AE962" s="87"/>
      <c r="AF962" s="87"/>
      <c r="AG962" s="87"/>
      <c r="AH962" s="87"/>
      <c r="AI962" s="87"/>
      <c r="AJ962" s="87"/>
      <c r="AK962" s="87"/>
      <c r="AL962" s="87"/>
    </row>
    <row r="963" spans="10:38" ht="15.75" customHeight="1">
      <c r="J963" s="87"/>
      <c r="O963" s="84"/>
      <c r="Q963" s="87"/>
      <c r="S963" s="87"/>
      <c r="T963" s="87"/>
      <c r="U963" s="87"/>
      <c r="V963" s="87"/>
      <c r="W963" s="87"/>
      <c r="X963" s="87"/>
      <c r="Y963" s="87"/>
      <c r="Z963" s="87"/>
      <c r="AA963" s="87"/>
      <c r="AB963" s="87"/>
      <c r="AC963" s="87"/>
      <c r="AD963" s="87"/>
      <c r="AE963" s="87"/>
      <c r="AF963" s="87"/>
      <c r="AG963" s="87"/>
      <c r="AH963" s="87"/>
      <c r="AI963" s="87"/>
      <c r="AJ963" s="87"/>
      <c r="AK963" s="87"/>
      <c r="AL963" s="87"/>
    </row>
    <row r="964" spans="10:38" ht="15.75" customHeight="1">
      <c r="J964" s="87"/>
      <c r="O964" s="84"/>
      <c r="Q964" s="87"/>
      <c r="S964" s="87"/>
      <c r="T964" s="87"/>
      <c r="U964" s="87"/>
      <c r="V964" s="87"/>
      <c r="W964" s="87"/>
      <c r="X964" s="87"/>
      <c r="Y964" s="87"/>
      <c r="Z964" s="87"/>
      <c r="AA964" s="87"/>
      <c r="AB964" s="87"/>
      <c r="AC964" s="87"/>
      <c r="AD964" s="87"/>
      <c r="AE964" s="87"/>
      <c r="AF964" s="87"/>
      <c r="AG964" s="87"/>
      <c r="AH964" s="87"/>
      <c r="AI964" s="87"/>
      <c r="AJ964" s="87"/>
      <c r="AK964" s="87"/>
      <c r="AL964" s="87"/>
    </row>
    <row r="965" spans="10:38" ht="15.75" customHeight="1">
      <c r="J965" s="87"/>
      <c r="O965" s="84"/>
      <c r="Q965" s="87"/>
      <c r="S965" s="87"/>
      <c r="T965" s="87"/>
      <c r="U965" s="87"/>
      <c r="V965" s="87"/>
      <c r="W965" s="87"/>
      <c r="X965" s="87"/>
      <c r="Y965" s="87"/>
      <c r="Z965" s="87"/>
      <c r="AA965" s="87"/>
      <c r="AB965" s="87"/>
      <c r="AC965" s="87"/>
      <c r="AD965" s="87"/>
      <c r="AE965" s="87"/>
      <c r="AF965" s="87"/>
      <c r="AG965" s="87"/>
      <c r="AH965" s="87"/>
      <c r="AI965" s="87"/>
      <c r="AJ965" s="87"/>
      <c r="AK965" s="87"/>
      <c r="AL965" s="87"/>
    </row>
    <row r="966" spans="10:38" ht="15.75" customHeight="1">
      <c r="J966" s="87"/>
      <c r="O966" s="84"/>
      <c r="Q966" s="87"/>
      <c r="S966" s="87"/>
      <c r="T966" s="87"/>
      <c r="U966" s="87"/>
      <c r="V966" s="87"/>
      <c r="W966" s="87"/>
      <c r="X966" s="87"/>
      <c r="Y966" s="87"/>
      <c r="Z966" s="87"/>
      <c r="AA966" s="87"/>
      <c r="AB966" s="87"/>
      <c r="AC966" s="87"/>
      <c r="AD966" s="87"/>
      <c r="AE966" s="87"/>
      <c r="AF966" s="87"/>
      <c r="AG966" s="87"/>
      <c r="AH966" s="87"/>
      <c r="AI966" s="87"/>
      <c r="AJ966" s="87"/>
      <c r="AK966" s="87"/>
      <c r="AL966" s="87"/>
    </row>
    <row r="967" spans="10:38" ht="15.75" customHeight="1">
      <c r="J967" s="87"/>
      <c r="O967" s="84"/>
      <c r="Q967" s="87"/>
      <c r="S967" s="87"/>
      <c r="T967" s="87"/>
      <c r="U967" s="87"/>
      <c r="V967" s="87"/>
      <c r="W967" s="87"/>
      <c r="X967" s="87"/>
      <c r="Y967" s="87"/>
      <c r="Z967" s="87"/>
      <c r="AA967" s="87"/>
      <c r="AB967" s="87"/>
      <c r="AC967" s="87"/>
      <c r="AD967" s="87"/>
      <c r="AE967" s="87"/>
      <c r="AF967" s="87"/>
      <c r="AG967" s="87"/>
      <c r="AH967" s="87"/>
      <c r="AI967" s="87"/>
      <c r="AJ967" s="87"/>
      <c r="AK967" s="87"/>
      <c r="AL967" s="87"/>
    </row>
    <row r="968" spans="10:38" ht="15.75" customHeight="1">
      <c r="J968" s="87"/>
      <c r="O968" s="84"/>
      <c r="Q968" s="87"/>
      <c r="S968" s="87"/>
      <c r="T968" s="87"/>
      <c r="U968" s="87"/>
      <c r="V968" s="87"/>
      <c r="W968" s="87"/>
      <c r="X968" s="87"/>
      <c r="Y968" s="87"/>
      <c r="Z968" s="87"/>
      <c r="AA968" s="87"/>
      <c r="AB968" s="87"/>
      <c r="AC968" s="87"/>
      <c r="AD968" s="87"/>
      <c r="AE968" s="87"/>
      <c r="AF968" s="87"/>
      <c r="AG968" s="87"/>
      <c r="AH968" s="87"/>
      <c r="AI968" s="87"/>
      <c r="AJ968" s="87"/>
      <c r="AK968" s="87"/>
      <c r="AL968" s="87"/>
    </row>
    <row r="969" spans="10:38" ht="15.75" customHeight="1">
      <c r="J969" s="87"/>
      <c r="O969" s="84"/>
      <c r="Q969" s="87"/>
      <c r="S969" s="87"/>
      <c r="T969" s="87"/>
      <c r="U969" s="87"/>
      <c r="V969" s="87"/>
      <c r="W969" s="87"/>
      <c r="X969" s="87"/>
      <c r="Y969" s="87"/>
      <c r="Z969" s="87"/>
      <c r="AA969" s="87"/>
      <c r="AB969" s="87"/>
      <c r="AC969" s="87"/>
      <c r="AD969" s="87"/>
      <c r="AE969" s="87"/>
      <c r="AF969" s="87"/>
      <c r="AG969" s="87"/>
      <c r="AH969" s="87"/>
      <c r="AI969" s="87"/>
      <c r="AJ969" s="87"/>
      <c r="AK969" s="87"/>
      <c r="AL969" s="87"/>
    </row>
    <row r="970" spans="10:38" ht="15.75" customHeight="1">
      <c r="J970" s="87"/>
      <c r="O970" s="84"/>
      <c r="Q970" s="87"/>
      <c r="S970" s="87"/>
      <c r="T970" s="87"/>
      <c r="U970" s="87"/>
      <c r="V970" s="87"/>
      <c r="W970" s="87"/>
      <c r="X970" s="87"/>
      <c r="Y970" s="87"/>
      <c r="Z970" s="87"/>
      <c r="AA970" s="87"/>
      <c r="AB970" s="87"/>
      <c r="AC970" s="87"/>
      <c r="AD970" s="87"/>
      <c r="AE970" s="87"/>
      <c r="AF970" s="87"/>
      <c r="AG970" s="87"/>
      <c r="AH970" s="87"/>
      <c r="AI970" s="87"/>
      <c r="AJ970" s="87"/>
      <c r="AK970" s="87"/>
      <c r="AL970" s="87"/>
    </row>
    <row r="971" spans="10:38" ht="15.75" customHeight="1">
      <c r="J971" s="87"/>
      <c r="O971" s="84"/>
      <c r="Q971" s="87"/>
      <c r="S971" s="87"/>
      <c r="T971" s="87"/>
      <c r="U971" s="87"/>
      <c r="V971" s="87"/>
      <c r="W971" s="87"/>
      <c r="X971" s="87"/>
      <c r="Y971" s="87"/>
      <c r="Z971" s="87"/>
      <c r="AA971" s="87"/>
      <c r="AB971" s="87"/>
      <c r="AC971" s="87"/>
      <c r="AD971" s="87"/>
      <c r="AE971" s="87"/>
      <c r="AF971" s="87"/>
      <c r="AG971" s="87"/>
      <c r="AH971" s="87"/>
      <c r="AI971" s="87"/>
      <c r="AJ971" s="87"/>
      <c r="AK971" s="87"/>
      <c r="AL971" s="87"/>
    </row>
    <row r="972" spans="10:38" ht="15.75" customHeight="1">
      <c r="J972" s="87"/>
      <c r="O972" s="84"/>
      <c r="Q972" s="87"/>
      <c r="S972" s="87"/>
      <c r="T972" s="87"/>
      <c r="U972" s="87"/>
      <c r="V972" s="87"/>
      <c r="W972" s="87"/>
      <c r="X972" s="87"/>
      <c r="Y972" s="87"/>
      <c r="Z972" s="87"/>
      <c r="AA972" s="87"/>
      <c r="AB972" s="87"/>
      <c r="AC972" s="87"/>
      <c r="AD972" s="87"/>
      <c r="AE972" s="87"/>
      <c r="AF972" s="87"/>
      <c r="AG972" s="87"/>
      <c r="AH972" s="87"/>
      <c r="AI972" s="87"/>
      <c r="AJ972" s="87"/>
      <c r="AK972" s="87"/>
      <c r="AL972" s="87"/>
    </row>
    <row r="973" spans="10:38" ht="15.75" customHeight="1">
      <c r="J973" s="87"/>
      <c r="O973" s="84"/>
      <c r="Q973" s="87"/>
      <c r="S973" s="87"/>
      <c r="T973" s="87"/>
      <c r="U973" s="87"/>
      <c r="V973" s="87"/>
      <c r="W973" s="87"/>
      <c r="X973" s="87"/>
      <c r="Y973" s="87"/>
      <c r="Z973" s="87"/>
      <c r="AA973" s="87"/>
      <c r="AB973" s="87"/>
      <c r="AC973" s="87"/>
      <c r="AD973" s="87"/>
      <c r="AE973" s="87"/>
      <c r="AF973" s="87"/>
      <c r="AG973" s="87"/>
      <c r="AH973" s="87"/>
      <c r="AI973" s="87"/>
      <c r="AJ973" s="87"/>
      <c r="AK973" s="87"/>
      <c r="AL973" s="87"/>
    </row>
    <row r="974" spans="10:38" ht="15.75" customHeight="1">
      <c r="J974" s="87"/>
      <c r="O974" s="84"/>
      <c r="Q974" s="87"/>
      <c r="S974" s="87"/>
      <c r="T974" s="87"/>
      <c r="U974" s="87"/>
      <c r="V974" s="87"/>
      <c r="W974" s="87"/>
      <c r="X974" s="87"/>
      <c r="Y974" s="87"/>
      <c r="Z974" s="87"/>
      <c r="AA974" s="87"/>
      <c r="AB974" s="87"/>
      <c r="AC974" s="87"/>
      <c r="AD974" s="87"/>
      <c r="AE974" s="87"/>
      <c r="AF974" s="87"/>
      <c r="AG974" s="87"/>
      <c r="AH974" s="87"/>
      <c r="AI974" s="87"/>
      <c r="AJ974" s="87"/>
      <c r="AK974" s="87"/>
      <c r="AL974" s="87"/>
    </row>
    <row r="975" spans="10:38" ht="15.75" customHeight="1">
      <c r="J975" s="87"/>
      <c r="O975" s="84"/>
      <c r="Q975" s="87"/>
      <c r="S975" s="87"/>
      <c r="T975" s="87"/>
      <c r="U975" s="87"/>
      <c r="V975" s="87"/>
      <c r="W975" s="87"/>
      <c r="X975" s="87"/>
      <c r="Y975" s="87"/>
      <c r="Z975" s="87"/>
      <c r="AA975" s="87"/>
      <c r="AB975" s="87"/>
      <c r="AC975" s="87"/>
      <c r="AD975" s="87"/>
      <c r="AE975" s="87"/>
      <c r="AF975" s="87"/>
      <c r="AG975" s="87"/>
      <c r="AH975" s="87"/>
      <c r="AI975" s="87"/>
      <c r="AJ975" s="87"/>
      <c r="AK975" s="87"/>
      <c r="AL975" s="87"/>
    </row>
    <row r="976" spans="10:38" ht="15.75" customHeight="1">
      <c r="J976" s="87"/>
      <c r="O976" s="84"/>
      <c r="Q976" s="87"/>
      <c r="S976" s="87"/>
      <c r="T976" s="87"/>
      <c r="U976" s="87"/>
      <c r="V976" s="87"/>
      <c r="W976" s="87"/>
      <c r="X976" s="87"/>
      <c r="Y976" s="87"/>
      <c r="Z976" s="87"/>
      <c r="AA976" s="87"/>
      <c r="AB976" s="87"/>
      <c r="AC976" s="87"/>
      <c r="AD976" s="87"/>
      <c r="AE976" s="87"/>
      <c r="AF976" s="87"/>
      <c r="AG976" s="87"/>
      <c r="AH976" s="87"/>
      <c r="AI976" s="87"/>
      <c r="AJ976" s="87"/>
      <c r="AK976" s="87"/>
      <c r="AL976" s="87"/>
    </row>
    <row r="977" spans="10:38" ht="15.75" customHeight="1">
      <c r="J977" s="87"/>
      <c r="O977" s="84"/>
      <c r="Q977" s="87"/>
      <c r="S977" s="87"/>
      <c r="T977" s="87"/>
      <c r="U977" s="87"/>
      <c r="V977" s="87"/>
      <c r="W977" s="87"/>
      <c r="X977" s="87"/>
      <c r="Y977" s="87"/>
      <c r="Z977" s="87"/>
      <c r="AA977" s="87"/>
      <c r="AB977" s="87"/>
      <c r="AC977" s="87"/>
      <c r="AD977" s="87"/>
      <c r="AE977" s="87"/>
      <c r="AF977" s="87"/>
      <c r="AG977" s="87"/>
      <c r="AH977" s="87"/>
      <c r="AI977" s="87"/>
      <c r="AJ977" s="87"/>
      <c r="AK977" s="87"/>
      <c r="AL977" s="87"/>
    </row>
    <row r="978" spans="10:38" ht="15.75" customHeight="1">
      <c r="J978" s="87"/>
      <c r="O978" s="84"/>
      <c r="Q978" s="87"/>
      <c r="S978" s="87"/>
      <c r="T978" s="87"/>
      <c r="U978" s="87"/>
      <c r="V978" s="87"/>
      <c r="W978" s="87"/>
      <c r="X978" s="87"/>
      <c r="Y978" s="87"/>
      <c r="Z978" s="87"/>
      <c r="AA978" s="87"/>
      <c r="AB978" s="87"/>
      <c r="AC978" s="87"/>
      <c r="AD978" s="87"/>
      <c r="AE978" s="87"/>
      <c r="AF978" s="87"/>
      <c r="AG978" s="87"/>
      <c r="AH978" s="87"/>
      <c r="AI978" s="87"/>
      <c r="AJ978" s="87"/>
      <c r="AK978" s="87"/>
      <c r="AL978" s="87"/>
    </row>
    <row r="979" spans="10:38" ht="15.75" customHeight="1">
      <c r="J979" s="87"/>
      <c r="O979" s="84"/>
      <c r="Q979" s="87"/>
      <c r="S979" s="87"/>
      <c r="T979" s="87"/>
      <c r="U979" s="87"/>
      <c r="V979" s="87"/>
      <c r="W979" s="87"/>
      <c r="X979" s="87"/>
      <c r="Y979" s="87"/>
      <c r="Z979" s="87"/>
      <c r="AA979" s="87"/>
      <c r="AB979" s="87"/>
      <c r="AC979" s="87"/>
      <c r="AD979" s="87"/>
      <c r="AE979" s="87"/>
      <c r="AF979" s="87"/>
      <c r="AG979" s="87"/>
      <c r="AH979" s="87"/>
      <c r="AI979" s="87"/>
      <c r="AJ979" s="87"/>
      <c r="AK979" s="87"/>
      <c r="AL979" s="87"/>
    </row>
    <row r="980" spans="10:38" ht="15.75" customHeight="1">
      <c r="J980" s="87"/>
      <c r="O980" s="84"/>
      <c r="Q980" s="87"/>
      <c r="S980" s="87"/>
      <c r="T980" s="87"/>
      <c r="U980" s="87"/>
      <c r="V980" s="87"/>
      <c r="W980" s="87"/>
      <c r="X980" s="87"/>
      <c r="Y980" s="87"/>
      <c r="Z980" s="87"/>
      <c r="AA980" s="87"/>
      <c r="AB980" s="87"/>
      <c r="AC980" s="87"/>
      <c r="AD980" s="87"/>
      <c r="AE980" s="87"/>
      <c r="AF980" s="87"/>
      <c r="AG980" s="87"/>
      <c r="AH980" s="87"/>
      <c r="AI980" s="87"/>
      <c r="AJ980" s="87"/>
      <c r="AK980" s="87"/>
      <c r="AL980" s="87"/>
    </row>
    <row r="981" spans="10:38" ht="15.75" customHeight="1">
      <c r="J981" s="87"/>
      <c r="O981" s="84"/>
      <c r="Q981" s="87"/>
      <c r="S981" s="87"/>
      <c r="T981" s="87"/>
      <c r="U981" s="87"/>
      <c r="V981" s="87"/>
      <c r="W981" s="87"/>
      <c r="X981" s="87"/>
      <c r="Y981" s="87"/>
      <c r="Z981" s="87"/>
      <c r="AA981" s="87"/>
      <c r="AB981" s="87"/>
      <c r="AC981" s="87"/>
      <c r="AD981" s="87"/>
      <c r="AE981" s="87"/>
      <c r="AF981" s="87"/>
      <c r="AG981" s="87"/>
      <c r="AH981" s="87"/>
      <c r="AI981" s="87"/>
      <c r="AJ981" s="87"/>
      <c r="AK981" s="87"/>
      <c r="AL981" s="87"/>
    </row>
    <row r="982" spans="10:38" ht="15.75" customHeight="1">
      <c r="J982" s="87"/>
      <c r="O982" s="84"/>
      <c r="Q982" s="87"/>
      <c r="S982" s="87"/>
      <c r="T982" s="87"/>
      <c r="U982" s="87"/>
      <c r="V982" s="87"/>
      <c r="W982" s="87"/>
      <c r="X982" s="87"/>
      <c r="Y982" s="87"/>
      <c r="Z982" s="87"/>
      <c r="AA982" s="87"/>
      <c r="AB982" s="87"/>
      <c r="AC982" s="87"/>
      <c r="AD982" s="87"/>
      <c r="AE982" s="87"/>
      <c r="AF982" s="87"/>
      <c r="AG982" s="87"/>
      <c r="AH982" s="87"/>
      <c r="AI982" s="87"/>
      <c r="AJ982" s="87"/>
      <c r="AK982" s="87"/>
      <c r="AL982" s="87"/>
    </row>
    <row r="983" spans="10:38" ht="15.75" customHeight="1">
      <c r="J983" s="87"/>
      <c r="O983" s="84"/>
      <c r="Q983" s="87"/>
      <c r="S983" s="87"/>
      <c r="T983" s="87"/>
      <c r="U983" s="87"/>
      <c r="V983" s="87"/>
      <c r="W983" s="87"/>
      <c r="X983" s="87"/>
      <c r="Y983" s="87"/>
      <c r="Z983" s="87"/>
      <c r="AA983" s="87"/>
      <c r="AB983" s="87"/>
      <c r="AC983" s="87"/>
      <c r="AD983" s="87"/>
      <c r="AE983" s="87"/>
      <c r="AF983" s="87"/>
      <c r="AG983" s="87"/>
      <c r="AH983" s="87"/>
      <c r="AI983" s="87"/>
      <c r="AJ983" s="87"/>
      <c r="AK983" s="87"/>
      <c r="AL983" s="87"/>
    </row>
    <row r="984" spans="10:38" ht="15.75" customHeight="1">
      <c r="J984" s="87"/>
      <c r="O984" s="84"/>
      <c r="Q984" s="87"/>
      <c r="S984" s="87"/>
      <c r="T984" s="87"/>
      <c r="U984" s="87"/>
      <c r="V984" s="87"/>
      <c r="W984" s="87"/>
      <c r="X984" s="87"/>
      <c r="Y984" s="87"/>
      <c r="Z984" s="87"/>
      <c r="AA984" s="87"/>
      <c r="AB984" s="87"/>
      <c r="AC984" s="87"/>
      <c r="AD984" s="87"/>
      <c r="AE984" s="87"/>
      <c r="AF984" s="87"/>
      <c r="AG984" s="87"/>
      <c r="AH984" s="87"/>
      <c r="AI984" s="87"/>
      <c r="AJ984" s="87"/>
      <c r="AK984" s="87"/>
      <c r="AL984" s="87"/>
    </row>
    <row r="985" spans="10:38" ht="15.75" customHeight="1">
      <c r="J985" s="87"/>
      <c r="O985" s="84"/>
      <c r="Q985" s="87"/>
      <c r="S985" s="87"/>
      <c r="T985" s="87"/>
      <c r="U985" s="87"/>
      <c r="V985" s="87"/>
      <c r="W985" s="87"/>
      <c r="X985" s="87"/>
      <c r="Y985" s="87"/>
      <c r="Z985" s="87"/>
      <c r="AA985" s="87"/>
      <c r="AB985" s="87"/>
      <c r="AC985" s="87"/>
      <c r="AD985" s="87"/>
      <c r="AE985" s="87"/>
      <c r="AF985" s="87"/>
      <c r="AG985" s="87"/>
      <c r="AH985" s="87"/>
      <c r="AI985" s="87"/>
      <c r="AJ985" s="87"/>
      <c r="AK985" s="87"/>
      <c r="AL985" s="87"/>
    </row>
    <row r="986" spans="10:38" ht="15.75" customHeight="1">
      <c r="J986" s="87"/>
      <c r="O986" s="84"/>
      <c r="Q986" s="87"/>
      <c r="S986" s="87"/>
      <c r="T986" s="87"/>
      <c r="U986" s="87"/>
      <c r="V986" s="87"/>
      <c r="W986" s="87"/>
      <c r="X986" s="87"/>
      <c r="Y986" s="87"/>
      <c r="Z986" s="87"/>
      <c r="AA986" s="87"/>
      <c r="AB986" s="87"/>
      <c r="AC986" s="87"/>
      <c r="AD986" s="87"/>
      <c r="AE986" s="87"/>
      <c r="AF986" s="87"/>
      <c r="AG986" s="87"/>
      <c r="AH986" s="87"/>
      <c r="AI986" s="87"/>
      <c r="AJ986" s="87"/>
      <c r="AK986" s="87"/>
      <c r="AL986" s="87"/>
    </row>
    <row r="987" spans="10:38" ht="15.75" customHeight="1">
      <c r="J987" s="87"/>
      <c r="O987" s="84"/>
      <c r="Q987" s="87"/>
      <c r="S987" s="87"/>
      <c r="T987" s="87"/>
      <c r="U987" s="87"/>
      <c r="V987" s="87"/>
      <c r="W987" s="87"/>
      <c r="X987" s="87"/>
      <c r="Y987" s="87"/>
      <c r="Z987" s="87"/>
      <c r="AA987" s="87"/>
      <c r="AB987" s="87"/>
      <c r="AC987" s="87"/>
      <c r="AD987" s="87"/>
      <c r="AE987" s="87"/>
      <c r="AF987" s="87"/>
      <c r="AG987" s="87"/>
      <c r="AH987" s="87"/>
      <c r="AI987" s="87"/>
      <c r="AJ987" s="87"/>
      <c r="AK987" s="87"/>
      <c r="AL987" s="87"/>
    </row>
    <row r="988" spans="10:38" ht="15.75" customHeight="1">
      <c r="J988" s="87"/>
      <c r="O988" s="84"/>
      <c r="Q988" s="87"/>
      <c r="S988" s="87"/>
      <c r="T988" s="87"/>
      <c r="U988" s="87"/>
      <c r="V988" s="87"/>
      <c r="W988" s="87"/>
      <c r="X988" s="87"/>
      <c r="Y988" s="87"/>
      <c r="Z988" s="87"/>
      <c r="AA988" s="87"/>
      <c r="AB988" s="87"/>
      <c r="AC988" s="87"/>
      <c r="AD988" s="87"/>
      <c r="AE988" s="87"/>
      <c r="AF988" s="87"/>
      <c r="AG988" s="87"/>
      <c r="AH988" s="87"/>
      <c r="AI988" s="87"/>
      <c r="AJ988" s="87"/>
      <c r="AK988" s="87"/>
      <c r="AL988" s="87"/>
    </row>
    <row r="989" spans="10:38" ht="15.75" customHeight="1">
      <c r="J989" s="87"/>
      <c r="O989" s="84"/>
      <c r="Q989" s="87"/>
      <c r="S989" s="87"/>
      <c r="T989" s="87"/>
      <c r="U989" s="87"/>
      <c r="V989" s="87"/>
      <c r="W989" s="87"/>
      <c r="X989" s="87"/>
      <c r="Y989" s="87"/>
      <c r="Z989" s="87"/>
      <c r="AA989" s="87"/>
      <c r="AB989" s="87"/>
      <c r="AC989" s="87"/>
      <c r="AD989" s="87"/>
      <c r="AE989" s="87"/>
      <c r="AF989" s="87"/>
      <c r="AG989" s="87"/>
      <c r="AH989" s="87"/>
      <c r="AI989" s="87"/>
      <c r="AJ989" s="87"/>
      <c r="AK989" s="87"/>
      <c r="AL989" s="87"/>
    </row>
    <row r="990" spans="10:38" ht="15.75" customHeight="1">
      <c r="J990" s="87"/>
      <c r="O990" s="84"/>
      <c r="Q990" s="87"/>
      <c r="S990" s="87"/>
      <c r="T990" s="87"/>
      <c r="U990" s="87"/>
      <c r="V990" s="87"/>
      <c r="W990" s="87"/>
      <c r="X990" s="87"/>
      <c r="Y990" s="87"/>
      <c r="Z990" s="87"/>
      <c r="AA990" s="87"/>
      <c r="AB990" s="87"/>
      <c r="AC990" s="87"/>
      <c r="AD990" s="87"/>
      <c r="AE990" s="87"/>
      <c r="AF990" s="87"/>
      <c r="AG990" s="87"/>
      <c r="AH990" s="87"/>
      <c r="AI990" s="87"/>
      <c r="AJ990" s="87"/>
      <c r="AK990" s="87"/>
      <c r="AL990" s="87"/>
    </row>
    <row r="991" spans="10:38" ht="15.75" customHeight="1">
      <c r="J991" s="87"/>
      <c r="O991" s="84"/>
      <c r="Q991" s="87"/>
      <c r="S991" s="87"/>
      <c r="T991" s="87"/>
      <c r="U991" s="87"/>
      <c r="V991" s="87"/>
      <c r="W991" s="87"/>
      <c r="X991" s="87"/>
      <c r="Y991" s="87"/>
      <c r="Z991" s="87"/>
      <c r="AA991" s="87"/>
      <c r="AB991" s="87"/>
      <c r="AC991" s="87"/>
      <c r="AD991" s="87"/>
      <c r="AE991" s="87"/>
      <c r="AF991" s="87"/>
      <c r="AG991" s="87"/>
      <c r="AH991" s="87"/>
      <c r="AI991" s="87"/>
      <c r="AJ991" s="87"/>
      <c r="AK991" s="87"/>
      <c r="AL991" s="87"/>
    </row>
    <row r="992" spans="10:38" ht="15.75" customHeight="1">
      <c r="J992" s="87"/>
      <c r="O992" s="84"/>
      <c r="Q992" s="87"/>
      <c r="S992" s="87"/>
      <c r="T992" s="87"/>
      <c r="U992" s="87"/>
      <c r="V992" s="87"/>
      <c r="W992" s="87"/>
      <c r="X992" s="87"/>
      <c r="Y992" s="87"/>
      <c r="Z992" s="87"/>
      <c r="AA992" s="87"/>
      <c r="AB992" s="87"/>
      <c r="AC992" s="87"/>
      <c r="AD992" s="87"/>
      <c r="AE992" s="87"/>
      <c r="AF992" s="87"/>
      <c r="AG992" s="87"/>
      <c r="AH992" s="87"/>
      <c r="AI992" s="87"/>
      <c r="AJ992" s="87"/>
      <c r="AK992" s="87"/>
      <c r="AL992" s="87"/>
    </row>
    <row r="993" spans="10:38" ht="15.75" customHeight="1">
      <c r="J993" s="87"/>
      <c r="O993" s="84"/>
      <c r="Q993" s="87"/>
      <c r="S993" s="87"/>
      <c r="T993" s="87"/>
      <c r="U993" s="87"/>
      <c r="V993" s="87"/>
      <c r="W993" s="87"/>
      <c r="X993" s="87"/>
      <c r="Y993" s="87"/>
      <c r="Z993" s="87"/>
      <c r="AA993" s="87"/>
      <c r="AB993" s="87"/>
      <c r="AC993" s="87"/>
      <c r="AD993" s="87"/>
      <c r="AE993" s="87"/>
      <c r="AF993" s="87"/>
      <c r="AG993" s="87"/>
      <c r="AH993" s="87"/>
      <c r="AI993" s="87"/>
      <c r="AJ993" s="87"/>
      <c r="AK993" s="87"/>
      <c r="AL993" s="87"/>
    </row>
    <row r="994" spans="10:38" ht="15.75" customHeight="1">
      <c r="J994" s="87"/>
      <c r="O994" s="84"/>
      <c r="Q994" s="87"/>
      <c r="S994" s="87"/>
      <c r="T994" s="87"/>
      <c r="U994" s="87"/>
      <c r="V994" s="87"/>
      <c r="W994" s="87"/>
      <c r="X994" s="87"/>
      <c r="Y994" s="87"/>
      <c r="Z994" s="87"/>
      <c r="AA994" s="87"/>
      <c r="AB994" s="87"/>
      <c r="AC994" s="87"/>
      <c r="AD994" s="87"/>
      <c r="AE994" s="87"/>
      <c r="AF994" s="87"/>
      <c r="AG994" s="87"/>
      <c r="AH994" s="87"/>
      <c r="AI994" s="87"/>
      <c r="AJ994" s="87"/>
      <c r="AK994" s="87"/>
      <c r="AL994" s="87"/>
    </row>
    <row r="995" spans="10:38" ht="15.75" customHeight="1">
      <c r="J995" s="87"/>
      <c r="O995" s="84"/>
      <c r="Q995" s="87"/>
      <c r="S995" s="87"/>
      <c r="T995" s="87"/>
      <c r="U995" s="87"/>
      <c r="V995" s="87"/>
      <c r="W995" s="87"/>
      <c r="X995" s="87"/>
      <c r="Y995" s="87"/>
      <c r="Z995" s="87"/>
      <c r="AA995" s="87"/>
      <c r="AB995" s="87"/>
      <c r="AC995" s="87"/>
      <c r="AD995" s="87"/>
      <c r="AE995" s="87"/>
      <c r="AF995" s="87"/>
      <c r="AG995" s="87"/>
      <c r="AH995" s="87"/>
      <c r="AI995" s="87"/>
      <c r="AJ995" s="87"/>
      <c r="AK995" s="87"/>
      <c r="AL995" s="87"/>
    </row>
    <row r="996" spans="10:38" ht="15.75" customHeight="1">
      <c r="J996" s="87"/>
      <c r="O996" s="84"/>
      <c r="Q996" s="87"/>
      <c r="S996" s="87"/>
      <c r="T996" s="87"/>
      <c r="U996" s="87"/>
      <c r="V996" s="87"/>
      <c r="W996" s="87"/>
      <c r="X996" s="87"/>
      <c r="Y996" s="87"/>
      <c r="Z996" s="87"/>
      <c r="AA996" s="87"/>
      <c r="AB996" s="87"/>
      <c r="AC996" s="87"/>
      <c r="AD996" s="87"/>
      <c r="AE996" s="87"/>
      <c r="AF996" s="87"/>
      <c r="AG996" s="87"/>
      <c r="AH996" s="87"/>
      <c r="AI996" s="87"/>
      <c r="AJ996" s="87"/>
      <c r="AK996" s="87"/>
      <c r="AL996" s="87"/>
    </row>
    <row r="997" spans="10:38" ht="15.75" customHeight="1">
      <c r="J997" s="87"/>
      <c r="O997" s="84"/>
      <c r="Q997" s="87"/>
      <c r="S997" s="87"/>
      <c r="T997" s="87"/>
      <c r="U997" s="87"/>
      <c r="V997" s="87"/>
      <c r="W997" s="87"/>
      <c r="X997" s="87"/>
      <c r="Y997" s="87"/>
      <c r="Z997" s="87"/>
      <c r="AA997" s="87"/>
      <c r="AB997" s="87"/>
      <c r="AC997" s="87"/>
      <c r="AD997" s="87"/>
      <c r="AE997" s="87"/>
      <c r="AF997" s="87"/>
      <c r="AG997" s="87"/>
      <c r="AH997" s="87"/>
      <c r="AI997" s="87"/>
      <c r="AJ997" s="87"/>
      <c r="AK997" s="87"/>
      <c r="AL997" s="87"/>
    </row>
    <row r="998" spans="10:38" ht="15.75" customHeight="1">
      <c r="J998" s="87"/>
      <c r="O998" s="84"/>
      <c r="Q998" s="87"/>
      <c r="S998" s="87"/>
      <c r="T998" s="87"/>
      <c r="U998" s="87"/>
      <c r="V998" s="87"/>
      <c r="W998" s="87"/>
      <c r="X998" s="87"/>
      <c r="Y998" s="87"/>
      <c r="Z998" s="87"/>
      <c r="AA998" s="87"/>
      <c r="AB998" s="87"/>
      <c r="AC998" s="87"/>
      <c r="AD998" s="87"/>
      <c r="AE998" s="87"/>
      <c r="AF998" s="87"/>
      <c r="AG998" s="87"/>
      <c r="AH998" s="87"/>
      <c r="AI998" s="87"/>
      <c r="AJ998" s="87"/>
      <c r="AK998" s="87"/>
      <c r="AL998" s="87"/>
    </row>
    <row r="999" spans="10:38" ht="15.75" customHeight="1">
      <c r="J999" s="87"/>
      <c r="O999" s="84"/>
      <c r="Q999" s="87"/>
      <c r="S999" s="87"/>
      <c r="T999" s="87"/>
      <c r="U999" s="87"/>
      <c r="V999" s="87"/>
      <c r="W999" s="87"/>
      <c r="X999" s="87"/>
      <c r="Y999" s="87"/>
      <c r="Z999" s="87"/>
      <c r="AA999" s="87"/>
      <c r="AB999" s="87"/>
      <c r="AC999" s="87"/>
      <c r="AD999" s="87"/>
      <c r="AE999" s="87"/>
      <c r="AF999" s="87"/>
      <c r="AG999" s="87"/>
      <c r="AH999" s="87"/>
      <c r="AI999" s="87"/>
      <c r="AJ999" s="87"/>
      <c r="AK999" s="87"/>
      <c r="AL999" s="87"/>
    </row>
    <row r="1000" spans="10:38" ht="15.75" customHeight="1">
      <c r="J1000" s="87"/>
      <c r="O1000" s="84"/>
      <c r="Q1000" s="87"/>
      <c r="S1000" s="87"/>
      <c r="T1000" s="87"/>
      <c r="U1000" s="87"/>
      <c r="V1000" s="87"/>
      <c r="W1000" s="87"/>
      <c r="X1000" s="87"/>
      <c r="Y1000" s="87"/>
      <c r="Z1000" s="87"/>
      <c r="AA1000" s="87"/>
      <c r="AB1000" s="87"/>
      <c r="AC1000" s="87"/>
      <c r="AD1000" s="87"/>
      <c r="AE1000" s="87"/>
      <c r="AF1000" s="87"/>
      <c r="AG1000" s="87"/>
      <c r="AH1000" s="87"/>
      <c r="AI1000" s="87"/>
      <c r="AJ1000" s="87"/>
      <c r="AK1000" s="87"/>
      <c r="AL1000" s="87"/>
    </row>
  </sheetData>
  <hyperlinks>
    <hyperlink ref="O35" r:id="rId1" xr:uid="{00000000-0004-0000-0300-000000000000}"/>
    <hyperlink ref="O36" r:id="rId2" xr:uid="{00000000-0004-0000-0300-000001000000}"/>
    <hyperlink ref="O38" r:id="rId3" xr:uid="{00000000-0004-0000-0300-000002000000}"/>
    <hyperlink ref="O41" r:id="rId4" xr:uid="{00000000-0004-0000-0300-000003000000}"/>
    <hyperlink ref="O42" r:id="rId5" xr:uid="{00000000-0004-0000-0300-000004000000}"/>
  </hyperlink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Z1000"/>
  <sheetViews>
    <sheetView workbookViewId="0"/>
  </sheetViews>
  <sheetFormatPr defaultColWidth="14.44140625" defaultRowHeight="15" customHeight="1"/>
  <cols>
    <col min="1" max="1" width="4.33203125" customWidth="1"/>
    <col min="2" max="2" width="11" customWidth="1"/>
    <col min="3" max="3" width="13" customWidth="1"/>
    <col min="4" max="4" width="7.44140625" customWidth="1"/>
    <col min="5" max="8" width="7.5546875" customWidth="1"/>
    <col min="9" max="9" width="14.109375" customWidth="1"/>
    <col min="10" max="10" width="15.5546875" customWidth="1"/>
    <col min="11" max="11" width="24.33203125" customWidth="1"/>
    <col min="12" max="12" width="19" customWidth="1"/>
    <col min="13" max="13" width="16.6640625" customWidth="1"/>
    <col min="14" max="14" width="12.44140625" customWidth="1"/>
    <col min="15" max="15" width="14.6640625" customWidth="1"/>
    <col min="16" max="16" width="30.33203125" customWidth="1"/>
    <col min="17" max="17" width="13.44140625" customWidth="1"/>
    <col min="18" max="18" width="13.6640625" customWidth="1"/>
    <col min="19" max="19" width="12.44140625" customWidth="1"/>
    <col min="20" max="26" width="8.6640625" customWidth="1"/>
  </cols>
  <sheetData>
    <row r="1" spans="1:26" ht="23.25" customHeight="1">
      <c r="A1" s="1" t="s">
        <v>0</v>
      </c>
      <c r="B1" s="2" t="s">
        <v>1</v>
      </c>
      <c r="C1" s="2" t="s">
        <v>2</v>
      </c>
      <c r="D1" s="1">
        <v>2010</v>
      </c>
      <c r="E1" s="1">
        <v>2011</v>
      </c>
      <c r="F1" s="1">
        <v>2012</v>
      </c>
      <c r="G1" s="1">
        <v>2013</v>
      </c>
      <c r="H1" s="1">
        <v>2014</v>
      </c>
      <c r="I1" s="116" t="s">
        <v>3</v>
      </c>
      <c r="J1" s="116" t="s">
        <v>199</v>
      </c>
      <c r="K1" s="85" t="s">
        <v>5</v>
      </c>
      <c r="L1" s="1" t="s">
        <v>6</v>
      </c>
      <c r="M1" s="1"/>
      <c r="N1" s="1" t="s">
        <v>7</v>
      </c>
      <c r="O1" s="1" t="s">
        <v>8</v>
      </c>
      <c r="P1" s="1" t="s">
        <v>9</v>
      </c>
      <c r="Q1" s="1" t="s">
        <v>10</v>
      </c>
      <c r="R1" s="85" t="s">
        <v>11</v>
      </c>
      <c r="S1" s="117" t="s">
        <v>12</v>
      </c>
    </row>
    <row r="2" spans="1:26" ht="12.75" customHeight="1">
      <c r="A2" s="8">
        <v>1</v>
      </c>
      <c r="B2" s="9" t="s">
        <v>13</v>
      </c>
      <c r="C2" s="9" t="s">
        <v>14</v>
      </c>
      <c r="D2" s="8">
        <v>120</v>
      </c>
      <c r="E2" s="8">
        <v>120</v>
      </c>
      <c r="F2" s="8">
        <v>120</v>
      </c>
      <c r="G2" s="8">
        <v>50</v>
      </c>
      <c r="H2" s="8">
        <v>50</v>
      </c>
      <c r="I2" s="67">
        <v>40316</v>
      </c>
      <c r="J2" s="67">
        <v>40229</v>
      </c>
      <c r="K2" s="43" t="s">
        <v>43</v>
      </c>
      <c r="L2" s="12" t="s">
        <v>16</v>
      </c>
      <c r="M2" s="12" t="s">
        <v>17</v>
      </c>
      <c r="N2" s="15">
        <v>502534510</v>
      </c>
      <c r="O2" s="8" t="s">
        <v>18</v>
      </c>
      <c r="P2" s="9" t="s">
        <v>19</v>
      </c>
      <c r="Q2" s="8" t="s">
        <v>20</v>
      </c>
      <c r="R2" s="43">
        <v>2</v>
      </c>
      <c r="S2" s="118" t="s">
        <v>200</v>
      </c>
    </row>
    <row r="3" spans="1:26" ht="12.75" customHeight="1">
      <c r="A3" s="8">
        <v>2</v>
      </c>
      <c r="B3" s="9" t="s">
        <v>21</v>
      </c>
      <c r="C3" s="9" t="s">
        <v>22</v>
      </c>
      <c r="D3" s="8">
        <v>120</v>
      </c>
      <c r="E3" s="8">
        <v>120</v>
      </c>
      <c r="F3" s="8">
        <v>120</v>
      </c>
      <c r="G3" s="8">
        <v>50</v>
      </c>
      <c r="H3" s="8">
        <v>50</v>
      </c>
      <c r="I3" s="67">
        <v>40316</v>
      </c>
      <c r="J3" s="67">
        <v>40229</v>
      </c>
      <c r="K3" s="43" t="s">
        <v>23</v>
      </c>
      <c r="L3" s="12" t="s">
        <v>24</v>
      </c>
      <c r="M3" s="12" t="s">
        <v>25</v>
      </c>
      <c r="N3" s="15">
        <v>605230859</v>
      </c>
      <c r="O3" s="8" t="s">
        <v>26</v>
      </c>
      <c r="P3" s="9" t="s">
        <v>27</v>
      </c>
      <c r="Q3" s="8" t="s">
        <v>28</v>
      </c>
      <c r="R3" s="43">
        <v>3</v>
      </c>
      <c r="S3" s="118" t="s">
        <v>200</v>
      </c>
    </row>
    <row r="4" spans="1:26" ht="12.75" customHeight="1">
      <c r="A4" s="8">
        <v>3</v>
      </c>
      <c r="B4" s="9" t="s">
        <v>13</v>
      </c>
      <c r="C4" s="9" t="s">
        <v>29</v>
      </c>
      <c r="D4" s="8">
        <v>120</v>
      </c>
      <c r="E4" s="8">
        <v>120</v>
      </c>
      <c r="F4" s="8">
        <v>120</v>
      </c>
      <c r="G4" s="8">
        <v>100</v>
      </c>
      <c r="H4" s="8">
        <v>50</v>
      </c>
      <c r="I4" s="67">
        <v>40316</v>
      </c>
      <c r="J4" s="67">
        <v>40229</v>
      </c>
      <c r="K4" s="43" t="s">
        <v>43</v>
      </c>
      <c r="L4" s="12" t="s">
        <v>30</v>
      </c>
      <c r="M4" s="12" t="s">
        <v>31</v>
      </c>
      <c r="N4" s="15">
        <v>791300469</v>
      </c>
      <c r="O4" s="8" t="s">
        <v>32</v>
      </c>
      <c r="P4" s="9" t="s">
        <v>33</v>
      </c>
      <c r="Q4" s="8" t="s">
        <v>34</v>
      </c>
      <c r="R4" s="43">
        <v>25</v>
      </c>
      <c r="S4" s="118" t="s">
        <v>200</v>
      </c>
    </row>
    <row r="5" spans="1:26" ht="12.75" customHeight="1">
      <c r="A5" s="8">
        <v>4</v>
      </c>
      <c r="B5" s="9" t="s">
        <v>35</v>
      </c>
      <c r="C5" s="9" t="s">
        <v>36</v>
      </c>
      <c r="D5" s="8">
        <v>120</v>
      </c>
      <c r="E5" s="8">
        <v>120</v>
      </c>
      <c r="F5" s="8">
        <v>120</v>
      </c>
      <c r="G5" s="8">
        <v>50</v>
      </c>
      <c r="H5" s="8">
        <v>100</v>
      </c>
      <c r="I5" s="67">
        <v>40316</v>
      </c>
      <c r="J5" s="67">
        <v>40229</v>
      </c>
      <c r="K5" s="43" t="s">
        <v>43</v>
      </c>
      <c r="L5" s="12" t="s">
        <v>37</v>
      </c>
      <c r="M5" s="12" t="s">
        <v>38</v>
      </c>
      <c r="N5" s="15">
        <v>608666164</v>
      </c>
      <c r="O5" s="8" t="s">
        <v>39</v>
      </c>
      <c r="P5" s="9" t="s">
        <v>40</v>
      </c>
      <c r="Q5" s="8" t="s">
        <v>41</v>
      </c>
      <c r="R5" s="43">
        <v>4</v>
      </c>
      <c r="S5" s="118" t="s">
        <v>200</v>
      </c>
    </row>
    <row r="6" spans="1:26" ht="12.75" customHeight="1">
      <c r="A6" s="8">
        <v>5</v>
      </c>
      <c r="B6" s="9" t="s">
        <v>42</v>
      </c>
      <c r="C6" s="9" t="s">
        <v>36</v>
      </c>
      <c r="D6" s="8">
        <v>120</v>
      </c>
      <c r="E6" s="8">
        <v>120</v>
      </c>
      <c r="F6" s="8">
        <v>120</v>
      </c>
      <c r="G6" s="8">
        <v>50</v>
      </c>
      <c r="H6" s="8">
        <v>50</v>
      </c>
      <c r="I6" s="67">
        <v>40316</v>
      </c>
      <c r="J6" s="67">
        <v>40229</v>
      </c>
      <c r="K6" s="43" t="s">
        <v>136</v>
      </c>
      <c r="L6" s="12" t="s">
        <v>44</v>
      </c>
      <c r="M6" s="12" t="s">
        <v>45</v>
      </c>
      <c r="N6" s="15">
        <v>608666170</v>
      </c>
      <c r="O6" s="8" t="s">
        <v>46</v>
      </c>
      <c r="P6" s="9" t="s">
        <v>47</v>
      </c>
      <c r="Q6" s="8" t="s">
        <v>32</v>
      </c>
      <c r="R6" s="43">
        <v>6</v>
      </c>
      <c r="S6" s="118" t="s">
        <v>412</v>
      </c>
    </row>
    <row r="7" spans="1:26" ht="14.4">
      <c r="A7" s="8">
        <v>6</v>
      </c>
      <c r="B7" s="9" t="s">
        <v>48</v>
      </c>
      <c r="C7" s="9" t="s">
        <v>49</v>
      </c>
      <c r="D7" s="8">
        <v>120</v>
      </c>
      <c r="E7" s="8">
        <v>120</v>
      </c>
      <c r="F7" s="8">
        <v>120</v>
      </c>
      <c r="G7" s="8">
        <v>50</v>
      </c>
      <c r="H7" s="8">
        <v>50</v>
      </c>
      <c r="I7" s="67">
        <v>40316</v>
      </c>
      <c r="J7" s="67">
        <v>40229</v>
      </c>
      <c r="K7" s="43" t="s">
        <v>50</v>
      </c>
      <c r="L7" s="12" t="s">
        <v>51</v>
      </c>
      <c r="M7" s="12" t="s">
        <v>52</v>
      </c>
      <c r="N7" s="15">
        <v>601997864</v>
      </c>
      <c r="O7" s="8" t="s">
        <v>32</v>
      </c>
      <c r="P7" s="9" t="s">
        <v>53</v>
      </c>
      <c r="Q7" s="8" t="s">
        <v>54</v>
      </c>
      <c r="R7" s="43">
        <v>33</v>
      </c>
      <c r="S7" s="119"/>
    </row>
    <row r="8" spans="1:26" ht="12.75" customHeight="1">
      <c r="A8" s="8">
        <v>7</v>
      </c>
      <c r="B8" s="9" t="s">
        <v>55</v>
      </c>
      <c r="C8" s="9" t="s">
        <v>56</v>
      </c>
      <c r="D8" s="8">
        <v>60</v>
      </c>
      <c r="E8" s="8">
        <v>60</v>
      </c>
      <c r="F8" s="8">
        <v>60</v>
      </c>
      <c r="G8" s="8">
        <v>50</v>
      </c>
      <c r="H8" s="8">
        <v>50</v>
      </c>
      <c r="I8" s="67">
        <v>40316</v>
      </c>
      <c r="J8" s="67">
        <v>40229</v>
      </c>
      <c r="K8" s="74" t="s">
        <v>57</v>
      </c>
      <c r="L8" s="12" t="s">
        <v>58</v>
      </c>
      <c r="M8" s="12" t="s">
        <v>59</v>
      </c>
      <c r="N8" s="15">
        <v>508373904</v>
      </c>
      <c r="O8" s="8" t="s">
        <v>60</v>
      </c>
      <c r="P8" s="9" t="s">
        <v>61</v>
      </c>
      <c r="Q8" s="8" t="s">
        <v>62</v>
      </c>
      <c r="R8" s="43">
        <v>19</v>
      </c>
      <c r="S8" s="119"/>
    </row>
    <row r="9" spans="1:26" ht="12.75" customHeight="1">
      <c r="A9" s="8">
        <v>8</v>
      </c>
      <c r="B9" s="9" t="s">
        <v>55</v>
      </c>
      <c r="C9" s="9" t="s">
        <v>63</v>
      </c>
      <c r="D9" s="8">
        <v>120</v>
      </c>
      <c r="E9" s="8">
        <v>120</v>
      </c>
      <c r="F9" s="8">
        <v>120</v>
      </c>
      <c r="G9" s="8">
        <v>50</v>
      </c>
      <c r="H9" s="8">
        <v>100</v>
      </c>
      <c r="I9" s="67">
        <v>40316</v>
      </c>
      <c r="J9" s="120">
        <v>40229</v>
      </c>
      <c r="K9" s="43" t="s">
        <v>15</v>
      </c>
      <c r="L9" s="52" t="s">
        <v>65</v>
      </c>
      <c r="M9" s="8" t="s">
        <v>66</v>
      </c>
      <c r="N9" s="15">
        <v>600118375</v>
      </c>
      <c r="O9" s="8" t="s">
        <v>67</v>
      </c>
      <c r="P9" s="79" t="s">
        <v>68</v>
      </c>
      <c r="Q9" s="8" t="s">
        <v>32</v>
      </c>
      <c r="R9" s="43">
        <v>8</v>
      </c>
      <c r="S9" s="119"/>
    </row>
    <row r="10" spans="1:26" ht="12.75" customHeight="1">
      <c r="A10" s="8">
        <v>9</v>
      </c>
      <c r="B10" s="9" t="s">
        <v>42</v>
      </c>
      <c r="C10" s="9" t="s">
        <v>69</v>
      </c>
      <c r="D10" s="8">
        <v>120</v>
      </c>
      <c r="E10" s="8">
        <v>120</v>
      </c>
      <c r="F10" s="8">
        <v>120</v>
      </c>
      <c r="G10" s="8">
        <v>50</v>
      </c>
      <c r="H10" s="8">
        <v>50</v>
      </c>
      <c r="I10" s="67">
        <v>40316</v>
      </c>
      <c r="J10" s="67">
        <v>40229</v>
      </c>
      <c r="K10" s="68" t="s">
        <v>110</v>
      </c>
      <c r="L10" s="8" t="s">
        <v>71</v>
      </c>
      <c r="M10" s="24" t="s">
        <v>72</v>
      </c>
      <c r="N10" s="15">
        <v>603628256</v>
      </c>
      <c r="O10" s="8" t="s">
        <v>73</v>
      </c>
      <c r="P10" s="9" t="s">
        <v>74</v>
      </c>
      <c r="Q10" s="8" t="s">
        <v>75</v>
      </c>
      <c r="R10" s="43">
        <v>7</v>
      </c>
      <c r="S10" s="118" t="s">
        <v>200</v>
      </c>
    </row>
    <row r="11" spans="1:26" ht="12.75" customHeight="1">
      <c r="A11" s="8">
        <v>10</v>
      </c>
      <c r="B11" s="9" t="s">
        <v>88</v>
      </c>
      <c r="C11" s="9" t="s">
        <v>89</v>
      </c>
      <c r="D11" s="8">
        <v>120</v>
      </c>
      <c r="E11" s="8">
        <v>120</v>
      </c>
      <c r="F11" s="8">
        <v>120</v>
      </c>
      <c r="G11" s="8">
        <v>50</v>
      </c>
      <c r="H11" s="8">
        <v>200</v>
      </c>
      <c r="I11" s="67">
        <v>40316</v>
      </c>
      <c r="J11" s="67">
        <v>40229</v>
      </c>
      <c r="K11" s="43" t="s">
        <v>43</v>
      </c>
      <c r="L11" s="47" t="s">
        <v>90</v>
      </c>
      <c r="M11" s="8" t="s">
        <v>91</v>
      </c>
      <c r="N11" s="15">
        <v>500802469</v>
      </c>
      <c r="O11" s="8" t="s">
        <v>92</v>
      </c>
      <c r="P11" s="9" t="s">
        <v>93</v>
      </c>
      <c r="Q11" s="8" t="s">
        <v>32</v>
      </c>
      <c r="R11" s="43">
        <v>10</v>
      </c>
      <c r="S11" s="119"/>
    </row>
    <row r="12" spans="1:26" ht="12.75" customHeight="1">
      <c r="A12" s="8">
        <v>11</v>
      </c>
      <c r="B12" s="9" t="s">
        <v>94</v>
      </c>
      <c r="C12" s="9" t="s">
        <v>95</v>
      </c>
      <c r="D12" s="8">
        <v>60</v>
      </c>
      <c r="E12" s="8">
        <v>60</v>
      </c>
      <c r="F12" s="8">
        <v>120</v>
      </c>
      <c r="G12" s="8">
        <v>50</v>
      </c>
      <c r="H12" s="8">
        <v>50</v>
      </c>
      <c r="I12" s="67">
        <v>40316</v>
      </c>
      <c r="J12" s="67">
        <v>40229</v>
      </c>
      <c r="K12" s="43" t="s">
        <v>150</v>
      </c>
      <c r="L12" s="12" t="s">
        <v>96</v>
      </c>
      <c r="M12" s="24" t="s">
        <v>97</v>
      </c>
      <c r="N12" s="15">
        <v>514474608</v>
      </c>
      <c r="O12" s="8" t="s">
        <v>98</v>
      </c>
      <c r="P12" s="9" t="s">
        <v>99</v>
      </c>
      <c r="Q12" s="8" t="s">
        <v>100</v>
      </c>
      <c r="R12" s="43">
        <v>9</v>
      </c>
      <c r="S12" s="118" t="s">
        <v>200</v>
      </c>
    </row>
    <row r="13" spans="1:26" ht="14.4">
      <c r="A13" s="8">
        <v>12</v>
      </c>
      <c r="B13" s="9" t="s">
        <v>101</v>
      </c>
      <c r="C13" s="9" t="s">
        <v>102</v>
      </c>
      <c r="D13" s="8">
        <v>120</v>
      </c>
      <c r="E13" s="8">
        <v>120</v>
      </c>
      <c r="F13" s="8">
        <v>120</v>
      </c>
      <c r="G13" s="8">
        <v>120</v>
      </c>
      <c r="H13" s="8">
        <v>100</v>
      </c>
      <c r="I13" s="67">
        <v>40316</v>
      </c>
      <c r="J13" s="67">
        <v>40229</v>
      </c>
      <c r="K13" s="43" t="s">
        <v>43</v>
      </c>
      <c r="L13" s="27" t="s">
        <v>103</v>
      </c>
      <c r="M13" s="12" t="s">
        <v>104</v>
      </c>
      <c r="N13" s="15">
        <v>501228703</v>
      </c>
      <c r="O13" s="8" t="s">
        <v>105</v>
      </c>
      <c r="P13" s="9" t="s">
        <v>106</v>
      </c>
      <c r="Q13" s="8" t="s">
        <v>107</v>
      </c>
      <c r="R13" s="43">
        <v>21</v>
      </c>
      <c r="S13" s="119"/>
    </row>
    <row r="14" spans="1:26" ht="14.4">
      <c r="A14" s="8">
        <v>13</v>
      </c>
      <c r="B14" s="9" t="s">
        <v>141</v>
      </c>
      <c r="C14" s="9" t="s">
        <v>169</v>
      </c>
      <c r="D14" s="8">
        <v>30</v>
      </c>
      <c r="E14" s="8">
        <v>120</v>
      </c>
      <c r="F14" s="8">
        <v>120</v>
      </c>
      <c r="G14" s="8">
        <v>50</v>
      </c>
      <c r="H14" s="8">
        <v>50</v>
      </c>
      <c r="I14" s="67">
        <v>40459</v>
      </c>
      <c r="J14" s="120">
        <v>40460</v>
      </c>
      <c r="K14" s="43" t="s">
        <v>170</v>
      </c>
      <c r="L14" s="36" t="s">
        <v>171</v>
      </c>
      <c r="M14" s="12" t="s">
        <v>172</v>
      </c>
      <c r="N14" s="15">
        <v>793406015</v>
      </c>
      <c r="O14" s="8" t="s">
        <v>173</v>
      </c>
      <c r="P14" s="9" t="s">
        <v>174</v>
      </c>
      <c r="Q14" s="8" t="s">
        <v>32</v>
      </c>
      <c r="R14" s="43">
        <v>5</v>
      </c>
      <c r="S14" s="119"/>
    </row>
    <row r="15" spans="1:26" ht="11.25" customHeight="1">
      <c r="A15" s="8">
        <v>14</v>
      </c>
      <c r="B15" s="9" t="s">
        <v>108</v>
      </c>
      <c r="C15" s="9" t="s">
        <v>109</v>
      </c>
      <c r="D15" s="10">
        <v>120</v>
      </c>
      <c r="E15" s="10">
        <v>120</v>
      </c>
      <c r="F15" s="10">
        <v>120</v>
      </c>
      <c r="G15" s="10"/>
      <c r="H15" s="10">
        <v>50</v>
      </c>
      <c r="I15" s="11">
        <v>40316</v>
      </c>
      <c r="J15" s="11">
        <v>40229</v>
      </c>
      <c r="K15" s="9" t="s">
        <v>43</v>
      </c>
      <c r="L15" s="12" t="s">
        <v>111</v>
      </c>
      <c r="M15" s="12" t="s">
        <v>112</v>
      </c>
      <c r="N15" s="13">
        <v>721696982</v>
      </c>
      <c r="O15" s="10" t="s">
        <v>113</v>
      </c>
      <c r="P15" s="43" t="s">
        <v>114</v>
      </c>
      <c r="Q15" s="10" t="s">
        <v>115</v>
      </c>
      <c r="R15" s="45">
        <v>26</v>
      </c>
      <c r="S15" s="16"/>
      <c r="T15" s="7"/>
      <c r="U15" s="7"/>
      <c r="V15" s="7"/>
      <c r="W15" s="7"/>
      <c r="X15" s="7"/>
      <c r="Y15" s="7"/>
      <c r="Z15" s="7"/>
    </row>
    <row r="16" spans="1:26" ht="12.75" customHeight="1">
      <c r="A16" s="8">
        <v>15</v>
      </c>
      <c r="B16" s="9" t="s">
        <v>194</v>
      </c>
      <c r="C16" s="9" t="s">
        <v>195</v>
      </c>
      <c r="D16" s="8">
        <v>120</v>
      </c>
      <c r="E16" s="8">
        <v>120</v>
      </c>
      <c r="F16" s="8">
        <v>120</v>
      </c>
      <c r="G16" s="8">
        <v>120</v>
      </c>
      <c r="H16" s="8">
        <v>50</v>
      </c>
      <c r="I16" s="67">
        <v>40460</v>
      </c>
      <c r="J16" s="67">
        <v>40468</v>
      </c>
      <c r="K16" s="43" t="s">
        <v>170</v>
      </c>
      <c r="L16" s="12" t="s">
        <v>196</v>
      </c>
      <c r="M16" s="12" t="s">
        <v>191</v>
      </c>
      <c r="N16" s="15">
        <v>508916020</v>
      </c>
      <c r="O16" s="8" t="s">
        <v>32</v>
      </c>
      <c r="P16" s="9" t="s">
        <v>197</v>
      </c>
      <c r="Q16" s="8" t="s">
        <v>198</v>
      </c>
      <c r="R16" s="43">
        <v>15</v>
      </c>
      <c r="S16" s="119"/>
    </row>
    <row r="17" spans="1:26" ht="12.75" customHeight="1">
      <c r="A17" s="8">
        <v>16</v>
      </c>
      <c r="B17" s="9" t="s">
        <v>55</v>
      </c>
      <c r="C17" s="9" t="s">
        <v>207</v>
      </c>
      <c r="D17" s="121"/>
      <c r="E17" s="8">
        <v>120</v>
      </c>
      <c r="F17" s="8">
        <v>120</v>
      </c>
      <c r="G17" s="8">
        <v>50</v>
      </c>
      <c r="H17" s="8">
        <v>50</v>
      </c>
      <c r="I17" s="67">
        <v>40460</v>
      </c>
      <c r="J17" s="67">
        <v>40630</v>
      </c>
      <c r="K17" s="43" t="s">
        <v>170</v>
      </c>
      <c r="L17" s="12" t="s">
        <v>208</v>
      </c>
      <c r="M17" s="12" t="s">
        <v>209</v>
      </c>
      <c r="N17" s="15">
        <v>601672777</v>
      </c>
      <c r="O17" s="8" t="s">
        <v>210</v>
      </c>
      <c r="P17" s="9" t="s">
        <v>211</v>
      </c>
      <c r="Q17" s="8">
        <v>943404489</v>
      </c>
      <c r="R17" s="43">
        <v>37</v>
      </c>
      <c r="S17" s="119"/>
    </row>
    <row r="18" spans="1:26" ht="12.75" customHeight="1">
      <c r="A18" s="8">
        <v>17</v>
      </c>
      <c r="B18" s="9" t="s">
        <v>188</v>
      </c>
      <c r="C18" s="9" t="s">
        <v>223</v>
      </c>
      <c r="D18" s="121"/>
      <c r="E18" s="8">
        <v>120</v>
      </c>
      <c r="F18" s="8">
        <v>120</v>
      </c>
      <c r="G18" s="8">
        <v>50</v>
      </c>
      <c r="H18" s="8"/>
      <c r="I18" s="67">
        <v>40530</v>
      </c>
      <c r="J18" s="67">
        <v>40676</v>
      </c>
      <c r="K18" s="51" t="s">
        <v>64</v>
      </c>
      <c r="L18" s="8" t="s">
        <v>224</v>
      </c>
      <c r="M18" s="12" t="s">
        <v>225</v>
      </c>
      <c r="N18" s="15">
        <v>793258511</v>
      </c>
      <c r="O18" s="8" t="s">
        <v>226</v>
      </c>
      <c r="P18" s="9" t="s">
        <v>227</v>
      </c>
      <c r="Q18" s="8">
        <v>413003499</v>
      </c>
      <c r="R18" s="43">
        <v>22</v>
      </c>
      <c r="S18" s="118" t="s">
        <v>200</v>
      </c>
    </row>
    <row r="19" spans="1:26" ht="14.4">
      <c r="A19" s="8">
        <v>18</v>
      </c>
      <c r="B19" s="9" t="s">
        <v>188</v>
      </c>
      <c r="C19" s="9" t="s">
        <v>246</v>
      </c>
      <c r="D19" s="46"/>
      <c r="E19" s="8">
        <v>70</v>
      </c>
      <c r="F19" s="8">
        <v>120</v>
      </c>
      <c r="G19" s="8">
        <v>50</v>
      </c>
      <c r="H19" s="8">
        <v>50</v>
      </c>
      <c r="I19" s="67">
        <v>40737</v>
      </c>
      <c r="J19" s="67">
        <v>40731</v>
      </c>
      <c r="K19" s="43" t="s">
        <v>170</v>
      </c>
      <c r="L19" s="8" t="s">
        <v>247</v>
      </c>
      <c r="M19" s="12" t="s">
        <v>248</v>
      </c>
      <c r="N19" s="8" t="s">
        <v>249</v>
      </c>
      <c r="O19" s="8"/>
      <c r="P19" s="9" t="s">
        <v>250</v>
      </c>
      <c r="Q19" s="8"/>
      <c r="R19" s="43">
        <v>43</v>
      </c>
      <c r="S19" s="119"/>
    </row>
    <row r="20" spans="1:26" ht="14.4">
      <c r="A20" s="8">
        <v>19</v>
      </c>
      <c r="B20" s="9" t="s">
        <v>345</v>
      </c>
      <c r="C20" s="9" t="s">
        <v>346</v>
      </c>
      <c r="D20" s="46"/>
      <c r="E20" s="10">
        <v>0</v>
      </c>
      <c r="F20" s="10">
        <v>60</v>
      </c>
      <c r="G20" s="10"/>
      <c r="H20" s="10">
        <v>50</v>
      </c>
      <c r="I20" s="11">
        <v>40702</v>
      </c>
      <c r="J20" s="11">
        <v>40955</v>
      </c>
      <c r="K20" s="9" t="s">
        <v>347</v>
      </c>
      <c r="L20" s="8" t="s">
        <v>348</v>
      </c>
      <c r="M20" s="12" t="s">
        <v>349</v>
      </c>
      <c r="N20" s="10" t="s">
        <v>350</v>
      </c>
      <c r="O20" s="10"/>
      <c r="P20" s="45" t="s">
        <v>351</v>
      </c>
      <c r="Q20" s="10"/>
      <c r="R20" s="45">
        <v>44</v>
      </c>
      <c r="S20" s="16"/>
      <c r="T20" s="7"/>
      <c r="U20" s="7"/>
      <c r="V20" s="7"/>
      <c r="W20" s="7"/>
      <c r="X20" s="7"/>
      <c r="Y20" s="7"/>
      <c r="Z20" s="7"/>
    </row>
    <row r="21" spans="1:26" ht="12.75" customHeight="1">
      <c r="A21" s="8">
        <v>20</v>
      </c>
      <c r="B21" s="9" t="s">
        <v>194</v>
      </c>
      <c r="C21" s="9" t="s">
        <v>234</v>
      </c>
      <c r="D21" s="46"/>
      <c r="E21" s="8">
        <v>30</v>
      </c>
      <c r="F21" s="8">
        <v>60</v>
      </c>
      <c r="G21" s="8">
        <v>50</v>
      </c>
      <c r="H21" s="8"/>
      <c r="I21" s="67">
        <v>40698</v>
      </c>
      <c r="J21" s="67">
        <v>40707</v>
      </c>
      <c r="K21" s="43" t="s">
        <v>170</v>
      </c>
      <c r="L21" s="8" t="s">
        <v>235</v>
      </c>
      <c r="M21" s="12" t="s">
        <v>236</v>
      </c>
      <c r="N21" s="8" t="s">
        <v>237</v>
      </c>
      <c r="O21" s="8"/>
      <c r="P21" s="9" t="s">
        <v>238</v>
      </c>
      <c r="Q21" s="8"/>
      <c r="R21" s="43">
        <v>45</v>
      </c>
      <c r="S21" s="119"/>
    </row>
    <row r="22" spans="1:26" ht="11.25" customHeight="1">
      <c r="A22" s="8">
        <v>21</v>
      </c>
      <c r="B22" s="9" t="s">
        <v>268</v>
      </c>
      <c r="C22" s="9" t="s">
        <v>269</v>
      </c>
      <c r="D22" s="46"/>
      <c r="E22" s="10">
        <v>30</v>
      </c>
      <c r="F22" s="10">
        <v>60</v>
      </c>
      <c r="G22" s="10"/>
      <c r="H22" s="10">
        <v>50</v>
      </c>
      <c r="I22" s="11">
        <v>40709</v>
      </c>
      <c r="J22" s="11">
        <v>40767</v>
      </c>
      <c r="K22" s="9" t="s">
        <v>170</v>
      </c>
      <c r="L22" s="8" t="s">
        <v>270</v>
      </c>
      <c r="M22" s="12" t="s">
        <v>271</v>
      </c>
      <c r="N22" s="10" t="s">
        <v>272</v>
      </c>
      <c r="O22" s="10"/>
      <c r="P22" s="45" t="s">
        <v>273</v>
      </c>
      <c r="Q22" s="10"/>
      <c r="R22" s="45">
        <v>57</v>
      </c>
      <c r="S22" s="16"/>
      <c r="T22" s="7"/>
      <c r="U22" s="7"/>
      <c r="V22" s="7"/>
      <c r="W22" s="7"/>
      <c r="X22" s="7"/>
      <c r="Y22" s="7"/>
      <c r="Z22" s="7"/>
    </row>
    <row r="23" spans="1:26" ht="12.75" customHeight="1">
      <c r="A23" s="8">
        <v>22</v>
      </c>
      <c r="B23" s="9" t="s">
        <v>217</v>
      </c>
      <c r="C23" s="9" t="s">
        <v>116</v>
      </c>
      <c r="D23" s="46"/>
      <c r="E23" s="8">
        <v>20</v>
      </c>
      <c r="F23" s="8">
        <v>100</v>
      </c>
      <c r="G23" s="8">
        <v>150</v>
      </c>
      <c r="H23" s="8"/>
      <c r="I23" s="67">
        <v>40847</v>
      </c>
      <c r="J23" s="67" t="s">
        <v>331</v>
      </c>
      <c r="K23" s="43" t="s">
        <v>143</v>
      </c>
      <c r="L23" s="8" t="s">
        <v>332</v>
      </c>
      <c r="M23" s="12" t="s">
        <v>333</v>
      </c>
      <c r="N23" s="15">
        <v>504377500</v>
      </c>
      <c r="O23" s="8"/>
      <c r="P23" s="9" t="s">
        <v>334</v>
      </c>
      <c r="Q23" s="8"/>
      <c r="R23" s="43">
        <v>61</v>
      </c>
      <c r="S23" s="119"/>
    </row>
    <row r="24" spans="1:26" ht="11.25" customHeight="1">
      <c r="A24" s="8">
        <v>23</v>
      </c>
      <c r="B24" s="9" t="s">
        <v>315</v>
      </c>
      <c r="C24" s="9" t="s">
        <v>316</v>
      </c>
      <c r="D24" s="46"/>
      <c r="E24" s="10">
        <v>40</v>
      </c>
      <c r="F24" s="10">
        <v>120</v>
      </c>
      <c r="G24" s="10"/>
      <c r="H24" s="10">
        <v>50</v>
      </c>
      <c r="I24" s="11">
        <v>40812</v>
      </c>
      <c r="J24" s="11">
        <v>40812</v>
      </c>
      <c r="K24" s="9" t="s">
        <v>170</v>
      </c>
      <c r="L24" s="8" t="s">
        <v>317</v>
      </c>
      <c r="M24" s="12" t="s">
        <v>191</v>
      </c>
      <c r="N24" s="13">
        <v>886820739</v>
      </c>
      <c r="O24" s="10"/>
      <c r="P24" s="45" t="s">
        <v>318</v>
      </c>
      <c r="Q24" s="10"/>
      <c r="R24" s="45">
        <v>63</v>
      </c>
      <c r="S24" s="40" t="s">
        <v>200</v>
      </c>
      <c r="T24" s="7"/>
      <c r="U24" s="7"/>
      <c r="V24" s="7"/>
      <c r="W24" s="7"/>
      <c r="X24" s="7"/>
      <c r="Y24" s="7"/>
      <c r="Z24" s="7"/>
    </row>
    <row r="25" spans="1:26" ht="12.75" customHeight="1">
      <c r="A25" s="8">
        <v>24</v>
      </c>
      <c r="B25" s="9" t="s">
        <v>35</v>
      </c>
      <c r="C25" s="9" t="s">
        <v>319</v>
      </c>
      <c r="D25" s="46"/>
      <c r="E25" s="8">
        <v>120</v>
      </c>
      <c r="F25" s="8">
        <v>120</v>
      </c>
      <c r="G25" s="8">
        <v>50</v>
      </c>
      <c r="H25" s="8">
        <v>50</v>
      </c>
      <c r="I25" s="67">
        <v>40814</v>
      </c>
      <c r="J25" s="67">
        <v>40815</v>
      </c>
      <c r="K25" s="43" t="s">
        <v>170</v>
      </c>
      <c r="L25" s="8" t="s">
        <v>320</v>
      </c>
      <c r="M25" s="12" t="s">
        <v>321</v>
      </c>
      <c r="N25" s="8" t="s">
        <v>322</v>
      </c>
      <c r="O25" s="8" t="s">
        <v>323</v>
      </c>
      <c r="P25" s="9" t="s">
        <v>324</v>
      </c>
      <c r="Q25" s="8"/>
      <c r="R25" s="43">
        <v>64</v>
      </c>
      <c r="S25" s="119"/>
    </row>
    <row r="26" spans="1:26" ht="12.75" customHeight="1">
      <c r="A26" s="8">
        <v>25</v>
      </c>
      <c r="B26" s="9" t="s">
        <v>340</v>
      </c>
      <c r="C26" s="9" t="s">
        <v>341</v>
      </c>
      <c r="D26" s="46"/>
      <c r="E26" s="46"/>
      <c r="F26" s="8">
        <v>120</v>
      </c>
      <c r="G26" s="8">
        <v>50</v>
      </c>
      <c r="H26" s="8">
        <v>50</v>
      </c>
      <c r="I26" s="67">
        <v>40949</v>
      </c>
      <c r="J26" s="67">
        <v>40953</v>
      </c>
      <c r="K26" s="68" t="s">
        <v>170</v>
      </c>
      <c r="L26" s="8" t="s">
        <v>342</v>
      </c>
      <c r="M26" s="8" t="s">
        <v>343</v>
      </c>
      <c r="N26" s="15">
        <v>660749160</v>
      </c>
      <c r="O26" s="122"/>
      <c r="P26" s="123" t="s">
        <v>344</v>
      </c>
      <c r="Q26" s="72"/>
      <c r="R26" s="43">
        <v>67</v>
      </c>
      <c r="S26" s="119"/>
    </row>
    <row r="27" spans="1:26" ht="12.75" customHeight="1">
      <c r="A27" s="8">
        <v>26</v>
      </c>
      <c r="B27" s="9" t="s">
        <v>356</v>
      </c>
      <c r="C27" s="9" t="s">
        <v>357</v>
      </c>
      <c r="D27" s="46"/>
      <c r="E27" s="46"/>
      <c r="F27" s="8">
        <v>100</v>
      </c>
      <c r="G27" s="8">
        <v>50</v>
      </c>
      <c r="H27" s="8"/>
      <c r="I27" s="67">
        <v>41145</v>
      </c>
      <c r="J27" s="67">
        <v>40974</v>
      </c>
      <c r="K27" s="68" t="s">
        <v>170</v>
      </c>
      <c r="L27" s="8" t="s">
        <v>358</v>
      </c>
      <c r="M27" s="8" t="s">
        <v>359</v>
      </c>
      <c r="N27" s="15">
        <v>698686932</v>
      </c>
      <c r="O27" s="122"/>
      <c r="P27" s="9" t="s">
        <v>360</v>
      </c>
      <c r="Q27" s="72"/>
      <c r="R27" s="43">
        <v>62</v>
      </c>
      <c r="S27" s="119"/>
    </row>
    <row r="28" spans="1:26" ht="12.75" customHeight="1">
      <c r="A28" s="8">
        <v>27</v>
      </c>
      <c r="B28" s="9" t="s">
        <v>388</v>
      </c>
      <c r="C28" s="9" t="s">
        <v>389</v>
      </c>
      <c r="D28" s="46"/>
      <c r="E28" s="46"/>
      <c r="F28" s="8">
        <v>45</v>
      </c>
      <c r="G28" s="8">
        <v>50</v>
      </c>
      <c r="H28" s="8">
        <v>50</v>
      </c>
      <c r="I28" s="67">
        <v>41012</v>
      </c>
      <c r="J28" s="67">
        <v>41012</v>
      </c>
      <c r="K28" s="43" t="s">
        <v>170</v>
      </c>
      <c r="L28" s="8" t="s">
        <v>390</v>
      </c>
      <c r="M28" s="8" t="s">
        <v>391</v>
      </c>
      <c r="N28" s="15">
        <v>513861604</v>
      </c>
      <c r="O28" s="71"/>
      <c r="P28" s="9" t="s">
        <v>392</v>
      </c>
      <c r="Q28" s="72"/>
      <c r="R28" s="43">
        <v>72</v>
      </c>
      <c r="S28" s="70"/>
    </row>
    <row r="29" spans="1:26" ht="12.75" customHeight="1">
      <c r="A29" s="8">
        <v>28</v>
      </c>
      <c r="B29" s="74" t="s">
        <v>401</v>
      </c>
      <c r="C29" s="17" t="s">
        <v>402</v>
      </c>
      <c r="D29" s="59"/>
      <c r="E29" s="59"/>
      <c r="F29" s="47">
        <v>25</v>
      </c>
      <c r="G29" s="47">
        <v>50</v>
      </c>
      <c r="H29" s="47">
        <v>50</v>
      </c>
      <c r="I29" s="75">
        <v>41137</v>
      </c>
      <c r="J29" s="75">
        <v>41137</v>
      </c>
      <c r="K29" s="74" t="s">
        <v>378</v>
      </c>
      <c r="L29" s="47" t="s">
        <v>403</v>
      </c>
      <c r="M29" s="47" t="s">
        <v>404</v>
      </c>
      <c r="N29" s="76">
        <v>784918776</v>
      </c>
      <c r="O29" s="77" t="s">
        <v>405</v>
      </c>
      <c r="P29" s="17" t="s">
        <v>406</v>
      </c>
      <c r="Q29" s="52"/>
      <c r="R29" s="74">
        <v>73</v>
      </c>
      <c r="S29" s="118" t="s">
        <v>200</v>
      </c>
    </row>
    <row r="30" spans="1:26" ht="12.75" customHeight="1">
      <c r="A30" s="8">
        <v>29</v>
      </c>
      <c r="B30" s="17" t="s">
        <v>413</v>
      </c>
      <c r="C30" s="17" t="s">
        <v>414</v>
      </c>
      <c r="D30" s="46"/>
      <c r="E30" s="46"/>
      <c r="F30" s="46"/>
      <c r="G30" s="47">
        <v>120</v>
      </c>
      <c r="H30" s="47">
        <v>50</v>
      </c>
      <c r="I30" s="75">
        <v>41131</v>
      </c>
      <c r="J30" s="75">
        <v>41311</v>
      </c>
      <c r="K30" s="89" t="s">
        <v>170</v>
      </c>
      <c r="L30" s="47" t="s">
        <v>415</v>
      </c>
      <c r="M30" s="47" t="s">
        <v>416</v>
      </c>
      <c r="N30" s="76">
        <v>601357602</v>
      </c>
      <c r="O30" s="77"/>
      <c r="P30" s="9" t="s">
        <v>417</v>
      </c>
      <c r="Q30" s="124"/>
      <c r="R30" s="74">
        <v>76</v>
      </c>
      <c r="S30" s="74"/>
    </row>
    <row r="31" spans="1:26" ht="12.75" customHeight="1">
      <c r="A31" s="8">
        <v>30</v>
      </c>
      <c r="B31" s="9" t="s">
        <v>194</v>
      </c>
      <c r="C31" s="9" t="s">
        <v>418</v>
      </c>
      <c r="D31" s="46"/>
      <c r="E31" s="46"/>
      <c r="F31" s="46"/>
      <c r="G31" s="8">
        <v>50</v>
      </c>
      <c r="H31" s="8"/>
      <c r="I31" s="67">
        <v>41314</v>
      </c>
      <c r="J31" s="67">
        <v>41319</v>
      </c>
      <c r="K31" s="43" t="s">
        <v>170</v>
      </c>
      <c r="L31" s="8" t="s">
        <v>419</v>
      </c>
      <c r="M31" s="8" t="s">
        <v>420</v>
      </c>
      <c r="N31" s="15">
        <v>668429949</v>
      </c>
      <c r="O31" s="71" t="s">
        <v>421</v>
      </c>
      <c r="P31" s="9" t="s">
        <v>422</v>
      </c>
      <c r="Q31" s="125"/>
      <c r="R31" s="74">
        <v>77</v>
      </c>
      <c r="S31" s="70"/>
    </row>
    <row r="32" spans="1:26" ht="12.75" customHeight="1">
      <c r="A32" s="8">
        <v>31</v>
      </c>
      <c r="B32" s="43" t="s">
        <v>423</v>
      </c>
      <c r="C32" s="43" t="s">
        <v>424</v>
      </c>
      <c r="D32" s="46"/>
      <c r="E32" s="46"/>
      <c r="F32" s="46"/>
      <c r="G32" s="8">
        <v>50</v>
      </c>
      <c r="H32" s="8"/>
      <c r="I32" s="67">
        <v>41329</v>
      </c>
      <c r="J32" s="67">
        <v>41369</v>
      </c>
      <c r="K32" s="43" t="s">
        <v>170</v>
      </c>
      <c r="L32" s="8" t="s">
        <v>425</v>
      </c>
      <c r="M32" s="8" t="s">
        <v>426</v>
      </c>
      <c r="N32" s="43"/>
      <c r="O32" s="71" t="s">
        <v>427</v>
      </c>
      <c r="P32" s="9" t="s">
        <v>428</v>
      </c>
      <c r="Q32" s="125"/>
      <c r="R32" s="74">
        <v>78</v>
      </c>
      <c r="S32" s="70"/>
    </row>
    <row r="33" spans="1:19" ht="12.75" customHeight="1">
      <c r="A33" s="8">
        <v>32</v>
      </c>
      <c r="B33" s="43" t="s">
        <v>429</v>
      </c>
      <c r="C33" s="43" t="s">
        <v>430</v>
      </c>
      <c r="D33" s="46"/>
      <c r="E33" s="46"/>
      <c r="F33" s="46"/>
      <c r="G33" s="8">
        <v>50</v>
      </c>
      <c r="H33" s="8"/>
      <c r="I33" s="67">
        <v>41349</v>
      </c>
      <c r="J33" s="67">
        <v>41354</v>
      </c>
      <c r="K33" s="43" t="s">
        <v>170</v>
      </c>
      <c r="L33" s="8" t="s">
        <v>431</v>
      </c>
      <c r="M33" s="8" t="s">
        <v>432</v>
      </c>
      <c r="N33" s="15">
        <v>512180992</v>
      </c>
      <c r="O33" s="68"/>
      <c r="P33" s="9" t="s">
        <v>433</v>
      </c>
      <c r="Q33" s="125"/>
      <c r="R33" s="74">
        <v>79</v>
      </c>
      <c r="S33" s="70"/>
    </row>
    <row r="34" spans="1:19" ht="12.75" customHeight="1">
      <c r="A34" s="8">
        <v>33</v>
      </c>
      <c r="B34" s="43" t="s">
        <v>76</v>
      </c>
      <c r="C34" s="43" t="s">
        <v>434</v>
      </c>
      <c r="D34" s="46"/>
      <c r="E34" s="46"/>
      <c r="F34" s="46"/>
      <c r="G34" s="8">
        <v>50</v>
      </c>
      <c r="H34" s="8"/>
      <c r="I34" s="67">
        <v>41349</v>
      </c>
      <c r="J34" s="67">
        <v>41353</v>
      </c>
      <c r="K34" s="43" t="s">
        <v>170</v>
      </c>
      <c r="L34" s="8" t="s">
        <v>435</v>
      </c>
      <c r="M34" s="8" t="s">
        <v>436</v>
      </c>
      <c r="N34" s="15">
        <v>518716183</v>
      </c>
      <c r="O34" s="68"/>
      <c r="P34" s="9" t="s">
        <v>437</v>
      </c>
      <c r="Q34" s="125"/>
      <c r="R34" s="74">
        <v>80</v>
      </c>
      <c r="S34" s="70"/>
    </row>
    <row r="35" spans="1:19" ht="12.75" customHeight="1">
      <c r="A35" s="8">
        <v>34</v>
      </c>
      <c r="B35" s="43" t="s">
        <v>438</v>
      </c>
      <c r="C35" s="43" t="s">
        <v>95</v>
      </c>
      <c r="D35" s="46"/>
      <c r="E35" s="46"/>
      <c r="F35" s="46"/>
      <c r="G35" s="8">
        <v>50</v>
      </c>
      <c r="H35" s="8">
        <v>50</v>
      </c>
      <c r="I35" s="126">
        <v>41352</v>
      </c>
      <c r="J35" s="67">
        <v>41358</v>
      </c>
      <c r="K35" s="43" t="s">
        <v>378</v>
      </c>
      <c r="L35" s="8" t="s">
        <v>439</v>
      </c>
      <c r="M35" s="8" t="s">
        <v>97</v>
      </c>
      <c r="N35" s="15">
        <v>510639087</v>
      </c>
      <c r="O35" s="68"/>
      <c r="P35" s="9" t="s">
        <v>440</v>
      </c>
      <c r="Q35" s="125"/>
      <c r="R35" s="74">
        <v>82</v>
      </c>
      <c r="S35" s="70"/>
    </row>
    <row r="36" spans="1:19" ht="12.75" customHeight="1">
      <c r="A36" s="8">
        <v>35</v>
      </c>
      <c r="B36" s="43" t="s">
        <v>441</v>
      </c>
      <c r="C36" s="43" t="s">
        <v>442</v>
      </c>
      <c r="D36" s="46"/>
      <c r="E36" s="46"/>
      <c r="F36" s="46"/>
      <c r="G36" s="8">
        <v>50</v>
      </c>
      <c r="H36" s="8">
        <v>50</v>
      </c>
      <c r="I36" s="126">
        <v>41354</v>
      </c>
      <c r="J36" s="67">
        <v>41354</v>
      </c>
      <c r="K36" s="43" t="s">
        <v>170</v>
      </c>
      <c r="L36" s="8" t="s">
        <v>443</v>
      </c>
      <c r="M36" s="8" t="s">
        <v>444</v>
      </c>
      <c r="N36" s="15">
        <v>607777011</v>
      </c>
      <c r="O36" s="68"/>
      <c r="P36" s="9" t="s">
        <v>445</v>
      </c>
      <c r="Q36" s="125"/>
      <c r="R36" s="74">
        <v>83</v>
      </c>
      <c r="S36" s="118" t="s">
        <v>412</v>
      </c>
    </row>
    <row r="37" spans="1:19" ht="12.75" customHeight="1">
      <c r="A37" s="8">
        <v>36</v>
      </c>
      <c r="B37" s="74" t="s">
        <v>446</v>
      </c>
      <c r="C37" s="74" t="s">
        <v>447</v>
      </c>
      <c r="D37" s="46"/>
      <c r="E37" s="46"/>
      <c r="F37" s="46"/>
      <c r="G37" s="47">
        <v>50</v>
      </c>
      <c r="H37" s="47"/>
      <c r="I37" s="127">
        <v>41354</v>
      </c>
      <c r="J37" s="75">
        <v>41355</v>
      </c>
      <c r="K37" s="74" t="s">
        <v>170</v>
      </c>
      <c r="L37" s="22" t="s">
        <v>448</v>
      </c>
      <c r="M37" s="8" t="s">
        <v>449</v>
      </c>
      <c r="N37" s="128">
        <v>781815484</v>
      </c>
      <c r="O37" s="89"/>
      <c r="P37" s="9" t="s">
        <v>450</v>
      </c>
      <c r="Q37" s="124"/>
      <c r="R37" s="74">
        <v>84</v>
      </c>
      <c r="S37" s="129"/>
    </row>
    <row r="38" spans="1:19" ht="12.75" customHeight="1">
      <c r="A38" s="8">
        <v>37</v>
      </c>
      <c r="B38" s="43" t="s">
        <v>13</v>
      </c>
      <c r="C38" s="43" t="s">
        <v>451</v>
      </c>
      <c r="D38" s="46"/>
      <c r="E38" s="46"/>
      <c r="F38" s="46"/>
      <c r="G38" s="8">
        <v>50</v>
      </c>
      <c r="H38" s="8"/>
      <c r="I38" s="67">
        <v>41361</v>
      </c>
      <c r="J38" s="67">
        <v>41361</v>
      </c>
      <c r="K38" s="43" t="s">
        <v>378</v>
      </c>
      <c r="L38" s="8" t="s">
        <v>452</v>
      </c>
      <c r="M38" s="8" t="s">
        <v>453</v>
      </c>
      <c r="N38" s="43"/>
      <c r="O38" s="68"/>
      <c r="P38" s="9" t="s">
        <v>454</v>
      </c>
      <c r="Q38" s="125"/>
      <c r="R38" s="74">
        <v>85</v>
      </c>
      <c r="S38" s="70"/>
    </row>
    <row r="39" spans="1:19" ht="12.75" customHeight="1">
      <c r="A39" s="8">
        <v>38</v>
      </c>
      <c r="B39" s="43" t="s">
        <v>13</v>
      </c>
      <c r="C39" s="43" t="s">
        <v>455</v>
      </c>
      <c r="D39" s="46"/>
      <c r="E39" s="46"/>
      <c r="F39" s="46"/>
      <c r="G39" s="8">
        <v>50</v>
      </c>
      <c r="H39" s="8"/>
      <c r="I39" s="67">
        <v>41362</v>
      </c>
      <c r="J39" s="67">
        <v>41389</v>
      </c>
      <c r="K39" s="74" t="s">
        <v>170</v>
      </c>
      <c r="L39" s="8" t="s">
        <v>456</v>
      </c>
      <c r="M39" s="8" t="s">
        <v>457</v>
      </c>
      <c r="N39" s="15">
        <v>793594319</v>
      </c>
      <c r="O39" s="68"/>
      <c r="P39" s="9" t="s">
        <v>458</v>
      </c>
      <c r="Q39" s="125"/>
      <c r="R39" s="74">
        <v>86</v>
      </c>
      <c r="S39" s="70"/>
    </row>
    <row r="40" spans="1:19" ht="12.75" customHeight="1">
      <c r="A40" s="8">
        <v>39</v>
      </c>
      <c r="B40" s="43" t="s">
        <v>459</v>
      </c>
      <c r="C40" s="43" t="s">
        <v>460</v>
      </c>
      <c r="D40" s="46"/>
      <c r="E40" s="46"/>
      <c r="F40" s="46"/>
      <c r="G40" s="8">
        <v>50</v>
      </c>
      <c r="H40" s="8"/>
      <c r="I40" s="67"/>
      <c r="J40" s="67">
        <v>41362</v>
      </c>
      <c r="K40" s="43" t="s">
        <v>170</v>
      </c>
      <c r="L40" s="43"/>
      <c r="M40" s="8"/>
      <c r="N40" s="43"/>
      <c r="O40" s="68"/>
      <c r="P40" s="9"/>
      <c r="Q40" s="125"/>
      <c r="R40" s="74">
        <v>87</v>
      </c>
      <c r="S40" s="70"/>
    </row>
    <row r="41" spans="1:19" ht="12.75" customHeight="1">
      <c r="A41" s="8">
        <v>40</v>
      </c>
      <c r="B41" s="43" t="s">
        <v>134</v>
      </c>
      <c r="C41" s="43" t="s">
        <v>461</v>
      </c>
      <c r="D41" s="46"/>
      <c r="E41" s="46"/>
      <c r="F41" s="46"/>
      <c r="G41" s="8">
        <v>50</v>
      </c>
      <c r="H41" s="8">
        <v>50</v>
      </c>
      <c r="I41" s="67">
        <v>41407</v>
      </c>
      <c r="J41" s="67">
        <v>41404</v>
      </c>
      <c r="K41" s="43" t="s">
        <v>170</v>
      </c>
      <c r="L41" s="8" t="s">
        <v>462</v>
      </c>
      <c r="M41" s="8" t="s">
        <v>463</v>
      </c>
      <c r="N41" s="43"/>
      <c r="O41" s="68"/>
      <c r="P41" s="9" t="s">
        <v>464</v>
      </c>
      <c r="Q41" s="125"/>
      <c r="R41" s="74">
        <v>88</v>
      </c>
      <c r="S41" s="70"/>
    </row>
    <row r="42" spans="1:19" ht="12.75" customHeight="1">
      <c r="A42" s="8">
        <v>41</v>
      </c>
      <c r="B42" s="43" t="s">
        <v>465</v>
      </c>
      <c r="C42" s="43" t="s">
        <v>466</v>
      </c>
      <c r="D42" s="46"/>
      <c r="E42" s="46"/>
      <c r="F42" s="46"/>
      <c r="G42" s="8">
        <v>50</v>
      </c>
      <c r="H42" s="8"/>
      <c r="I42" s="67">
        <v>41509</v>
      </c>
      <c r="J42" s="67">
        <v>41509</v>
      </c>
      <c r="K42" s="43" t="s">
        <v>170</v>
      </c>
      <c r="L42" s="8" t="s">
        <v>467</v>
      </c>
      <c r="M42" s="8" t="s">
        <v>468</v>
      </c>
      <c r="N42" s="15">
        <v>884308894</v>
      </c>
      <c r="O42" s="71" t="s">
        <v>469</v>
      </c>
      <c r="P42" s="9" t="s">
        <v>470</v>
      </c>
      <c r="Q42" s="125"/>
      <c r="R42" s="43">
        <v>90</v>
      </c>
      <c r="S42" s="70"/>
    </row>
    <row r="43" spans="1:19" ht="12.75" customHeight="1">
      <c r="A43" s="8">
        <v>42</v>
      </c>
      <c r="B43" s="43" t="s">
        <v>21</v>
      </c>
      <c r="C43" s="43" t="s">
        <v>471</v>
      </c>
      <c r="D43" s="46"/>
      <c r="E43" s="46"/>
      <c r="F43" s="46"/>
      <c r="G43" s="8">
        <v>50</v>
      </c>
      <c r="H43" s="8"/>
      <c r="I43" s="67">
        <v>41523</v>
      </c>
      <c r="J43" s="67">
        <v>41523</v>
      </c>
      <c r="K43" s="43" t="s">
        <v>170</v>
      </c>
      <c r="L43" s="8" t="s">
        <v>472</v>
      </c>
      <c r="M43" s="8" t="s">
        <v>473</v>
      </c>
      <c r="N43" s="15">
        <v>609915799</v>
      </c>
      <c r="O43" s="71" t="s">
        <v>474</v>
      </c>
      <c r="P43" s="9" t="s">
        <v>475</v>
      </c>
      <c r="Q43" s="125"/>
      <c r="R43" s="43">
        <v>91</v>
      </c>
      <c r="S43" s="70"/>
    </row>
    <row r="44" spans="1:19" ht="12.75" customHeight="1">
      <c r="A44" s="8">
        <v>43</v>
      </c>
      <c r="B44" s="43" t="s">
        <v>476</v>
      </c>
      <c r="C44" s="43" t="s">
        <v>477</v>
      </c>
      <c r="D44" s="46"/>
      <c r="E44" s="46"/>
      <c r="F44" s="46"/>
      <c r="G44" s="8">
        <v>50</v>
      </c>
      <c r="H44" s="8">
        <v>50</v>
      </c>
      <c r="I44" s="67"/>
      <c r="J44" s="67">
        <v>41526</v>
      </c>
      <c r="K44" s="43" t="s">
        <v>170</v>
      </c>
      <c r="L44" s="8" t="s">
        <v>478</v>
      </c>
      <c r="M44" s="8" t="s">
        <v>479</v>
      </c>
      <c r="N44" s="43"/>
      <c r="O44" s="68"/>
      <c r="P44" s="9"/>
      <c r="Q44" s="125" t="s">
        <v>480</v>
      </c>
      <c r="R44" s="43">
        <v>92</v>
      </c>
      <c r="S44" s="70"/>
    </row>
    <row r="45" spans="1:19" ht="12.75" customHeight="1">
      <c r="A45" s="8">
        <v>44</v>
      </c>
      <c r="B45" s="43" t="s">
        <v>481</v>
      </c>
      <c r="C45" s="43" t="s">
        <v>482</v>
      </c>
      <c r="D45" s="46"/>
      <c r="E45" s="46"/>
      <c r="F45" s="46"/>
      <c r="G45" s="8">
        <v>50</v>
      </c>
      <c r="H45" s="8"/>
      <c r="I45" s="67">
        <v>41536</v>
      </c>
      <c r="J45" s="67">
        <v>41537</v>
      </c>
      <c r="K45" s="43" t="s">
        <v>170</v>
      </c>
      <c r="L45" s="8" t="s">
        <v>483</v>
      </c>
      <c r="M45" s="8" t="s">
        <v>484</v>
      </c>
      <c r="N45" s="43"/>
      <c r="O45" s="71" t="s">
        <v>485</v>
      </c>
      <c r="P45" s="9" t="s">
        <v>486</v>
      </c>
      <c r="Q45" s="125"/>
      <c r="R45" s="43">
        <v>93</v>
      </c>
      <c r="S45" s="70"/>
    </row>
    <row r="46" spans="1:19" ht="12.75" customHeight="1">
      <c r="A46" s="8">
        <v>45</v>
      </c>
      <c r="B46" s="43" t="s">
        <v>441</v>
      </c>
      <c r="C46" s="43" t="s">
        <v>487</v>
      </c>
      <c r="D46" s="46"/>
      <c r="E46" s="46"/>
      <c r="F46" s="46"/>
      <c r="G46" s="8">
        <v>50</v>
      </c>
      <c r="H46" s="8"/>
      <c r="I46" s="67">
        <v>41558</v>
      </c>
      <c r="J46" s="67">
        <v>41564</v>
      </c>
      <c r="K46" s="43" t="s">
        <v>170</v>
      </c>
      <c r="L46" s="130" t="s">
        <v>488</v>
      </c>
      <c r="M46" s="130" t="s">
        <v>489</v>
      </c>
      <c r="N46" s="131">
        <v>506719314</v>
      </c>
      <c r="O46" s="132" t="s">
        <v>490</v>
      </c>
      <c r="P46" s="9" t="s">
        <v>491</v>
      </c>
      <c r="Q46" s="125"/>
      <c r="R46" s="43">
        <v>94</v>
      </c>
      <c r="S46" s="70"/>
    </row>
    <row r="47" spans="1:19" ht="12.75" customHeight="1">
      <c r="A47" s="8">
        <v>46</v>
      </c>
      <c r="B47" s="43" t="s">
        <v>492</v>
      </c>
      <c r="C47" s="43" t="s">
        <v>493</v>
      </c>
      <c r="D47" s="46"/>
      <c r="E47" s="46"/>
      <c r="F47" s="46"/>
      <c r="G47" s="8">
        <v>50</v>
      </c>
      <c r="H47" s="8">
        <v>50</v>
      </c>
      <c r="I47" s="67">
        <v>41598</v>
      </c>
      <c r="J47" s="67">
        <v>41599</v>
      </c>
      <c r="K47" s="43" t="s">
        <v>170</v>
      </c>
      <c r="L47" s="130" t="s">
        <v>494</v>
      </c>
      <c r="M47" s="130" t="s">
        <v>495</v>
      </c>
      <c r="N47" s="131">
        <v>692434393</v>
      </c>
      <c r="O47" s="68"/>
      <c r="P47" s="9" t="s">
        <v>496</v>
      </c>
      <c r="Q47" s="125"/>
      <c r="R47" s="43">
        <v>95</v>
      </c>
      <c r="S47" s="70"/>
    </row>
    <row r="48" spans="1:19" ht="12.75" customHeight="1">
      <c r="A48" s="8">
        <v>47</v>
      </c>
      <c r="B48" s="43" t="s">
        <v>188</v>
      </c>
      <c r="C48" s="43" t="s">
        <v>14</v>
      </c>
      <c r="D48" s="46"/>
      <c r="E48" s="46"/>
      <c r="F48" s="46"/>
      <c r="G48" s="8">
        <v>50</v>
      </c>
      <c r="H48" s="8">
        <v>50</v>
      </c>
      <c r="I48" s="67">
        <v>41517</v>
      </c>
      <c r="J48" s="67">
        <v>41738</v>
      </c>
      <c r="K48" s="43" t="s">
        <v>378</v>
      </c>
      <c r="L48" s="27" t="s">
        <v>16</v>
      </c>
      <c r="M48" s="115" t="s">
        <v>17</v>
      </c>
      <c r="N48" s="15">
        <v>514575915</v>
      </c>
      <c r="O48" s="43"/>
      <c r="P48" s="9"/>
      <c r="Q48" s="43"/>
      <c r="R48" s="43">
        <v>102</v>
      </c>
      <c r="S48" s="118" t="s">
        <v>200</v>
      </c>
    </row>
    <row r="49" spans="1:26" ht="11.25" customHeight="1">
      <c r="A49" s="8">
        <v>48</v>
      </c>
      <c r="B49" s="43" t="s">
        <v>388</v>
      </c>
      <c r="C49" s="43" t="s">
        <v>497</v>
      </c>
      <c r="D49" s="46"/>
      <c r="E49" s="46"/>
      <c r="F49" s="46"/>
      <c r="G49" s="46"/>
      <c r="H49" s="8">
        <v>50</v>
      </c>
      <c r="I49" s="126">
        <v>41617</v>
      </c>
      <c r="J49" s="67">
        <v>41617</v>
      </c>
      <c r="K49" s="9" t="s">
        <v>170</v>
      </c>
      <c r="L49" s="8" t="s">
        <v>498</v>
      </c>
      <c r="M49" s="8" t="s">
        <v>499</v>
      </c>
      <c r="N49" s="15">
        <v>503994503</v>
      </c>
      <c r="O49" s="68"/>
      <c r="P49" s="43" t="s">
        <v>500</v>
      </c>
      <c r="Q49" s="125"/>
      <c r="R49" s="133">
        <v>96</v>
      </c>
      <c r="S49" s="70"/>
      <c r="T49" s="7"/>
      <c r="U49" s="7"/>
      <c r="V49" s="7"/>
      <c r="W49" s="7"/>
      <c r="X49" s="7"/>
      <c r="Y49" s="7"/>
      <c r="Z49" s="7"/>
    </row>
    <row r="50" spans="1:26" ht="15.75" customHeight="1">
      <c r="A50" s="8">
        <v>49</v>
      </c>
      <c r="B50" s="43" t="s">
        <v>501</v>
      </c>
      <c r="C50" s="43" t="s">
        <v>502</v>
      </c>
      <c r="D50" s="46"/>
      <c r="E50" s="46"/>
      <c r="F50" s="46"/>
      <c r="G50" s="46"/>
      <c r="H50" s="8">
        <v>50</v>
      </c>
      <c r="I50" s="67">
        <v>41675</v>
      </c>
      <c r="J50" s="67">
        <v>41677</v>
      </c>
      <c r="K50" s="9" t="s">
        <v>170</v>
      </c>
      <c r="L50" s="8" t="s">
        <v>503</v>
      </c>
      <c r="M50" s="8" t="s">
        <v>504</v>
      </c>
      <c r="N50" s="15">
        <v>603282006</v>
      </c>
      <c r="O50" s="68"/>
      <c r="P50" s="43" t="s">
        <v>505</v>
      </c>
      <c r="Q50" s="125"/>
      <c r="R50" s="133">
        <v>97</v>
      </c>
      <c r="S50" s="70"/>
      <c r="T50" s="7"/>
      <c r="U50" s="7"/>
      <c r="V50" s="7"/>
      <c r="W50" s="7"/>
      <c r="X50" s="7"/>
      <c r="Y50" s="7"/>
      <c r="Z50" s="7"/>
    </row>
    <row r="51" spans="1:26" ht="11.25" customHeight="1">
      <c r="A51" s="8">
        <v>50</v>
      </c>
      <c r="B51" s="43" t="s">
        <v>506</v>
      </c>
      <c r="C51" s="43" t="s">
        <v>507</v>
      </c>
      <c r="D51" s="46"/>
      <c r="E51" s="46"/>
      <c r="F51" s="46"/>
      <c r="G51" s="46"/>
      <c r="H51" s="8">
        <v>50</v>
      </c>
      <c r="I51" s="67">
        <v>41702</v>
      </c>
      <c r="J51" s="67">
        <v>41704</v>
      </c>
      <c r="K51" s="9" t="s">
        <v>170</v>
      </c>
      <c r="L51" s="8" t="s">
        <v>508</v>
      </c>
      <c r="M51" s="8" t="s">
        <v>509</v>
      </c>
      <c r="N51" s="15">
        <v>664746696</v>
      </c>
      <c r="O51" s="43"/>
      <c r="P51" s="43" t="s">
        <v>510</v>
      </c>
      <c r="Q51" s="43"/>
      <c r="R51" s="133">
        <v>98</v>
      </c>
      <c r="S51" s="70"/>
      <c r="T51" s="7"/>
      <c r="U51" s="7"/>
      <c r="V51" s="7"/>
      <c r="W51" s="7"/>
      <c r="X51" s="7"/>
      <c r="Y51" s="7"/>
      <c r="Z51" s="7"/>
    </row>
    <row r="52" spans="1:26" ht="11.25" customHeight="1">
      <c r="A52" s="8">
        <v>51</v>
      </c>
      <c r="B52" s="43" t="s">
        <v>511</v>
      </c>
      <c r="C52" s="43" t="s">
        <v>512</v>
      </c>
      <c r="D52" s="46"/>
      <c r="E52" s="46"/>
      <c r="F52" s="46"/>
      <c r="G52" s="46"/>
      <c r="H52" s="8">
        <v>50</v>
      </c>
      <c r="I52" s="67">
        <v>41694</v>
      </c>
      <c r="J52" s="67">
        <v>41695</v>
      </c>
      <c r="K52" s="9" t="s">
        <v>170</v>
      </c>
      <c r="L52" s="8" t="s">
        <v>513</v>
      </c>
      <c r="M52" s="8" t="s">
        <v>404</v>
      </c>
      <c r="N52" s="15">
        <v>729167760</v>
      </c>
      <c r="O52" s="43"/>
      <c r="P52" s="43" t="s">
        <v>514</v>
      </c>
      <c r="Q52" s="43"/>
      <c r="R52" s="133">
        <v>99</v>
      </c>
      <c r="S52" s="70"/>
      <c r="T52" s="7"/>
      <c r="U52" s="7"/>
      <c r="V52" s="7"/>
      <c r="W52" s="7"/>
      <c r="X52" s="7"/>
      <c r="Y52" s="7"/>
      <c r="Z52" s="7"/>
    </row>
    <row r="53" spans="1:26" ht="11.25" customHeight="1">
      <c r="A53" s="8">
        <v>52</v>
      </c>
      <c r="B53" s="43" t="s">
        <v>515</v>
      </c>
      <c r="C53" s="43" t="s">
        <v>516</v>
      </c>
      <c r="D53" s="46"/>
      <c r="E53" s="46"/>
      <c r="F53" s="46"/>
      <c r="G53" s="46"/>
      <c r="H53" s="8">
        <v>50</v>
      </c>
      <c r="I53" s="67">
        <v>41704</v>
      </c>
      <c r="J53" s="67">
        <v>41708</v>
      </c>
      <c r="K53" s="9" t="s">
        <v>170</v>
      </c>
      <c r="L53" s="8" t="s">
        <v>517</v>
      </c>
      <c r="M53" s="8" t="s">
        <v>518</v>
      </c>
      <c r="N53" s="15">
        <v>723524431</v>
      </c>
      <c r="O53" s="43"/>
      <c r="P53" s="43" t="s">
        <v>519</v>
      </c>
      <c r="Q53" s="43"/>
      <c r="R53" s="133">
        <v>100</v>
      </c>
      <c r="S53" s="70"/>
      <c r="T53" s="7"/>
      <c r="U53" s="7"/>
      <c r="V53" s="7"/>
      <c r="W53" s="7"/>
      <c r="X53" s="7"/>
      <c r="Y53" s="7"/>
      <c r="Z53" s="7"/>
    </row>
    <row r="54" spans="1:26" ht="11.25" customHeight="1">
      <c r="A54" s="8">
        <v>53</v>
      </c>
      <c r="B54" s="43" t="s">
        <v>55</v>
      </c>
      <c r="C54" s="43" t="s">
        <v>520</v>
      </c>
      <c r="D54" s="46"/>
      <c r="E54" s="46"/>
      <c r="F54" s="46"/>
      <c r="G54" s="46"/>
      <c r="H54" s="8">
        <v>50</v>
      </c>
      <c r="I54" s="67">
        <v>41704</v>
      </c>
      <c r="J54" s="67">
        <v>41708</v>
      </c>
      <c r="K54" s="9" t="s">
        <v>170</v>
      </c>
      <c r="L54" s="8" t="s">
        <v>521</v>
      </c>
      <c r="M54" s="8" t="s">
        <v>522</v>
      </c>
      <c r="N54" s="15">
        <v>782131652</v>
      </c>
      <c r="O54" s="43"/>
      <c r="P54" s="43" t="s">
        <v>523</v>
      </c>
      <c r="Q54" s="43"/>
      <c r="R54" s="133">
        <v>101</v>
      </c>
      <c r="S54" s="70"/>
      <c r="T54" s="7"/>
      <c r="U54" s="7"/>
      <c r="V54" s="7"/>
      <c r="W54" s="7"/>
      <c r="X54" s="7"/>
      <c r="Y54" s="7"/>
      <c r="Z54" s="7"/>
    </row>
    <row r="55" spans="1:26" ht="11.25" customHeight="1">
      <c r="A55" s="8">
        <v>54</v>
      </c>
      <c r="B55" s="43" t="s">
        <v>524</v>
      </c>
      <c r="C55" s="43" t="s">
        <v>525</v>
      </c>
      <c r="D55" s="46"/>
      <c r="E55" s="46"/>
      <c r="F55" s="46"/>
      <c r="G55" s="46"/>
      <c r="H55" s="8">
        <v>50</v>
      </c>
      <c r="I55" s="67">
        <v>41769</v>
      </c>
      <c r="J55" s="67">
        <v>41422</v>
      </c>
      <c r="K55" s="9" t="s">
        <v>170</v>
      </c>
      <c r="L55" s="8" t="s">
        <v>526</v>
      </c>
      <c r="M55" s="8" t="s">
        <v>527</v>
      </c>
      <c r="N55" s="15">
        <v>514238814</v>
      </c>
      <c r="O55" s="8" t="s">
        <v>528</v>
      </c>
      <c r="P55" s="43" t="s">
        <v>529</v>
      </c>
      <c r="Q55" s="43"/>
      <c r="R55" s="43"/>
      <c r="S55" s="70"/>
      <c r="T55" s="7"/>
      <c r="U55" s="7"/>
      <c r="V55" s="7"/>
      <c r="W55" s="7"/>
      <c r="X55" s="7"/>
      <c r="Y55" s="7"/>
      <c r="Z55" s="7"/>
    </row>
    <row r="56" spans="1:26" ht="11.25" customHeight="1">
      <c r="A56" s="8">
        <v>55</v>
      </c>
      <c r="B56" s="43" t="s">
        <v>127</v>
      </c>
      <c r="C56" s="43" t="s">
        <v>530</v>
      </c>
      <c r="D56" s="46"/>
      <c r="E56" s="46"/>
      <c r="F56" s="46"/>
      <c r="G56" s="46"/>
      <c r="H56" s="8">
        <v>50</v>
      </c>
      <c r="I56" s="67">
        <v>41813</v>
      </c>
      <c r="J56" s="67">
        <v>41449</v>
      </c>
      <c r="K56" s="9" t="s">
        <v>170</v>
      </c>
      <c r="L56" s="43" t="s">
        <v>531</v>
      </c>
      <c r="M56" s="8" t="s">
        <v>532</v>
      </c>
      <c r="N56" s="15">
        <v>505644038</v>
      </c>
      <c r="O56" s="43"/>
      <c r="P56" s="43" t="s">
        <v>533</v>
      </c>
      <c r="Q56" s="43"/>
      <c r="R56" s="43"/>
      <c r="S56" s="70"/>
      <c r="T56" s="7"/>
      <c r="U56" s="7"/>
      <c r="V56" s="7"/>
      <c r="W56" s="7"/>
      <c r="X56" s="7"/>
      <c r="Y56" s="7"/>
      <c r="Z56" s="7"/>
    </row>
    <row r="57" spans="1:26" ht="11.25" customHeight="1">
      <c r="A57" s="8">
        <v>56</v>
      </c>
      <c r="B57" s="43" t="s">
        <v>413</v>
      </c>
      <c r="C57" s="43" t="s">
        <v>48</v>
      </c>
      <c r="D57" s="46"/>
      <c r="E57" s="46"/>
      <c r="F57" s="46"/>
      <c r="G57" s="46"/>
      <c r="H57" s="8">
        <v>50</v>
      </c>
      <c r="I57" s="67">
        <v>41829</v>
      </c>
      <c r="J57" s="67">
        <v>41830</v>
      </c>
      <c r="K57" s="9" t="s">
        <v>170</v>
      </c>
      <c r="L57" s="8" t="s">
        <v>534</v>
      </c>
      <c r="M57" s="8" t="s">
        <v>535</v>
      </c>
      <c r="N57" s="15">
        <v>601610131</v>
      </c>
      <c r="O57" s="43"/>
      <c r="P57" s="43" t="s">
        <v>536</v>
      </c>
      <c r="Q57" s="43"/>
      <c r="R57" s="43"/>
      <c r="S57" s="70"/>
      <c r="T57" s="7"/>
      <c r="U57" s="7"/>
      <c r="V57" s="7"/>
      <c r="W57" s="7"/>
      <c r="X57" s="7"/>
      <c r="Y57" s="7"/>
      <c r="Z57" s="7"/>
    </row>
    <row r="58" spans="1:26" ht="11.25" customHeight="1">
      <c r="A58" s="8">
        <v>57</v>
      </c>
      <c r="B58" s="43" t="s">
        <v>537</v>
      </c>
      <c r="C58" s="43" t="s">
        <v>538</v>
      </c>
      <c r="D58" s="46"/>
      <c r="E58" s="46"/>
      <c r="F58" s="46"/>
      <c r="G58" s="46"/>
      <c r="H58" s="8">
        <v>50</v>
      </c>
      <c r="I58" s="67">
        <v>41832</v>
      </c>
      <c r="J58" s="67">
        <v>41851</v>
      </c>
      <c r="K58" s="9" t="s">
        <v>170</v>
      </c>
      <c r="L58" s="8" t="s">
        <v>539</v>
      </c>
      <c r="M58" s="8" t="s">
        <v>540</v>
      </c>
      <c r="N58" s="15">
        <v>607322415</v>
      </c>
      <c r="O58" s="8" t="s">
        <v>541</v>
      </c>
      <c r="P58" s="43" t="s">
        <v>542</v>
      </c>
      <c r="Q58" s="43"/>
      <c r="R58" s="43"/>
      <c r="S58" s="70"/>
      <c r="T58" s="7"/>
      <c r="U58" s="7"/>
      <c r="V58" s="7"/>
      <c r="W58" s="7"/>
      <c r="X58" s="7"/>
      <c r="Y58" s="7"/>
      <c r="Z58" s="7"/>
    </row>
    <row r="59" spans="1:26" ht="11.25" customHeight="1">
      <c r="A59" s="8">
        <v>58</v>
      </c>
      <c r="B59" s="9" t="s">
        <v>182</v>
      </c>
      <c r="C59" s="9" t="s">
        <v>183</v>
      </c>
      <c r="D59" s="43">
        <v>30</v>
      </c>
      <c r="E59" s="46"/>
      <c r="F59" s="46"/>
      <c r="G59" s="46"/>
      <c r="H59" s="8">
        <v>50</v>
      </c>
      <c r="I59" s="67">
        <v>40460</v>
      </c>
      <c r="J59" s="67">
        <v>41859</v>
      </c>
      <c r="K59" s="9" t="s">
        <v>170</v>
      </c>
      <c r="L59" s="12" t="s">
        <v>184</v>
      </c>
      <c r="M59" s="12" t="s">
        <v>185</v>
      </c>
      <c r="N59" s="10" t="s">
        <v>186</v>
      </c>
      <c r="O59" s="10" t="s">
        <v>32</v>
      </c>
      <c r="P59" s="9" t="s">
        <v>187</v>
      </c>
      <c r="Q59" s="43"/>
      <c r="R59" s="134">
        <v>35</v>
      </c>
      <c r="S59" s="70"/>
      <c r="T59" s="7"/>
      <c r="U59" s="7"/>
      <c r="V59" s="7"/>
      <c r="W59" s="7"/>
      <c r="X59" s="7"/>
      <c r="Y59" s="7"/>
      <c r="Z59" s="7"/>
    </row>
    <row r="60" spans="1:26" ht="11.25" customHeight="1">
      <c r="A60" s="8">
        <v>59</v>
      </c>
      <c r="B60" s="43" t="s">
        <v>543</v>
      </c>
      <c r="C60" s="43" t="s">
        <v>544</v>
      </c>
      <c r="D60" s="46"/>
      <c r="E60" s="46"/>
      <c r="F60" s="46"/>
      <c r="G60" s="46"/>
      <c r="H60" s="8">
        <v>50</v>
      </c>
      <c r="I60" s="67">
        <v>41871</v>
      </c>
      <c r="J60" s="67">
        <v>41871</v>
      </c>
      <c r="K60" s="9" t="s">
        <v>170</v>
      </c>
      <c r="L60" s="8" t="s">
        <v>545</v>
      </c>
      <c r="M60" s="8" t="s">
        <v>546</v>
      </c>
      <c r="N60" s="128">
        <v>604254331</v>
      </c>
      <c r="O60" s="43"/>
      <c r="P60" s="43" t="s">
        <v>547</v>
      </c>
      <c r="Q60" s="43"/>
      <c r="R60" s="43"/>
      <c r="S60" s="70"/>
      <c r="T60" s="7"/>
      <c r="U60" s="7"/>
      <c r="V60" s="7"/>
      <c r="W60" s="7"/>
      <c r="X60" s="7"/>
      <c r="Y60" s="7"/>
      <c r="Z60" s="7"/>
    </row>
    <row r="61" spans="1:26" ht="11.25" customHeight="1">
      <c r="A61" s="8">
        <v>60</v>
      </c>
      <c r="B61" s="43" t="s">
        <v>194</v>
      </c>
      <c r="C61" s="43" t="s">
        <v>548</v>
      </c>
      <c r="D61" s="46"/>
      <c r="E61" s="46"/>
      <c r="F61" s="46"/>
      <c r="G61" s="46"/>
      <c r="H61" s="8">
        <v>50</v>
      </c>
      <c r="I61" s="67">
        <v>41896</v>
      </c>
      <c r="J61" s="67">
        <v>41899</v>
      </c>
      <c r="K61" s="9" t="s">
        <v>170</v>
      </c>
      <c r="L61" s="8" t="s">
        <v>549</v>
      </c>
      <c r="M61" s="8" t="s">
        <v>550</v>
      </c>
      <c r="N61" s="128">
        <v>604235534</v>
      </c>
      <c r="O61" s="43"/>
      <c r="P61" s="43" t="s">
        <v>551</v>
      </c>
      <c r="Q61" s="43"/>
      <c r="R61" s="43"/>
      <c r="S61" s="70"/>
      <c r="T61" s="7"/>
      <c r="U61" s="7"/>
      <c r="V61" s="7"/>
      <c r="W61" s="7"/>
      <c r="X61" s="7"/>
      <c r="Y61" s="7"/>
      <c r="Z61" s="7"/>
    </row>
    <row r="62" spans="1:26" ht="11.25" customHeight="1">
      <c r="A62" s="8">
        <v>61</v>
      </c>
      <c r="B62" s="43" t="s">
        <v>388</v>
      </c>
      <c r="C62" s="43" t="s">
        <v>552</v>
      </c>
      <c r="D62" s="46"/>
      <c r="E62" s="46"/>
      <c r="F62" s="46"/>
      <c r="G62" s="46"/>
      <c r="H62" s="8">
        <v>50</v>
      </c>
      <c r="I62" s="67">
        <v>41922</v>
      </c>
      <c r="J62" s="67">
        <v>41918</v>
      </c>
      <c r="K62" s="8" t="s">
        <v>378</v>
      </c>
      <c r="L62" s="135" t="s">
        <v>553</v>
      </c>
      <c r="M62" s="22" t="s">
        <v>554</v>
      </c>
      <c r="N62" s="15">
        <v>698418581</v>
      </c>
      <c r="O62" s="43"/>
      <c r="P62" s="53" t="s">
        <v>555</v>
      </c>
      <c r="Q62" s="43"/>
      <c r="R62" s="43"/>
      <c r="S62" s="70"/>
      <c r="T62" s="7"/>
      <c r="U62" s="7"/>
      <c r="V62" s="7"/>
      <c r="W62" s="7"/>
      <c r="X62" s="7"/>
      <c r="Y62" s="7"/>
      <c r="Z62" s="7"/>
    </row>
    <row r="63" spans="1:26" ht="11.25" customHeight="1">
      <c r="A63" s="8">
        <v>62</v>
      </c>
      <c r="B63" s="43" t="s">
        <v>556</v>
      </c>
      <c r="C63" s="43" t="s">
        <v>557</v>
      </c>
      <c r="D63" s="46"/>
      <c r="E63" s="46"/>
      <c r="F63" s="46"/>
      <c r="G63" s="46"/>
      <c r="H63" s="8">
        <v>50</v>
      </c>
      <c r="I63" s="67">
        <v>41948</v>
      </c>
      <c r="J63" s="67">
        <v>41950</v>
      </c>
      <c r="K63" s="9" t="s">
        <v>170</v>
      </c>
      <c r="L63" s="43"/>
      <c r="M63" s="8"/>
      <c r="N63" s="43"/>
      <c r="O63" s="43"/>
      <c r="P63" s="43" t="s">
        <v>558</v>
      </c>
      <c r="Q63" s="43"/>
      <c r="R63" s="43"/>
      <c r="S63" s="70"/>
      <c r="T63" s="7"/>
      <c r="U63" s="7"/>
      <c r="V63" s="7"/>
      <c r="W63" s="7"/>
      <c r="X63" s="7"/>
      <c r="Y63" s="7"/>
      <c r="Z63" s="7"/>
    </row>
    <row r="64" spans="1:26" ht="11.25" customHeight="1">
      <c r="A64" s="8">
        <v>63</v>
      </c>
      <c r="B64" s="43" t="s">
        <v>559</v>
      </c>
      <c r="C64" s="43" t="s">
        <v>560</v>
      </c>
      <c r="D64" s="46"/>
      <c r="E64" s="46"/>
      <c r="F64" s="46"/>
      <c r="G64" s="46"/>
      <c r="H64" s="8">
        <v>50</v>
      </c>
      <c r="I64" s="126">
        <v>41983</v>
      </c>
      <c r="J64" s="126">
        <v>41984</v>
      </c>
      <c r="K64" s="8" t="s">
        <v>378</v>
      </c>
      <c r="L64" s="8" t="s">
        <v>561</v>
      </c>
      <c r="M64" s="8" t="s">
        <v>562</v>
      </c>
      <c r="N64" s="15">
        <v>663946803</v>
      </c>
      <c r="O64" s="43"/>
      <c r="P64" s="43" t="s">
        <v>563</v>
      </c>
      <c r="Q64" s="43"/>
      <c r="R64" s="43"/>
      <c r="S64" s="70"/>
      <c r="T64" s="7"/>
      <c r="U64" s="7"/>
      <c r="V64" s="7"/>
      <c r="W64" s="7"/>
      <c r="X64" s="7"/>
      <c r="Y64" s="7"/>
      <c r="Z64" s="7"/>
    </row>
    <row r="65" spans="1:26" ht="11.25" customHeight="1">
      <c r="A65" s="8">
        <v>64</v>
      </c>
      <c r="B65" s="43" t="s">
        <v>429</v>
      </c>
      <c r="C65" s="43" t="s">
        <v>564</v>
      </c>
      <c r="D65" s="46"/>
      <c r="E65" s="46"/>
      <c r="F65" s="46"/>
      <c r="G65" s="46"/>
      <c r="H65" s="8">
        <v>50</v>
      </c>
      <c r="I65" s="126">
        <v>41984</v>
      </c>
      <c r="J65" s="126">
        <v>41984</v>
      </c>
      <c r="K65" s="9" t="s">
        <v>170</v>
      </c>
      <c r="L65" s="8" t="s">
        <v>565</v>
      </c>
      <c r="M65" s="8" t="s">
        <v>566</v>
      </c>
      <c r="N65" s="43"/>
      <c r="O65" s="43"/>
      <c r="P65" s="43" t="s">
        <v>567</v>
      </c>
      <c r="Q65" s="43"/>
      <c r="R65" s="43"/>
      <c r="S65" s="70"/>
      <c r="T65" s="7"/>
      <c r="U65" s="7"/>
      <c r="V65" s="7"/>
      <c r="W65" s="7"/>
      <c r="X65" s="7"/>
      <c r="Y65" s="7"/>
      <c r="Z65" s="7"/>
    </row>
    <row r="66" spans="1:26" ht="11.25" customHeight="1">
      <c r="A66" s="8">
        <v>65</v>
      </c>
      <c r="B66" s="43" t="s">
        <v>568</v>
      </c>
      <c r="C66" s="43" t="s">
        <v>569</v>
      </c>
      <c r="D66" s="46"/>
      <c r="E66" s="46"/>
      <c r="F66" s="46"/>
      <c r="G66" s="46"/>
      <c r="H66" s="8">
        <v>50</v>
      </c>
      <c r="I66" s="67">
        <v>41982</v>
      </c>
      <c r="J66" s="67">
        <v>41997</v>
      </c>
      <c r="K66" s="8" t="s">
        <v>378</v>
      </c>
      <c r="L66" s="43" t="s">
        <v>570</v>
      </c>
      <c r="M66" s="8" t="s">
        <v>571</v>
      </c>
      <c r="N66" s="15">
        <v>783419327</v>
      </c>
      <c r="O66" s="43"/>
      <c r="P66" s="43" t="s">
        <v>572</v>
      </c>
      <c r="Q66" s="43"/>
      <c r="R66" s="43"/>
      <c r="S66" s="70"/>
      <c r="T66" s="7"/>
      <c r="U66" s="7"/>
      <c r="V66" s="7"/>
      <c r="W66" s="7"/>
      <c r="X66" s="7"/>
      <c r="Y66" s="7"/>
      <c r="Z66" s="7"/>
    </row>
    <row r="67" spans="1:26" ht="15.75" customHeight="1"/>
    <row r="68" spans="1:26" ht="15.75" customHeight="1"/>
    <row r="69" spans="1:26" ht="15.75" customHeight="1"/>
    <row r="70" spans="1:26" ht="15.75" customHeight="1"/>
    <row r="71" spans="1:26" ht="15.75" customHeight="1"/>
    <row r="72" spans="1:26" ht="15.75" customHeight="1"/>
    <row r="73" spans="1:26" ht="15.75" customHeight="1"/>
    <row r="74" spans="1:26" ht="15.75" customHeight="1"/>
    <row r="75" spans="1:26" ht="15.75" customHeight="1"/>
    <row r="76" spans="1:26" ht="15.75" customHeight="1"/>
    <row r="77" spans="1:26" ht="15.75" customHeight="1"/>
    <row r="78" spans="1:26" ht="15.75" customHeight="1"/>
    <row r="79" spans="1:26" ht="15.75" customHeight="1"/>
    <row r="80" spans="1:2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ef="P26" r:id="rId1" xr:uid="{00000000-0004-0000-0400-000000000000}"/>
  </hyperlinks>
  <pageMargins left="0.7" right="0.7" top="0.75" bottom="0.75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Z1000"/>
  <sheetViews>
    <sheetView workbookViewId="0">
      <pane ySplit="1" topLeftCell="A2" activePane="bottomLeft" state="frozen"/>
      <selection pane="bottomLeft" activeCell="B3" sqref="B3"/>
    </sheetView>
  </sheetViews>
  <sheetFormatPr defaultColWidth="14.44140625" defaultRowHeight="15" customHeight="1"/>
  <cols>
    <col min="1" max="1" width="9.44140625" customWidth="1"/>
    <col min="2" max="2" width="13.33203125" customWidth="1"/>
    <col min="3" max="3" width="14" customWidth="1"/>
    <col min="4" max="9" width="8.6640625" customWidth="1"/>
    <col min="10" max="10" width="14.44140625" customWidth="1"/>
    <col min="11" max="12" width="15.6640625" customWidth="1"/>
    <col min="13" max="13" width="23.6640625" customWidth="1"/>
    <col min="14" max="14" width="31.6640625" customWidth="1"/>
    <col min="15" max="15" width="24.109375" customWidth="1"/>
    <col min="16" max="16" width="15.33203125" customWidth="1"/>
    <col min="17" max="17" width="18.44140625" customWidth="1"/>
    <col min="18" max="18" width="30.6640625" customWidth="1"/>
    <col min="19" max="19" width="16.109375" customWidth="1"/>
    <col min="20" max="26" width="8.6640625" customWidth="1"/>
  </cols>
  <sheetData>
    <row r="1" spans="1:26" ht="20.25" customHeight="1">
      <c r="A1" s="1" t="s">
        <v>0</v>
      </c>
      <c r="B1" s="2" t="s">
        <v>1</v>
      </c>
      <c r="C1" s="2" t="s">
        <v>2</v>
      </c>
      <c r="D1" s="1">
        <v>2010</v>
      </c>
      <c r="E1" s="1">
        <v>2011</v>
      </c>
      <c r="F1" s="1">
        <v>2012</v>
      </c>
      <c r="G1" s="1">
        <v>2013</v>
      </c>
      <c r="H1" s="1">
        <v>2014</v>
      </c>
      <c r="I1" s="1">
        <v>2015</v>
      </c>
      <c r="J1" s="116" t="s">
        <v>3</v>
      </c>
      <c r="K1" s="116" t="s">
        <v>199</v>
      </c>
      <c r="L1" s="116" t="s">
        <v>573</v>
      </c>
      <c r="M1" s="85" t="s">
        <v>5</v>
      </c>
      <c r="N1" s="1" t="s">
        <v>6</v>
      </c>
      <c r="O1" s="1" t="s">
        <v>574</v>
      </c>
      <c r="P1" s="1" t="s">
        <v>7</v>
      </c>
      <c r="Q1" s="1" t="s">
        <v>8</v>
      </c>
      <c r="R1" s="1" t="s">
        <v>9</v>
      </c>
      <c r="S1" s="1" t="s">
        <v>10</v>
      </c>
      <c r="T1" s="85" t="s">
        <v>11</v>
      </c>
      <c r="U1" s="117" t="s">
        <v>12</v>
      </c>
    </row>
    <row r="2" spans="1:26" ht="11.25" customHeight="1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0">
        <v>120</v>
      </c>
      <c r="G2" s="10">
        <v>50</v>
      </c>
      <c r="H2" s="10">
        <v>50</v>
      </c>
      <c r="I2" s="10">
        <v>50</v>
      </c>
      <c r="J2" s="11">
        <v>40316</v>
      </c>
      <c r="K2" s="11">
        <v>40229</v>
      </c>
      <c r="L2" s="11">
        <v>42073</v>
      </c>
      <c r="M2" s="9" t="s">
        <v>575</v>
      </c>
      <c r="N2" s="12" t="s">
        <v>16</v>
      </c>
      <c r="O2" s="12" t="s">
        <v>17</v>
      </c>
      <c r="P2" s="10">
        <v>502534510</v>
      </c>
      <c r="Q2" s="10" t="s">
        <v>18</v>
      </c>
      <c r="R2" s="43" t="s">
        <v>19</v>
      </c>
      <c r="S2" s="10" t="s">
        <v>20</v>
      </c>
      <c r="T2" s="45">
        <v>2</v>
      </c>
      <c r="U2" s="40" t="s">
        <v>200</v>
      </c>
      <c r="V2" s="104"/>
      <c r="W2" s="104"/>
      <c r="X2" s="104"/>
      <c r="Y2" s="104"/>
      <c r="Z2" s="104"/>
    </row>
    <row r="3" spans="1:26" ht="11.25" customHeight="1">
      <c r="A3" s="8">
        <v>2</v>
      </c>
      <c r="B3" s="23" t="s">
        <v>21</v>
      </c>
      <c r="C3" s="23" t="s">
        <v>22</v>
      </c>
      <c r="D3" s="136">
        <v>120</v>
      </c>
      <c r="E3" s="136">
        <v>120</v>
      </c>
      <c r="F3" s="136">
        <v>120</v>
      </c>
      <c r="G3" s="136">
        <v>50</v>
      </c>
      <c r="H3" s="136">
        <v>50</v>
      </c>
      <c r="I3" s="136">
        <v>50</v>
      </c>
      <c r="J3" s="137">
        <v>40316</v>
      </c>
      <c r="K3" s="137">
        <v>40229</v>
      </c>
      <c r="L3" s="137">
        <v>42075</v>
      </c>
      <c r="M3" s="9" t="s">
        <v>43</v>
      </c>
      <c r="N3" s="27" t="s">
        <v>24</v>
      </c>
      <c r="O3" s="27" t="s">
        <v>25</v>
      </c>
      <c r="P3" s="25">
        <v>605230859</v>
      </c>
      <c r="Q3" s="25" t="s">
        <v>26</v>
      </c>
      <c r="R3" s="138" t="s">
        <v>27</v>
      </c>
      <c r="S3" s="136" t="s">
        <v>28</v>
      </c>
      <c r="T3" s="139">
        <v>3</v>
      </c>
      <c r="U3" s="140" t="s">
        <v>200</v>
      </c>
      <c r="V3" s="7"/>
      <c r="W3" s="7"/>
      <c r="X3" s="7"/>
      <c r="Y3" s="7"/>
      <c r="Z3" s="7"/>
    </row>
    <row r="4" spans="1:26" ht="11.25" customHeight="1">
      <c r="A4" s="8">
        <v>3</v>
      </c>
      <c r="B4" s="9" t="s">
        <v>576</v>
      </c>
      <c r="C4" s="9" t="s">
        <v>29</v>
      </c>
      <c r="D4" s="10">
        <v>120</v>
      </c>
      <c r="E4" s="10">
        <v>120</v>
      </c>
      <c r="F4" s="10">
        <v>120</v>
      </c>
      <c r="G4" s="10">
        <v>100</v>
      </c>
      <c r="H4" s="10">
        <v>50</v>
      </c>
      <c r="I4" s="10">
        <v>100</v>
      </c>
      <c r="J4" s="11">
        <v>40316</v>
      </c>
      <c r="K4" s="11">
        <v>40229</v>
      </c>
      <c r="L4" s="11">
        <v>42109</v>
      </c>
      <c r="M4" s="9" t="s">
        <v>575</v>
      </c>
      <c r="N4" s="12" t="s">
        <v>30</v>
      </c>
      <c r="O4" s="12" t="s">
        <v>31</v>
      </c>
      <c r="P4" s="10">
        <v>791300469</v>
      </c>
      <c r="Q4" s="10" t="s">
        <v>32</v>
      </c>
      <c r="R4" s="43" t="s">
        <v>33</v>
      </c>
      <c r="S4" s="10" t="s">
        <v>34</v>
      </c>
      <c r="T4" s="45">
        <v>25</v>
      </c>
      <c r="U4" s="40" t="s">
        <v>200</v>
      </c>
      <c r="V4" s="7"/>
      <c r="W4" s="7"/>
      <c r="X4" s="7"/>
      <c r="Y4" s="7"/>
      <c r="Z4" s="7"/>
    </row>
    <row r="5" spans="1:26" ht="11.25" customHeight="1">
      <c r="A5" s="8">
        <v>4</v>
      </c>
      <c r="B5" s="9" t="s">
        <v>35</v>
      </c>
      <c r="C5" s="9" t="s">
        <v>36</v>
      </c>
      <c r="D5" s="10">
        <v>120</v>
      </c>
      <c r="E5" s="10">
        <v>120</v>
      </c>
      <c r="F5" s="10">
        <v>120</v>
      </c>
      <c r="G5" s="10">
        <v>50</v>
      </c>
      <c r="H5" s="10">
        <v>100</v>
      </c>
      <c r="I5" s="10">
        <v>50</v>
      </c>
      <c r="J5" s="11">
        <v>40316</v>
      </c>
      <c r="K5" s="11">
        <v>40229</v>
      </c>
      <c r="L5" s="11">
        <v>42129</v>
      </c>
      <c r="M5" s="9" t="s">
        <v>43</v>
      </c>
      <c r="N5" s="12" t="s">
        <v>37</v>
      </c>
      <c r="O5" s="12" t="s">
        <v>38</v>
      </c>
      <c r="P5" s="10">
        <v>608666164</v>
      </c>
      <c r="Q5" s="10" t="s">
        <v>39</v>
      </c>
      <c r="R5" s="141" t="s">
        <v>577</v>
      </c>
      <c r="S5" s="10" t="s">
        <v>41</v>
      </c>
      <c r="T5" s="45">
        <v>4</v>
      </c>
      <c r="U5" s="40" t="s">
        <v>200</v>
      </c>
      <c r="V5" s="7"/>
      <c r="W5" s="7"/>
      <c r="X5" s="7"/>
      <c r="Y5" s="7"/>
      <c r="Z5" s="7"/>
    </row>
    <row r="6" spans="1:26" ht="11.25" customHeight="1">
      <c r="A6" s="8">
        <v>5</v>
      </c>
      <c r="B6" s="9" t="s">
        <v>42</v>
      </c>
      <c r="C6" s="9" t="s">
        <v>36</v>
      </c>
      <c r="D6" s="10">
        <v>120</v>
      </c>
      <c r="E6" s="10">
        <v>120</v>
      </c>
      <c r="F6" s="10">
        <v>120</v>
      </c>
      <c r="G6" s="10">
        <v>50</v>
      </c>
      <c r="H6" s="10">
        <v>50</v>
      </c>
      <c r="I6" s="10">
        <v>100</v>
      </c>
      <c r="J6" s="11">
        <v>40316</v>
      </c>
      <c r="K6" s="11">
        <v>40229</v>
      </c>
      <c r="L6" s="11">
        <v>42023</v>
      </c>
      <c r="M6" s="9" t="s">
        <v>136</v>
      </c>
      <c r="N6" s="12" t="s">
        <v>44</v>
      </c>
      <c r="O6" s="12" t="s">
        <v>45</v>
      </c>
      <c r="P6" s="8">
        <v>608666170</v>
      </c>
      <c r="Q6" s="8" t="s">
        <v>46</v>
      </c>
      <c r="R6" s="43" t="s">
        <v>47</v>
      </c>
      <c r="S6" s="10" t="s">
        <v>32</v>
      </c>
      <c r="T6" s="45">
        <v>6</v>
      </c>
      <c r="U6" s="40" t="s">
        <v>412</v>
      </c>
      <c r="V6" s="7"/>
      <c r="W6" s="7"/>
      <c r="X6" s="7"/>
      <c r="Y6" s="7"/>
      <c r="Z6" s="7"/>
    </row>
    <row r="7" spans="1:26" ht="11.25" customHeight="1">
      <c r="A7" s="8">
        <v>6</v>
      </c>
      <c r="B7" s="9" t="s">
        <v>141</v>
      </c>
      <c r="C7" s="9" t="s">
        <v>169</v>
      </c>
      <c r="D7" s="10">
        <v>30</v>
      </c>
      <c r="E7" s="10">
        <v>120</v>
      </c>
      <c r="F7" s="10">
        <v>120</v>
      </c>
      <c r="G7" s="10">
        <v>50</v>
      </c>
      <c r="H7" s="10">
        <v>50</v>
      </c>
      <c r="I7" s="10">
        <v>50</v>
      </c>
      <c r="J7" s="11">
        <v>40459</v>
      </c>
      <c r="K7" s="11">
        <v>40460</v>
      </c>
      <c r="L7" s="11">
        <v>42055</v>
      </c>
      <c r="M7" s="9" t="s">
        <v>578</v>
      </c>
      <c r="N7" s="12" t="s">
        <v>171</v>
      </c>
      <c r="O7" s="12" t="s">
        <v>172</v>
      </c>
      <c r="P7" s="10">
        <v>793406015</v>
      </c>
      <c r="Q7" s="10" t="s">
        <v>173</v>
      </c>
      <c r="R7" s="141" t="s">
        <v>579</v>
      </c>
      <c r="S7" s="10" t="s">
        <v>32</v>
      </c>
      <c r="T7" s="45">
        <v>5</v>
      </c>
      <c r="U7" s="16"/>
      <c r="V7" s="7"/>
      <c r="W7" s="7"/>
      <c r="X7" s="7"/>
      <c r="Y7" s="7"/>
      <c r="Z7" s="7"/>
    </row>
    <row r="8" spans="1:26" ht="11.25" customHeight="1">
      <c r="A8" s="8">
        <v>7</v>
      </c>
      <c r="B8" s="9" t="s">
        <v>48</v>
      </c>
      <c r="C8" s="9" t="s">
        <v>49</v>
      </c>
      <c r="D8" s="10">
        <v>120</v>
      </c>
      <c r="E8" s="10">
        <v>120</v>
      </c>
      <c r="F8" s="10">
        <v>120</v>
      </c>
      <c r="G8" s="10">
        <v>50</v>
      </c>
      <c r="H8" s="10">
        <v>50</v>
      </c>
      <c r="I8" s="10">
        <v>50</v>
      </c>
      <c r="J8" s="11">
        <v>40316</v>
      </c>
      <c r="K8" s="11">
        <v>40229</v>
      </c>
      <c r="L8" s="11">
        <v>42138</v>
      </c>
      <c r="M8" s="9" t="s">
        <v>50</v>
      </c>
      <c r="N8" s="12" t="s">
        <v>51</v>
      </c>
      <c r="O8" s="12" t="s">
        <v>52</v>
      </c>
      <c r="P8" s="10">
        <v>601997864</v>
      </c>
      <c r="Q8" s="10" t="s">
        <v>32</v>
      </c>
      <c r="R8" s="142" t="s">
        <v>580</v>
      </c>
      <c r="S8" s="10" t="s">
        <v>54</v>
      </c>
      <c r="T8" s="45">
        <v>33</v>
      </c>
      <c r="U8" s="16"/>
      <c r="V8" s="7"/>
      <c r="W8" s="7"/>
      <c r="X8" s="7"/>
      <c r="Y8" s="7"/>
      <c r="Z8" s="7"/>
    </row>
    <row r="9" spans="1:26" ht="11.25" customHeight="1">
      <c r="A9" s="8">
        <v>8</v>
      </c>
      <c r="B9" s="9" t="s">
        <v>55</v>
      </c>
      <c r="C9" s="9" t="s">
        <v>56</v>
      </c>
      <c r="D9" s="10">
        <v>60</v>
      </c>
      <c r="E9" s="10">
        <v>60</v>
      </c>
      <c r="F9" s="10">
        <v>60</v>
      </c>
      <c r="G9" s="10">
        <v>50</v>
      </c>
      <c r="H9" s="10">
        <v>50</v>
      </c>
      <c r="I9" s="10">
        <v>50</v>
      </c>
      <c r="J9" s="11">
        <v>40316</v>
      </c>
      <c r="K9" s="11">
        <v>40229</v>
      </c>
      <c r="L9" s="11">
        <v>42135</v>
      </c>
      <c r="M9" s="9" t="s">
        <v>57</v>
      </c>
      <c r="N9" s="48" t="s">
        <v>581</v>
      </c>
      <c r="O9" s="12" t="s">
        <v>59</v>
      </c>
      <c r="P9" s="10">
        <v>508373904</v>
      </c>
      <c r="Q9" s="10" t="s">
        <v>60</v>
      </c>
      <c r="R9" s="7" t="s">
        <v>61</v>
      </c>
      <c r="S9" s="10" t="s">
        <v>62</v>
      </c>
      <c r="T9" s="45">
        <v>19</v>
      </c>
      <c r="U9" s="16"/>
      <c r="V9" s="7"/>
      <c r="W9" s="7"/>
      <c r="X9" s="7"/>
      <c r="Y9" s="7"/>
      <c r="Z9" s="7"/>
    </row>
    <row r="10" spans="1:26" ht="11.25" customHeight="1">
      <c r="A10" s="8">
        <v>9</v>
      </c>
      <c r="B10" s="9" t="s">
        <v>55</v>
      </c>
      <c r="C10" s="9" t="s">
        <v>63</v>
      </c>
      <c r="D10" s="10">
        <v>120</v>
      </c>
      <c r="E10" s="10">
        <v>120</v>
      </c>
      <c r="F10" s="10">
        <v>120</v>
      </c>
      <c r="G10" s="10">
        <v>50</v>
      </c>
      <c r="H10" s="10">
        <v>100</v>
      </c>
      <c r="I10" s="10">
        <v>100</v>
      </c>
      <c r="J10" s="11">
        <v>40316</v>
      </c>
      <c r="K10" s="11">
        <v>40229</v>
      </c>
      <c r="L10" s="19">
        <v>42045</v>
      </c>
      <c r="M10" s="28" t="s">
        <v>15</v>
      </c>
      <c r="N10" s="18" t="s">
        <v>582</v>
      </c>
      <c r="O10" s="108" t="s">
        <v>583</v>
      </c>
      <c r="P10" s="8">
        <v>600118375</v>
      </c>
      <c r="Q10" s="8" t="s">
        <v>67</v>
      </c>
      <c r="R10" s="43" t="s">
        <v>68</v>
      </c>
      <c r="S10" s="10" t="s">
        <v>32</v>
      </c>
      <c r="T10" s="45">
        <v>8</v>
      </c>
      <c r="U10" s="143"/>
      <c r="V10" s="7"/>
      <c r="W10" s="7"/>
      <c r="X10" s="7"/>
      <c r="Y10" s="7"/>
      <c r="Z10" s="7"/>
    </row>
    <row r="11" spans="1:26" ht="11.25" customHeight="1">
      <c r="A11" s="8">
        <v>10</v>
      </c>
      <c r="B11" s="9" t="s">
        <v>42</v>
      </c>
      <c r="C11" s="9" t="s">
        <v>69</v>
      </c>
      <c r="D11" s="10">
        <v>120</v>
      </c>
      <c r="E11" s="10">
        <v>150</v>
      </c>
      <c r="F11" s="10">
        <v>120</v>
      </c>
      <c r="G11" s="10">
        <v>50</v>
      </c>
      <c r="H11" s="10">
        <v>50</v>
      </c>
      <c r="I11" s="10">
        <v>50</v>
      </c>
      <c r="J11" s="11">
        <v>40316</v>
      </c>
      <c r="K11" s="11">
        <v>40229</v>
      </c>
      <c r="L11" s="11">
        <v>42073</v>
      </c>
      <c r="M11" s="9" t="s">
        <v>110</v>
      </c>
      <c r="N11" s="25" t="s">
        <v>71</v>
      </c>
      <c r="O11" s="12" t="s">
        <v>72</v>
      </c>
      <c r="P11" s="10">
        <v>603628256</v>
      </c>
      <c r="Q11" s="10" t="s">
        <v>73</v>
      </c>
      <c r="R11" s="45" t="s">
        <v>74</v>
      </c>
      <c r="S11" s="10" t="s">
        <v>75</v>
      </c>
      <c r="T11" s="45">
        <v>7</v>
      </c>
      <c r="U11" s="40" t="s">
        <v>200</v>
      </c>
      <c r="V11" s="7"/>
      <c r="W11" s="7"/>
      <c r="X11" s="7"/>
      <c r="Y11" s="7"/>
      <c r="Z11" s="7"/>
    </row>
    <row r="12" spans="1:26" ht="11.25" customHeight="1">
      <c r="A12" s="8">
        <v>11</v>
      </c>
      <c r="B12" s="9" t="s">
        <v>88</v>
      </c>
      <c r="C12" s="9" t="s">
        <v>89</v>
      </c>
      <c r="D12" s="10">
        <v>120</v>
      </c>
      <c r="E12" s="10">
        <v>120</v>
      </c>
      <c r="F12" s="10">
        <v>120</v>
      </c>
      <c r="G12" s="10">
        <v>50</v>
      </c>
      <c r="H12" s="10">
        <v>200</v>
      </c>
      <c r="I12" s="10">
        <v>100</v>
      </c>
      <c r="J12" s="11">
        <v>40316</v>
      </c>
      <c r="K12" s="11">
        <v>40229</v>
      </c>
      <c r="L12" s="99">
        <v>42132</v>
      </c>
      <c r="M12" s="28" t="s">
        <v>43</v>
      </c>
      <c r="N12" s="10" t="s">
        <v>90</v>
      </c>
      <c r="O12" s="57" t="s">
        <v>91</v>
      </c>
      <c r="P12" s="10" t="s">
        <v>584</v>
      </c>
      <c r="Q12" s="10" t="s">
        <v>92</v>
      </c>
      <c r="R12" s="141" t="s">
        <v>585</v>
      </c>
      <c r="S12" s="10">
        <v>48223783633</v>
      </c>
      <c r="T12" s="45">
        <v>10</v>
      </c>
      <c r="U12" s="16"/>
      <c r="V12" s="7"/>
      <c r="W12" s="7"/>
      <c r="X12" s="7"/>
      <c r="Y12" s="7"/>
      <c r="Z12" s="7"/>
    </row>
    <row r="13" spans="1:26" ht="11.25" customHeight="1">
      <c r="A13" s="8">
        <v>12</v>
      </c>
      <c r="B13" s="9" t="s">
        <v>94</v>
      </c>
      <c r="C13" s="9" t="s">
        <v>95</v>
      </c>
      <c r="D13" s="10">
        <v>60</v>
      </c>
      <c r="E13" s="10">
        <v>60</v>
      </c>
      <c r="F13" s="10">
        <v>120</v>
      </c>
      <c r="G13" s="10">
        <v>50</v>
      </c>
      <c r="H13" s="10">
        <v>50</v>
      </c>
      <c r="I13" s="10">
        <v>50</v>
      </c>
      <c r="J13" s="11">
        <v>40316</v>
      </c>
      <c r="K13" s="11">
        <v>40229</v>
      </c>
      <c r="L13" s="11">
        <v>42118</v>
      </c>
      <c r="M13" s="9" t="s">
        <v>150</v>
      </c>
      <c r="N13" s="27" t="s">
        <v>96</v>
      </c>
      <c r="O13" s="12" t="s">
        <v>97</v>
      </c>
      <c r="P13" s="10">
        <v>514474608</v>
      </c>
      <c r="Q13" s="10" t="s">
        <v>98</v>
      </c>
      <c r="R13" s="45" t="s">
        <v>99</v>
      </c>
      <c r="S13" s="10" t="s">
        <v>100</v>
      </c>
      <c r="T13" s="45">
        <v>9</v>
      </c>
      <c r="U13" s="40" t="s">
        <v>200</v>
      </c>
      <c r="V13" s="7"/>
      <c r="W13" s="7"/>
      <c r="X13" s="7"/>
      <c r="Y13" s="7"/>
      <c r="Z13" s="7"/>
    </row>
    <row r="14" spans="1:26" ht="11.25" customHeight="1">
      <c r="A14" s="8">
        <v>13</v>
      </c>
      <c r="B14" s="9" t="s">
        <v>101</v>
      </c>
      <c r="C14" s="9" t="s">
        <v>102</v>
      </c>
      <c r="D14" s="10">
        <v>120</v>
      </c>
      <c r="E14" s="10">
        <v>120</v>
      </c>
      <c r="F14" s="10">
        <v>120</v>
      </c>
      <c r="G14" s="10">
        <v>120</v>
      </c>
      <c r="H14" s="10">
        <v>100</v>
      </c>
      <c r="I14" s="10">
        <v>100</v>
      </c>
      <c r="J14" s="11">
        <v>40316</v>
      </c>
      <c r="K14" s="11">
        <v>40229</v>
      </c>
      <c r="L14" s="11">
        <v>41983</v>
      </c>
      <c r="M14" s="9" t="s">
        <v>43</v>
      </c>
      <c r="N14" s="12" t="s">
        <v>103</v>
      </c>
      <c r="O14" s="12" t="s">
        <v>104</v>
      </c>
      <c r="P14" s="10">
        <v>501228703</v>
      </c>
      <c r="Q14" s="10" t="s">
        <v>105</v>
      </c>
      <c r="R14" s="43" t="s">
        <v>106</v>
      </c>
      <c r="S14" s="10" t="s">
        <v>107</v>
      </c>
      <c r="T14" s="45">
        <v>21</v>
      </c>
      <c r="U14" s="40" t="s">
        <v>200</v>
      </c>
      <c r="V14" s="7"/>
      <c r="W14" s="7"/>
      <c r="X14" s="7"/>
      <c r="Y14" s="7"/>
      <c r="Z14" s="7"/>
    </row>
    <row r="15" spans="1:26" ht="11.25" customHeight="1">
      <c r="A15" s="8">
        <v>14</v>
      </c>
      <c r="B15" s="9" t="s">
        <v>108</v>
      </c>
      <c r="C15" s="9" t="s">
        <v>109</v>
      </c>
      <c r="D15" s="10">
        <v>120</v>
      </c>
      <c r="E15" s="10">
        <v>120</v>
      </c>
      <c r="F15" s="10">
        <v>120</v>
      </c>
      <c r="G15" s="10"/>
      <c r="H15" s="10">
        <v>50</v>
      </c>
      <c r="I15" s="10" t="s">
        <v>586</v>
      </c>
      <c r="J15" s="11">
        <v>40316</v>
      </c>
      <c r="K15" s="11">
        <v>40229</v>
      </c>
      <c r="L15" s="11"/>
      <c r="M15" s="9" t="s">
        <v>43</v>
      </c>
      <c r="N15" s="12" t="s">
        <v>111</v>
      </c>
      <c r="O15" s="12" t="s">
        <v>112</v>
      </c>
      <c r="P15" s="10">
        <v>721696982</v>
      </c>
      <c r="Q15" s="10" t="s">
        <v>113</v>
      </c>
      <c r="R15" s="144" t="s">
        <v>587</v>
      </c>
      <c r="S15" s="10" t="s">
        <v>115</v>
      </c>
      <c r="T15" s="45">
        <v>26</v>
      </c>
      <c r="U15" s="16"/>
      <c r="V15" s="7"/>
      <c r="W15" s="7"/>
      <c r="X15" s="7"/>
      <c r="Y15" s="7"/>
      <c r="Z15" s="7"/>
    </row>
    <row r="16" spans="1:26" ht="11.25" customHeight="1">
      <c r="A16" s="8">
        <v>15</v>
      </c>
      <c r="B16" s="30" t="s">
        <v>194</v>
      </c>
      <c r="C16" s="30" t="s">
        <v>195</v>
      </c>
      <c r="D16" s="31">
        <v>120</v>
      </c>
      <c r="E16" s="31">
        <v>120</v>
      </c>
      <c r="F16" s="31">
        <v>120</v>
      </c>
      <c r="G16" s="31">
        <v>120</v>
      </c>
      <c r="H16" s="31">
        <v>50</v>
      </c>
      <c r="I16" s="31" t="s">
        <v>586</v>
      </c>
      <c r="J16" s="32">
        <v>40460</v>
      </c>
      <c r="K16" s="32">
        <v>40468</v>
      </c>
      <c r="L16" s="32"/>
      <c r="M16" s="30" t="s">
        <v>170</v>
      </c>
      <c r="N16" s="33" t="s">
        <v>196</v>
      </c>
      <c r="O16" s="33" t="s">
        <v>191</v>
      </c>
      <c r="P16" s="31">
        <v>508916020</v>
      </c>
      <c r="Q16" s="31" t="s">
        <v>32</v>
      </c>
      <c r="R16" s="145" t="s">
        <v>197</v>
      </c>
      <c r="S16" s="31" t="s">
        <v>198</v>
      </c>
      <c r="T16" s="146">
        <v>15</v>
      </c>
      <c r="U16" s="147"/>
      <c r="V16" s="148"/>
      <c r="W16" s="148"/>
      <c r="X16" s="148"/>
      <c r="Y16" s="148"/>
      <c r="Z16" s="148"/>
    </row>
    <row r="17" spans="1:26" ht="11.25" customHeight="1">
      <c r="A17" s="8">
        <v>16</v>
      </c>
      <c r="B17" s="9" t="s">
        <v>55</v>
      </c>
      <c r="C17" s="9" t="s">
        <v>207</v>
      </c>
      <c r="D17" s="149"/>
      <c r="E17" s="10">
        <v>120</v>
      </c>
      <c r="F17" s="10">
        <v>120</v>
      </c>
      <c r="G17" s="10">
        <v>50</v>
      </c>
      <c r="H17" s="26">
        <v>50</v>
      </c>
      <c r="I17" s="26">
        <v>50</v>
      </c>
      <c r="J17" s="32">
        <v>40460</v>
      </c>
      <c r="K17" s="11">
        <v>40630</v>
      </c>
      <c r="L17" s="11">
        <v>42152</v>
      </c>
      <c r="M17" s="9" t="s">
        <v>170</v>
      </c>
      <c r="N17" s="12" t="s">
        <v>208</v>
      </c>
      <c r="O17" s="12" t="s">
        <v>209</v>
      </c>
      <c r="P17" s="10">
        <v>601672777</v>
      </c>
      <c r="Q17" s="10" t="s">
        <v>210</v>
      </c>
      <c r="R17" s="43" t="s">
        <v>211</v>
      </c>
      <c r="S17" s="10">
        <v>943404489</v>
      </c>
      <c r="T17" s="45">
        <v>37</v>
      </c>
      <c r="U17" s="16"/>
      <c r="V17" s="7"/>
      <c r="W17" s="7"/>
      <c r="X17" s="7"/>
      <c r="Y17" s="7"/>
      <c r="Z17" s="7"/>
    </row>
    <row r="18" spans="1:26" ht="11.25" customHeight="1">
      <c r="A18" s="8">
        <v>17</v>
      </c>
      <c r="B18" s="9" t="s">
        <v>188</v>
      </c>
      <c r="C18" s="9" t="s">
        <v>223</v>
      </c>
      <c r="D18" s="149"/>
      <c r="E18" s="10">
        <v>120</v>
      </c>
      <c r="F18" s="10">
        <v>120</v>
      </c>
      <c r="G18" s="10">
        <v>50</v>
      </c>
      <c r="H18" s="10"/>
      <c r="I18" s="10">
        <v>50</v>
      </c>
      <c r="J18" s="11">
        <v>40530</v>
      </c>
      <c r="K18" s="11">
        <v>40676</v>
      </c>
      <c r="L18" s="11">
        <v>42314</v>
      </c>
      <c r="M18" s="9" t="s">
        <v>64</v>
      </c>
      <c r="N18" s="8" t="s">
        <v>224</v>
      </c>
      <c r="O18" s="12" t="s">
        <v>225</v>
      </c>
      <c r="P18" s="10">
        <v>793258511</v>
      </c>
      <c r="Q18" s="10" t="s">
        <v>226</v>
      </c>
      <c r="R18" s="45" t="s">
        <v>227</v>
      </c>
      <c r="S18" s="10">
        <v>413003499</v>
      </c>
      <c r="T18" s="45">
        <v>22</v>
      </c>
      <c r="U18" s="40" t="s">
        <v>200</v>
      </c>
      <c r="V18" s="7"/>
      <c r="W18" s="7"/>
      <c r="X18" s="7"/>
      <c r="Y18" s="7"/>
      <c r="Z18" s="7"/>
    </row>
    <row r="19" spans="1:26" ht="11.25" customHeight="1">
      <c r="A19" s="8">
        <v>18</v>
      </c>
      <c r="B19" s="9" t="s">
        <v>325</v>
      </c>
      <c r="C19" s="9" t="s">
        <v>326</v>
      </c>
      <c r="D19" s="149"/>
      <c r="E19" s="10">
        <v>40</v>
      </c>
      <c r="F19" s="10">
        <v>120</v>
      </c>
      <c r="G19" s="10"/>
      <c r="H19" s="10"/>
      <c r="I19" s="10">
        <v>50</v>
      </c>
      <c r="J19" s="11">
        <v>40800</v>
      </c>
      <c r="K19" s="11">
        <v>40834</v>
      </c>
      <c r="L19" s="11">
        <v>42069</v>
      </c>
      <c r="M19" s="9" t="s">
        <v>575</v>
      </c>
      <c r="N19" s="8" t="s">
        <v>327</v>
      </c>
      <c r="O19" s="12" t="s">
        <v>328</v>
      </c>
      <c r="P19" s="10" t="s">
        <v>329</v>
      </c>
      <c r="Q19" s="10"/>
      <c r="R19" s="45" t="s">
        <v>330</v>
      </c>
      <c r="S19" s="10"/>
      <c r="T19" s="45">
        <v>41</v>
      </c>
      <c r="U19" s="40" t="s">
        <v>200</v>
      </c>
      <c r="V19" s="7"/>
      <c r="W19" s="7"/>
      <c r="X19" s="7"/>
      <c r="Y19" s="7"/>
      <c r="Z19" s="7"/>
    </row>
    <row r="20" spans="1:26" ht="11.25" customHeight="1">
      <c r="A20" s="8">
        <v>19</v>
      </c>
      <c r="B20" s="9" t="s">
        <v>188</v>
      </c>
      <c r="C20" s="9" t="s">
        <v>246</v>
      </c>
      <c r="D20" s="149"/>
      <c r="E20" s="10">
        <v>70</v>
      </c>
      <c r="F20" s="10">
        <v>120</v>
      </c>
      <c r="G20" s="10">
        <v>50</v>
      </c>
      <c r="H20" s="10">
        <v>50</v>
      </c>
      <c r="I20" s="150">
        <v>50</v>
      </c>
      <c r="J20" s="11">
        <v>40737</v>
      </c>
      <c r="K20" s="11">
        <v>40731</v>
      </c>
      <c r="L20" s="99">
        <v>42132</v>
      </c>
      <c r="M20" s="9" t="s">
        <v>170</v>
      </c>
      <c r="N20" s="8" t="s">
        <v>588</v>
      </c>
      <c r="O20" s="12" t="s">
        <v>589</v>
      </c>
      <c r="P20" s="10" t="s">
        <v>249</v>
      </c>
      <c r="Q20" s="10"/>
      <c r="R20" s="45" t="s">
        <v>250</v>
      </c>
      <c r="S20" s="10"/>
      <c r="T20" s="45">
        <v>43</v>
      </c>
      <c r="U20" s="16"/>
      <c r="V20" s="7"/>
      <c r="W20" s="7"/>
      <c r="X20" s="7"/>
      <c r="Y20" s="7"/>
      <c r="Z20" s="7"/>
    </row>
    <row r="21" spans="1:26" ht="11.25" customHeight="1">
      <c r="A21" s="8">
        <v>20</v>
      </c>
      <c r="B21" s="9" t="s">
        <v>345</v>
      </c>
      <c r="C21" s="9" t="s">
        <v>346</v>
      </c>
      <c r="D21" s="149"/>
      <c r="E21" s="10">
        <v>0</v>
      </c>
      <c r="F21" s="10">
        <v>60</v>
      </c>
      <c r="G21" s="10"/>
      <c r="H21" s="10">
        <v>50</v>
      </c>
      <c r="I21" s="10" t="s">
        <v>586</v>
      </c>
      <c r="J21" s="11">
        <v>40702</v>
      </c>
      <c r="K21" s="11">
        <v>40955</v>
      </c>
      <c r="L21" s="11"/>
      <c r="M21" s="9" t="s">
        <v>347</v>
      </c>
      <c r="N21" s="8" t="s">
        <v>348</v>
      </c>
      <c r="O21" s="12" t="s">
        <v>349</v>
      </c>
      <c r="P21" s="10" t="s">
        <v>350</v>
      </c>
      <c r="Q21" s="10"/>
      <c r="R21" s="45" t="s">
        <v>351</v>
      </c>
      <c r="S21" s="10"/>
      <c r="T21" s="45">
        <v>44</v>
      </c>
      <c r="U21" s="16"/>
      <c r="V21" s="7"/>
      <c r="W21" s="7"/>
      <c r="X21" s="7"/>
      <c r="Y21" s="7"/>
      <c r="Z21" s="7"/>
    </row>
    <row r="22" spans="1:26" ht="11.25" customHeight="1">
      <c r="A22" s="8">
        <v>21</v>
      </c>
      <c r="B22" s="9" t="s">
        <v>194</v>
      </c>
      <c r="C22" s="9" t="s">
        <v>234</v>
      </c>
      <c r="D22" s="149"/>
      <c r="E22" s="10">
        <v>30</v>
      </c>
      <c r="F22" s="10">
        <v>60</v>
      </c>
      <c r="G22" s="10">
        <v>50</v>
      </c>
      <c r="H22" s="10">
        <v>50</v>
      </c>
      <c r="I22" s="10" t="s">
        <v>586</v>
      </c>
      <c r="J22" s="11">
        <v>40698</v>
      </c>
      <c r="K22" s="11">
        <v>40707</v>
      </c>
      <c r="L22" s="11"/>
      <c r="M22" s="9" t="s">
        <v>575</v>
      </c>
      <c r="N22" s="8" t="s">
        <v>235</v>
      </c>
      <c r="O22" s="12" t="s">
        <v>236</v>
      </c>
      <c r="P22" s="13">
        <v>511509264</v>
      </c>
      <c r="Q22" s="10"/>
      <c r="R22" s="45" t="s">
        <v>238</v>
      </c>
      <c r="S22" s="10"/>
      <c r="T22" s="45">
        <v>45</v>
      </c>
      <c r="U22" s="16"/>
      <c r="V22" s="7"/>
      <c r="W22" s="7"/>
      <c r="X22" s="7"/>
      <c r="Y22" s="7"/>
      <c r="Z22" s="7"/>
    </row>
    <row r="23" spans="1:26" ht="11.25" customHeight="1">
      <c r="A23" s="8">
        <v>22</v>
      </c>
      <c r="B23" s="9" t="s">
        <v>268</v>
      </c>
      <c r="C23" s="9" t="s">
        <v>269</v>
      </c>
      <c r="D23" s="149"/>
      <c r="E23" s="10">
        <v>30</v>
      </c>
      <c r="F23" s="10">
        <v>60</v>
      </c>
      <c r="G23" s="10"/>
      <c r="H23" s="10">
        <v>50</v>
      </c>
      <c r="I23" s="10">
        <v>50</v>
      </c>
      <c r="J23" s="11">
        <v>40709</v>
      </c>
      <c r="K23" s="11">
        <v>40767</v>
      </c>
      <c r="L23" s="11">
        <v>42080</v>
      </c>
      <c r="M23" s="9" t="s">
        <v>575</v>
      </c>
      <c r="N23" s="8" t="s">
        <v>270</v>
      </c>
      <c r="O23" s="12" t="s">
        <v>271</v>
      </c>
      <c r="P23" s="10" t="s">
        <v>272</v>
      </c>
      <c r="Q23" s="10"/>
      <c r="R23" s="45" t="s">
        <v>273</v>
      </c>
      <c r="S23" s="10"/>
      <c r="T23" s="45">
        <v>57</v>
      </c>
      <c r="U23" s="16"/>
      <c r="V23" s="7"/>
      <c r="W23" s="7"/>
      <c r="X23" s="7"/>
      <c r="Y23" s="7"/>
      <c r="Z23" s="7"/>
    </row>
    <row r="24" spans="1:26" ht="11.25" customHeight="1">
      <c r="A24" s="8">
        <v>23</v>
      </c>
      <c r="B24" s="9" t="s">
        <v>217</v>
      </c>
      <c r="C24" s="9" t="s">
        <v>116</v>
      </c>
      <c r="D24" s="149"/>
      <c r="E24" s="10">
        <v>20</v>
      </c>
      <c r="F24" s="10">
        <v>100</v>
      </c>
      <c r="G24" s="10">
        <v>150</v>
      </c>
      <c r="H24" s="10">
        <v>50</v>
      </c>
      <c r="I24" s="10">
        <v>50</v>
      </c>
      <c r="J24" s="11">
        <v>40847</v>
      </c>
      <c r="K24" s="11" t="s">
        <v>331</v>
      </c>
      <c r="L24" s="11"/>
      <c r="M24" s="9" t="s">
        <v>590</v>
      </c>
      <c r="N24" s="8" t="s">
        <v>332</v>
      </c>
      <c r="O24" s="12" t="s">
        <v>333</v>
      </c>
      <c r="P24" s="10">
        <v>504377500</v>
      </c>
      <c r="Q24" s="10"/>
      <c r="R24" s="45" t="s">
        <v>334</v>
      </c>
      <c r="S24" s="10"/>
      <c r="T24" s="45">
        <v>61</v>
      </c>
      <c r="U24" s="16"/>
      <c r="V24" s="7"/>
      <c r="W24" s="7"/>
      <c r="X24" s="7"/>
      <c r="Y24" s="7"/>
      <c r="Z24" s="7"/>
    </row>
    <row r="25" spans="1:26" ht="11.25" customHeight="1">
      <c r="A25" s="8">
        <v>24</v>
      </c>
      <c r="B25" s="9" t="s">
        <v>315</v>
      </c>
      <c r="C25" s="9" t="s">
        <v>316</v>
      </c>
      <c r="D25" s="149"/>
      <c r="E25" s="10">
        <v>40</v>
      </c>
      <c r="F25" s="10">
        <v>120</v>
      </c>
      <c r="G25" s="10"/>
      <c r="H25" s="10">
        <v>50</v>
      </c>
      <c r="I25" s="10">
        <v>50</v>
      </c>
      <c r="J25" s="11">
        <v>40812</v>
      </c>
      <c r="K25" s="11">
        <v>40812</v>
      </c>
      <c r="L25" s="11">
        <v>42260</v>
      </c>
      <c r="M25" s="9" t="s">
        <v>170</v>
      </c>
      <c r="N25" s="8" t="s">
        <v>317</v>
      </c>
      <c r="O25" s="12" t="s">
        <v>191</v>
      </c>
      <c r="P25" s="10">
        <v>886820739</v>
      </c>
      <c r="Q25" s="10"/>
      <c r="R25" s="45" t="s">
        <v>318</v>
      </c>
      <c r="S25" s="10"/>
      <c r="T25" s="45">
        <v>63</v>
      </c>
      <c r="U25" s="40" t="s">
        <v>200</v>
      </c>
      <c r="V25" s="7"/>
      <c r="W25" s="7"/>
      <c r="X25" s="7"/>
      <c r="Y25" s="7"/>
      <c r="Z25" s="7"/>
    </row>
    <row r="26" spans="1:26" ht="11.25" customHeight="1">
      <c r="A26" s="8">
        <v>25</v>
      </c>
      <c r="B26" s="9" t="s">
        <v>228</v>
      </c>
      <c r="C26" s="9" t="s">
        <v>229</v>
      </c>
      <c r="D26" s="149"/>
      <c r="E26" s="10">
        <v>30</v>
      </c>
      <c r="F26" s="10">
        <v>60</v>
      </c>
      <c r="G26" s="10"/>
      <c r="H26" s="10"/>
      <c r="I26" s="143">
        <v>50</v>
      </c>
      <c r="J26" s="11">
        <v>40682</v>
      </c>
      <c r="K26" s="11">
        <v>40694</v>
      </c>
      <c r="L26" s="11">
        <v>42079</v>
      </c>
      <c r="M26" s="9" t="s">
        <v>170</v>
      </c>
      <c r="N26" s="8" t="s">
        <v>591</v>
      </c>
      <c r="O26" s="12" t="s">
        <v>592</v>
      </c>
      <c r="P26" s="10" t="s">
        <v>232</v>
      </c>
      <c r="Q26" s="10"/>
      <c r="R26" s="45" t="s">
        <v>233</v>
      </c>
      <c r="S26" s="10"/>
      <c r="T26" s="45">
        <v>42</v>
      </c>
      <c r="U26" s="16"/>
      <c r="V26" s="7"/>
      <c r="W26" s="7"/>
      <c r="X26" s="7"/>
      <c r="Y26" s="7"/>
      <c r="Z26" s="7"/>
    </row>
    <row r="27" spans="1:26" ht="11.25" customHeight="1">
      <c r="A27" s="8">
        <v>26</v>
      </c>
      <c r="B27" s="9" t="s">
        <v>35</v>
      </c>
      <c r="C27" s="9" t="s">
        <v>319</v>
      </c>
      <c r="D27" s="149"/>
      <c r="E27" s="10">
        <v>120</v>
      </c>
      <c r="F27" s="10">
        <v>120</v>
      </c>
      <c r="G27" s="10">
        <v>50</v>
      </c>
      <c r="H27" s="10">
        <v>50</v>
      </c>
      <c r="I27" s="10" t="s">
        <v>586</v>
      </c>
      <c r="J27" s="11">
        <v>40814</v>
      </c>
      <c r="K27" s="11">
        <v>40815</v>
      </c>
      <c r="L27" s="11"/>
      <c r="M27" s="9" t="s">
        <v>170</v>
      </c>
      <c r="N27" s="47" t="s">
        <v>320</v>
      </c>
      <c r="O27" s="48" t="s">
        <v>321</v>
      </c>
      <c r="P27" s="26" t="s">
        <v>322</v>
      </c>
      <c r="Q27" s="10" t="s">
        <v>323</v>
      </c>
      <c r="R27" s="49" t="s">
        <v>324</v>
      </c>
      <c r="S27" s="10"/>
      <c r="T27" s="45">
        <v>64</v>
      </c>
      <c r="U27" s="16"/>
      <c r="V27" s="7"/>
      <c r="W27" s="7"/>
      <c r="X27" s="7"/>
      <c r="Y27" s="7"/>
      <c r="Z27" s="7"/>
    </row>
    <row r="28" spans="1:26" ht="11.25" customHeight="1">
      <c r="A28" s="8">
        <v>27</v>
      </c>
      <c r="B28" s="9" t="s">
        <v>340</v>
      </c>
      <c r="C28" s="9" t="s">
        <v>341</v>
      </c>
      <c r="D28" s="149"/>
      <c r="E28" s="149"/>
      <c r="F28" s="10">
        <v>120</v>
      </c>
      <c r="G28" s="10">
        <v>50</v>
      </c>
      <c r="H28" s="10">
        <v>50</v>
      </c>
      <c r="I28" s="10">
        <v>50</v>
      </c>
      <c r="J28" s="11">
        <v>40949</v>
      </c>
      <c r="K28" s="11">
        <v>40953</v>
      </c>
      <c r="L28" s="19">
        <v>42016</v>
      </c>
      <c r="M28" s="28" t="s">
        <v>170</v>
      </c>
      <c r="N28" s="10" t="s">
        <v>342</v>
      </c>
      <c r="O28" s="10" t="s">
        <v>343</v>
      </c>
      <c r="P28" s="10">
        <v>660749160</v>
      </c>
      <c r="Q28" s="55"/>
      <c r="R28" s="54" t="s">
        <v>344</v>
      </c>
      <c r="S28" s="56"/>
      <c r="T28" s="45">
        <v>67</v>
      </c>
      <c r="U28" s="16"/>
      <c r="V28" s="7"/>
      <c r="W28" s="7"/>
      <c r="X28" s="7"/>
      <c r="Y28" s="7"/>
      <c r="Z28" s="7"/>
    </row>
    <row r="29" spans="1:26" ht="11.25" customHeight="1">
      <c r="A29" s="8">
        <v>28</v>
      </c>
      <c r="B29" s="9" t="s">
        <v>356</v>
      </c>
      <c r="C29" s="9" t="s">
        <v>357</v>
      </c>
      <c r="D29" s="149"/>
      <c r="E29" s="149"/>
      <c r="F29" s="10">
        <v>100</v>
      </c>
      <c r="G29" s="10">
        <v>50</v>
      </c>
      <c r="H29" s="10">
        <v>50</v>
      </c>
      <c r="I29" s="40">
        <v>50</v>
      </c>
      <c r="J29" s="11">
        <v>41145</v>
      </c>
      <c r="K29" s="11">
        <v>40974</v>
      </c>
      <c r="L29" s="19">
        <v>42348</v>
      </c>
      <c r="M29" s="28" t="s">
        <v>170</v>
      </c>
      <c r="N29" s="8" t="s">
        <v>358</v>
      </c>
      <c r="O29" s="108" t="s">
        <v>359</v>
      </c>
      <c r="P29" s="10">
        <v>698686932</v>
      </c>
      <c r="Q29" s="58"/>
      <c r="R29" s="104" t="s">
        <v>360</v>
      </c>
      <c r="S29" s="56"/>
      <c r="T29" s="45">
        <v>62</v>
      </c>
      <c r="U29" s="16"/>
      <c r="V29" s="7"/>
      <c r="W29" s="7"/>
      <c r="X29" s="7"/>
      <c r="Y29" s="7"/>
      <c r="Z29" s="7"/>
    </row>
    <row r="30" spans="1:26" ht="11.25" customHeight="1">
      <c r="A30" s="8">
        <v>29</v>
      </c>
      <c r="B30" s="95" t="s">
        <v>388</v>
      </c>
      <c r="C30" s="95" t="s">
        <v>389</v>
      </c>
      <c r="D30" s="149"/>
      <c r="E30" s="149"/>
      <c r="F30" s="18">
        <v>45</v>
      </c>
      <c r="G30" s="18">
        <v>50</v>
      </c>
      <c r="H30" s="18">
        <v>50</v>
      </c>
      <c r="I30" s="10" t="s">
        <v>586</v>
      </c>
      <c r="J30" s="99">
        <v>41012</v>
      </c>
      <c r="K30" s="99">
        <v>41012</v>
      </c>
      <c r="L30" s="99"/>
      <c r="M30" s="9" t="s">
        <v>170</v>
      </c>
      <c r="N30" s="151" t="s">
        <v>593</v>
      </c>
      <c r="O30" s="151" t="s">
        <v>594</v>
      </c>
      <c r="P30" s="151">
        <v>513861604</v>
      </c>
      <c r="Q30" s="101"/>
      <c r="R30" s="104" t="s">
        <v>392</v>
      </c>
      <c r="S30" s="152"/>
      <c r="T30" s="104">
        <v>72</v>
      </c>
      <c r="U30" s="103"/>
      <c r="V30" s="7"/>
      <c r="W30" s="7"/>
      <c r="X30" s="7"/>
      <c r="Y30" s="7"/>
      <c r="Z30" s="7"/>
    </row>
    <row r="31" spans="1:26" ht="11.25" customHeight="1">
      <c r="A31" s="8">
        <v>30</v>
      </c>
      <c r="B31" s="104" t="s">
        <v>401</v>
      </c>
      <c r="C31" s="95" t="s">
        <v>402</v>
      </c>
      <c r="D31" s="149"/>
      <c r="E31" s="149"/>
      <c r="F31" s="18">
        <v>25</v>
      </c>
      <c r="G31" s="18">
        <v>50</v>
      </c>
      <c r="H31" s="18">
        <v>50</v>
      </c>
      <c r="I31" s="10">
        <v>50</v>
      </c>
      <c r="J31" s="99">
        <v>41137</v>
      </c>
      <c r="K31" s="99">
        <v>41137</v>
      </c>
      <c r="L31" s="99">
        <v>42135</v>
      </c>
      <c r="M31" s="17" t="s">
        <v>170</v>
      </c>
      <c r="N31" s="91" t="s">
        <v>403</v>
      </c>
      <c r="O31" s="91" t="s">
        <v>404</v>
      </c>
      <c r="P31" s="18">
        <v>784918776</v>
      </c>
      <c r="Q31" s="101" t="s">
        <v>405</v>
      </c>
      <c r="R31" s="104" t="s">
        <v>406</v>
      </c>
      <c r="S31" s="152"/>
      <c r="T31" s="104">
        <v>73</v>
      </c>
      <c r="U31" s="40" t="s">
        <v>200</v>
      </c>
      <c r="V31" s="7"/>
      <c r="W31" s="7"/>
      <c r="X31" s="7"/>
      <c r="Y31" s="7"/>
      <c r="Z31" s="7"/>
    </row>
    <row r="32" spans="1:26" ht="11.25" customHeight="1">
      <c r="A32" s="8">
        <v>31</v>
      </c>
      <c r="B32" s="90" t="s">
        <v>413</v>
      </c>
      <c r="C32" s="90" t="s">
        <v>414</v>
      </c>
      <c r="D32" s="153"/>
      <c r="E32" s="153"/>
      <c r="F32" s="154"/>
      <c r="G32" s="91">
        <v>120</v>
      </c>
      <c r="H32" s="91">
        <v>50</v>
      </c>
      <c r="I32" s="10">
        <v>50</v>
      </c>
      <c r="J32" s="92">
        <v>41131</v>
      </c>
      <c r="K32" s="92">
        <v>41311</v>
      </c>
      <c r="L32" s="155">
        <v>42138</v>
      </c>
      <c r="M32" s="61" t="s">
        <v>170</v>
      </c>
      <c r="N32" s="91" t="s">
        <v>415</v>
      </c>
      <c r="O32" s="91" t="s">
        <v>416</v>
      </c>
      <c r="P32" s="91">
        <v>601357602</v>
      </c>
      <c r="Q32" s="94"/>
      <c r="R32" s="104" t="s">
        <v>417</v>
      </c>
      <c r="S32" s="96"/>
      <c r="T32" s="156">
        <v>76</v>
      </c>
      <c r="U32" s="97"/>
      <c r="V32" s="98"/>
      <c r="W32" s="7"/>
      <c r="X32" s="7"/>
      <c r="Y32" s="7"/>
      <c r="Z32" s="7"/>
    </row>
    <row r="33" spans="1:26" ht="11.25" customHeight="1">
      <c r="A33" s="8">
        <v>32</v>
      </c>
      <c r="B33" s="95" t="s">
        <v>194</v>
      </c>
      <c r="C33" s="95" t="s">
        <v>418</v>
      </c>
      <c r="D33" s="154"/>
      <c r="E33" s="154"/>
      <c r="F33" s="154"/>
      <c r="G33" s="18">
        <v>50</v>
      </c>
      <c r="H33" s="18"/>
      <c r="I33" s="10" t="s">
        <v>586</v>
      </c>
      <c r="J33" s="99">
        <v>41314</v>
      </c>
      <c r="K33" s="99">
        <v>41319</v>
      </c>
      <c r="L33" s="99"/>
      <c r="M33" s="9" t="s">
        <v>170</v>
      </c>
      <c r="N33" s="18" t="s">
        <v>419</v>
      </c>
      <c r="O33" s="18" t="s">
        <v>420</v>
      </c>
      <c r="P33" s="18">
        <v>668429949</v>
      </c>
      <c r="Q33" s="101" t="s">
        <v>421</v>
      </c>
      <c r="R33" s="104" t="s">
        <v>422</v>
      </c>
      <c r="S33" s="102"/>
      <c r="T33" s="156">
        <v>77</v>
      </c>
      <c r="U33" s="103"/>
      <c r="V33" s="7"/>
      <c r="W33" s="7"/>
      <c r="X33" s="7"/>
      <c r="Y33" s="7"/>
      <c r="Z33" s="7"/>
    </row>
    <row r="34" spans="1:26" ht="11.25" customHeight="1">
      <c r="A34" s="8">
        <v>33</v>
      </c>
      <c r="B34" s="104" t="s">
        <v>423</v>
      </c>
      <c r="C34" s="104" t="s">
        <v>424</v>
      </c>
      <c r="D34" s="154"/>
      <c r="E34" s="154"/>
      <c r="F34" s="154"/>
      <c r="G34" s="18">
        <v>50</v>
      </c>
      <c r="H34" s="18"/>
      <c r="I34" s="10" t="s">
        <v>586</v>
      </c>
      <c r="J34" s="99">
        <v>41329</v>
      </c>
      <c r="K34" s="99">
        <v>41369</v>
      </c>
      <c r="L34" s="99"/>
      <c r="M34" s="9" t="s">
        <v>170</v>
      </c>
      <c r="N34" s="18" t="s">
        <v>425</v>
      </c>
      <c r="O34" s="18" t="s">
        <v>426</v>
      </c>
      <c r="P34" s="104"/>
      <c r="Q34" s="101" t="s">
        <v>427</v>
      </c>
      <c r="R34" s="104" t="s">
        <v>428</v>
      </c>
      <c r="S34" s="102"/>
      <c r="T34" s="156">
        <v>78</v>
      </c>
      <c r="U34" s="103"/>
      <c r="V34" s="7"/>
      <c r="W34" s="7"/>
      <c r="X34" s="7"/>
      <c r="Y34" s="7"/>
      <c r="Z34" s="7"/>
    </row>
    <row r="35" spans="1:26" ht="11.25" customHeight="1">
      <c r="A35" s="8">
        <v>34</v>
      </c>
      <c r="B35" s="104" t="s">
        <v>429</v>
      </c>
      <c r="C35" s="104" t="s">
        <v>430</v>
      </c>
      <c r="D35" s="154"/>
      <c r="E35" s="154"/>
      <c r="F35" s="154"/>
      <c r="G35" s="18">
        <v>50</v>
      </c>
      <c r="H35" s="18">
        <v>50</v>
      </c>
      <c r="I35" s="10">
        <v>50</v>
      </c>
      <c r="J35" s="99">
        <v>41349</v>
      </c>
      <c r="K35" s="99">
        <v>41354</v>
      </c>
      <c r="L35" s="99">
        <v>42139</v>
      </c>
      <c r="M35" s="9" t="s">
        <v>170</v>
      </c>
      <c r="N35" s="18" t="s">
        <v>595</v>
      </c>
      <c r="O35" s="18" t="s">
        <v>596</v>
      </c>
      <c r="P35" s="18">
        <v>512180992</v>
      </c>
      <c r="Q35" s="105"/>
      <c r="R35" s="104" t="s">
        <v>433</v>
      </c>
      <c r="S35" s="102"/>
      <c r="T35" s="156">
        <v>79</v>
      </c>
      <c r="U35" s="103"/>
      <c r="V35" s="7"/>
      <c r="W35" s="7"/>
      <c r="X35" s="7"/>
      <c r="Y35" s="7"/>
      <c r="Z35" s="7"/>
    </row>
    <row r="36" spans="1:26" ht="11.25" customHeight="1">
      <c r="A36" s="8">
        <v>35</v>
      </c>
      <c r="B36" s="104" t="s">
        <v>76</v>
      </c>
      <c r="C36" s="104" t="s">
        <v>434</v>
      </c>
      <c r="D36" s="154"/>
      <c r="E36" s="154"/>
      <c r="F36" s="154"/>
      <c r="G36" s="18">
        <v>50</v>
      </c>
      <c r="H36" s="18"/>
      <c r="I36" s="10" t="s">
        <v>586</v>
      </c>
      <c r="J36" s="99">
        <v>41349</v>
      </c>
      <c r="K36" s="99">
        <v>41353</v>
      </c>
      <c r="L36" s="99"/>
      <c r="M36" s="9" t="s">
        <v>170</v>
      </c>
      <c r="N36" s="18" t="s">
        <v>435</v>
      </c>
      <c r="O36" s="18" t="s">
        <v>436</v>
      </c>
      <c r="P36" s="18">
        <v>518716183</v>
      </c>
      <c r="Q36" s="105"/>
      <c r="R36" s="104" t="s">
        <v>437</v>
      </c>
      <c r="S36" s="102"/>
      <c r="T36" s="156">
        <v>80</v>
      </c>
      <c r="U36" s="103"/>
      <c r="V36" s="7"/>
      <c r="W36" s="7"/>
      <c r="X36" s="7"/>
      <c r="Y36" s="7"/>
      <c r="Z36" s="7"/>
    </row>
    <row r="37" spans="1:26" ht="11.25" customHeight="1">
      <c r="A37" s="8">
        <v>36</v>
      </c>
      <c r="B37" s="104" t="s">
        <v>438</v>
      </c>
      <c r="C37" s="104" t="s">
        <v>95</v>
      </c>
      <c r="D37" s="154"/>
      <c r="E37" s="154"/>
      <c r="F37" s="154"/>
      <c r="G37" s="18">
        <v>50</v>
      </c>
      <c r="H37" s="18">
        <v>50</v>
      </c>
      <c r="I37" s="18">
        <v>50</v>
      </c>
      <c r="J37" s="106">
        <v>41352</v>
      </c>
      <c r="K37" s="99">
        <v>41358</v>
      </c>
      <c r="L37" s="157">
        <v>42129</v>
      </c>
      <c r="M37" s="9" t="s">
        <v>170</v>
      </c>
      <c r="N37" s="18" t="s">
        <v>439</v>
      </c>
      <c r="O37" s="18" t="s">
        <v>97</v>
      </c>
      <c r="P37" s="18">
        <v>510639087</v>
      </c>
      <c r="Q37" s="105"/>
      <c r="R37" s="104" t="s">
        <v>440</v>
      </c>
      <c r="S37" s="102"/>
      <c r="T37" s="156">
        <v>82</v>
      </c>
      <c r="U37" s="103"/>
      <c r="V37" s="7"/>
      <c r="W37" s="7"/>
      <c r="X37" s="7"/>
      <c r="Y37" s="7"/>
      <c r="Z37" s="7"/>
    </row>
    <row r="38" spans="1:26" ht="11.25" customHeight="1">
      <c r="A38" s="8">
        <v>37</v>
      </c>
      <c r="B38" s="104" t="s">
        <v>441</v>
      </c>
      <c r="C38" s="104" t="s">
        <v>442</v>
      </c>
      <c r="D38" s="154"/>
      <c r="E38" s="154"/>
      <c r="F38" s="154"/>
      <c r="G38" s="18">
        <v>50</v>
      </c>
      <c r="H38" s="18">
        <v>50</v>
      </c>
      <c r="I38" s="18">
        <v>50</v>
      </c>
      <c r="J38" s="106">
        <v>41354</v>
      </c>
      <c r="K38" s="99">
        <v>41354</v>
      </c>
      <c r="L38" s="99">
        <v>42039</v>
      </c>
      <c r="M38" s="9" t="s">
        <v>170</v>
      </c>
      <c r="N38" s="18" t="s">
        <v>443</v>
      </c>
      <c r="O38" s="18" t="s">
        <v>444</v>
      </c>
      <c r="P38" s="18">
        <v>607777011</v>
      </c>
      <c r="Q38" s="105"/>
      <c r="R38" s="104" t="s">
        <v>445</v>
      </c>
      <c r="S38" s="102"/>
      <c r="T38" s="156">
        <v>83</v>
      </c>
      <c r="U38" s="40" t="s">
        <v>412</v>
      </c>
      <c r="V38" s="7"/>
      <c r="W38" s="7"/>
      <c r="X38" s="7"/>
      <c r="Y38" s="7"/>
      <c r="Z38" s="7"/>
    </row>
    <row r="39" spans="1:26" ht="11.25" customHeight="1">
      <c r="A39" s="8">
        <v>38</v>
      </c>
      <c r="B39" s="97" t="s">
        <v>446</v>
      </c>
      <c r="C39" s="97" t="s">
        <v>447</v>
      </c>
      <c r="D39" s="158"/>
      <c r="E39" s="158"/>
      <c r="F39" s="158"/>
      <c r="G39" s="91">
        <v>50</v>
      </c>
      <c r="H39" s="91"/>
      <c r="I39" s="10" t="s">
        <v>586</v>
      </c>
      <c r="J39" s="107">
        <v>41354</v>
      </c>
      <c r="K39" s="92">
        <v>41355</v>
      </c>
      <c r="L39" s="92"/>
      <c r="M39" s="17" t="s">
        <v>170</v>
      </c>
      <c r="N39" s="108" t="s">
        <v>448</v>
      </c>
      <c r="O39" s="18" t="s">
        <v>449</v>
      </c>
      <c r="P39" s="108">
        <v>781815484</v>
      </c>
      <c r="Q39" s="110"/>
      <c r="R39" s="104" t="s">
        <v>450</v>
      </c>
      <c r="S39" s="96"/>
      <c r="T39" s="156">
        <v>84</v>
      </c>
      <c r="U39" s="111"/>
      <c r="V39" s="7"/>
      <c r="W39" s="7"/>
      <c r="X39" s="7"/>
      <c r="Y39" s="7"/>
      <c r="Z39" s="7"/>
    </row>
    <row r="40" spans="1:26" ht="11.25" customHeight="1">
      <c r="A40" s="8">
        <v>39</v>
      </c>
      <c r="B40" s="104" t="s">
        <v>13</v>
      </c>
      <c r="C40" s="104" t="s">
        <v>451</v>
      </c>
      <c r="D40" s="154"/>
      <c r="E40" s="154"/>
      <c r="F40" s="154"/>
      <c r="G40" s="18">
        <v>50</v>
      </c>
      <c r="H40" s="18"/>
      <c r="I40" s="10">
        <v>50</v>
      </c>
      <c r="J40" s="99">
        <v>41361</v>
      </c>
      <c r="K40" s="99">
        <v>41361</v>
      </c>
      <c r="L40" s="99">
        <v>42276</v>
      </c>
      <c r="M40" s="17" t="s">
        <v>170</v>
      </c>
      <c r="N40" s="18" t="s">
        <v>452</v>
      </c>
      <c r="O40" s="18" t="s">
        <v>453</v>
      </c>
      <c r="P40" s="104"/>
      <c r="Q40" s="105"/>
      <c r="R40" s="104" t="s">
        <v>454</v>
      </c>
      <c r="S40" s="102"/>
      <c r="T40" s="156">
        <v>85</v>
      </c>
      <c r="U40" s="103"/>
      <c r="V40" s="7"/>
      <c r="W40" s="7"/>
      <c r="X40" s="7"/>
      <c r="Y40" s="7"/>
      <c r="Z40" s="7"/>
    </row>
    <row r="41" spans="1:26" ht="11.25" customHeight="1">
      <c r="A41" s="8">
        <v>40</v>
      </c>
      <c r="B41" s="104" t="s">
        <v>13</v>
      </c>
      <c r="C41" s="104" t="s">
        <v>455</v>
      </c>
      <c r="D41" s="154"/>
      <c r="E41" s="154"/>
      <c r="F41" s="154"/>
      <c r="G41" s="18">
        <v>50</v>
      </c>
      <c r="H41" s="18"/>
      <c r="I41" s="10" t="s">
        <v>586</v>
      </c>
      <c r="J41" s="99">
        <v>41362</v>
      </c>
      <c r="K41" s="99">
        <v>41389</v>
      </c>
      <c r="L41" s="92"/>
      <c r="M41" s="17" t="s">
        <v>170</v>
      </c>
      <c r="N41" s="18" t="s">
        <v>456</v>
      </c>
      <c r="O41" s="18" t="s">
        <v>457</v>
      </c>
      <c r="P41" s="18">
        <v>793594319</v>
      </c>
      <c r="Q41" s="105"/>
      <c r="R41" s="104" t="s">
        <v>458</v>
      </c>
      <c r="S41" s="102"/>
      <c r="T41" s="156">
        <v>86</v>
      </c>
      <c r="U41" s="103"/>
      <c r="V41" s="7"/>
      <c r="W41" s="7"/>
      <c r="X41" s="7"/>
      <c r="Y41" s="7"/>
      <c r="Z41" s="7"/>
    </row>
    <row r="42" spans="1:26" ht="11.25" customHeight="1">
      <c r="A42" s="8">
        <v>41</v>
      </c>
      <c r="B42" s="104" t="s">
        <v>459</v>
      </c>
      <c r="C42" s="104" t="s">
        <v>460</v>
      </c>
      <c r="D42" s="159"/>
      <c r="E42" s="159"/>
      <c r="F42" s="159"/>
      <c r="G42" s="18">
        <v>50</v>
      </c>
      <c r="H42" s="18"/>
      <c r="I42" s="10" t="s">
        <v>586</v>
      </c>
      <c r="J42" s="99"/>
      <c r="K42" s="99">
        <v>41362</v>
      </c>
      <c r="L42" s="99"/>
      <c r="M42" s="9" t="s">
        <v>170</v>
      </c>
      <c r="N42" s="104"/>
      <c r="O42" s="18"/>
      <c r="P42" s="104"/>
      <c r="Q42" s="105"/>
      <c r="R42" s="104"/>
      <c r="S42" s="102"/>
      <c r="T42" s="156">
        <v>87</v>
      </c>
      <c r="U42" s="103"/>
      <c r="V42" s="7"/>
      <c r="W42" s="7"/>
      <c r="X42" s="7"/>
      <c r="Y42" s="7"/>
      <c r="Z42" s="7"/>
    </row>
    <row r="43" spans="1:26" ht="11.25" customHeight="1">
      <c r="A43" s="8">
        <v>42</v>
      </c>
      <c r="B43" s="104" t="s">
        <v>134</v>
      </c>
      <c r="C43" s="104" t="s">
        <v>461</v>
      </c>
      <c r="D43" s="159"/>
      <c r="E43" s="159"/>
      <c r="F43" s="159"/>
      <c r="G43" s="18">
        <v>50</v>
      </c>
      <c r="H43" s="18">
        <v>50</v>
      </c>
      <c r="I43" s="18">
        <v>50</v>
      </c>
      <c r="J43" s="99">
        <v>41407</v>
      </c>
      <c r="K43" s="99">
        <v>41404</v>
      </c>
      <c r="L43" s="99">
        <v>42089</v>
      </c>
      <c r="M43" s="9" t="s">
        <v>170</v>
      </c>
      <c r="N43" s="18" t="s">
        <v>462</v>
      </c>
      <c r="O43" s="18" t="s">
        <v>463</v>
      </c>
      <c r="P43" s="104"/>
      <c r="Q43" s="105"/>
      <c r="R43" s="104" t="s">
        <v>464</v>
      </c>
      <c r="S43" s="102"/>
      <c r="T43" s="156">
        <v>88</v>
      </c>
      <c r="U43" s="40" t="s">
        <v>200</v>
      </c>
      <c r="V43" s="7"/>
      <c r="W43" s="7"/>
      <c r="X43" s="7"/>
      <c r="Y43" s="7"/>
      <c r="Z43" s="7"/>
    </row>
    <row r="44" spans="1:26" ht="11.25" customHeight="1">
      <c r="A44" s="8">
        <v>43</v>
      </c>
      <c r="B44" s="104" t="s">
        <v>465</v>
      </c>
      <c r="C44" s="104" t="s">
        <v>466</v>
      </c>
      <c r="D44" s="159"/>
      <c r="E44" s="159"/>
      <c r="F44" s="159"/>
      <c r="G44" s="18">
        <v>50</v>
      </c>
      <c r="H44" s="18">
        <v>50</v>
      </c>
      <c r="I44" s="10">
        <v>50</v>
      </c>
      <c r="J44" s="99">
        <v>41509</v>
      </c>
      <c r="K44" s="99">
        <v>41509</v>
      </c>
      <c r="L44" s="99">
        <v>42135</v>
      </c>
      <c r="M44" s="9" t="s">
        <v>170</v>
      </c>
      <c r="N44" s="18" t="s">
        <v>597</v>
      </c>
      <c r="O44" s="18" t="s">
        <v>598</v>
      </c>
      <c r="P44" s="18">
        <v>884308894</v>
      </c>
      <c r="Q44" s="101" t="s">
        <v>469</v>
      </c>
      <c r="R44" s="104" t="s">
        <v>470</v>
      </c>
      <c r="S44" s="102"/>
      <c r="T44" s="160">
        <v>90</v>
      </c>
      <c r="U44" s="103"/>
      <c r="V44" s="7"/>
      <c r="W44" s="7"/>
      <c r="X44" s="7"/>
      <c r="Y44" s="7"/>
      <c r="Z44" s="7"/>
    </row>
    <row r="45" spans="1:26" ht="11.25" customHeight="1">
      <c r="A45" s="8">
        <v>44</v>
      </c>
      <c r="B45" s="104" t="s">
        <v>21</v>
      </c>
      <c r="C45" s="104" t="s">
        <v>471</v>
      </c>
      <c r="D45" s="159"/>
      <c r="E45" s="159"/>
      <c r="F45" s="159"/>
      <c r="G45" s="18">
        <v>50</v>
      </c>
      <c r="H45" s="18"/>
      <c r="I45" s="10" t="s">
        <v>586</v>
      </c>
      <c r="J45" s="99">
        <v>41523</v>
      </c>
      <c r="K45" s="99">
        <v>41523</v>
      </c>
      <c r="L45" s="99"/>
      <c r="M45" s="9" t="s">
        <v>170</v>
      </c>
      <c r="N45" s="18" t="s">
        <v>472</v>
      </c>
      <c r="O45" s="18" t="s">
        <v>473</v>
      </c>
      <c r="P45" s="18">
        <v>609915799</v>
      </c>
      <c r="Q45" s="101" t="s">
        <v>474</v>
      </c>
      <c r="R45" s="161" t="s">
        <v>475</v>
      </c>
      <c r="S45" s="102"/>
      <c r="T45" s="160">
        <v>91</v>
      </c>
      <c r="U45" s="103"/>
      <c r="V45" s="7"/>
      <c r="W45" s="7"/>
      <c r="X45" s="7"/>
      <c r="Y45" s="7"/>
      <c r="Z45" s="7"/>
    </row>
    <row r="46" spans="1:26" ht="11.25" customHeight="1">
      <c r="A46" s="8">
        <v>45</v>
      </c>
      <c r="B46" s="104" t="s">
        <v>476</v>
      </c>
      <c r="C46" s="104" t="s">
        <v>477</v>
      </c>
      <c r="D46" s="159"/>
      <c r="E46" s="159"/>
      <c r="F46" s="159"/>
      <c r="G46" s="18">
        <v>50</v>
      </c>
      <c r="H46" s="18">
        <v>50</v>
      </c>
      <c r="I46" s="10" t="s">
        <v>586</v>
      </c>
      <c r="J46" s="99"/>
      <c r="K46" s="99">
        <v>41526</v>
      </c>
      <c r="L46" s="99"/>
      <c r="M46" s="9" t="s">
        <v>170</v>
      </c>
      <c r="N46" s="18" t="s">
        <v>478</v>
      </c>
      <c r="O46" s="18" t="s">
        <v>479</v>
      </c>
      <c r="P46" s="104"/>
      <c r="Q46" s="105"/>
      <c r="R46" s="104"/>
      <c r="S46" s="102" t="s">
        <v>480</v>
      </c>
      <c r="T46" s="160">
        <v>92</v>
      </c>
      <c r="U46" s="103"/>
      <c r="V46" s="7"/>
      <c r="W46" s="7"/>
      <c r="X46" s="7"/>
      <c r="Y46" s="7"/>
      <c r="Z46" s="7"/>
    </row>
    <row r="47" spans="1:26" ht="11.25" customHeight="1">
      <c r="A47" s="8">
        <v>46</v>
      </c>
      <c r="B47" s="104" t="s">
        <v>481</v>
      </c>
      <c r="C47" s="104" t="s">
        <v>482</v>
      </c>
      <c r="D47" s="159"/>
      <c r="E47" s="159"/>
      <c r="F47" s="159"/>
      <c r="G47" s="18">
        <v>50</v>
      </c>
      <c r="H47" s="18"/>
      <c r="I47" s="10" t="s">
        <v>586</v>
      </c>
      <c r="J47" s="99">
        <v>41536</v>
      </c>
      <c r="K47" s="99">
        <v>41537</v>
      </c>
      <c r="L47" s="99"/>
      <c r="M47" s="9" t="s">
        <v>170</v>
      </c>
      <c r="N47" s="18" t="s">
        <v>483</v>
      </c>
      <c r="O47" s="18" t="s">
        <v>484</v>
      </c>
      <c r="P47" s="104"/>
      <c r="Q47" s="101" t="s">
        <v>485</v>
      </c>
      <c r="R47" s="141" t="s">
        <v>599</v>
      </c>
      <c r="S47" s="102"/>
      <c r="T47" s="160">
        <v>93</v>
      </c>
      <c r="U47" s="103"/>
      <c r="V47" s="7"/>
      <c r="W47" s="7"/>
      <c r="X47" s="7"/>
      <c r="Y47" s="7"/>
      <c r="Z47" s="7"/>
    </row>
    <row r="48" spans="1:26" ht="11.25" customHeight="1">
      <c r="A48" s="8">
        <v>47</v>
      </c>
      <c r="B48" s="104" t="s">
        <v>441</v>
      </c>
      <c r="C48" s="104" t="s">
        <v>487</v>
      </c>
      <c r="D48" s="159"/>
      <c r="E48" s="159"/>
      <c r="F48" s="159"/>
      <c r="G48" s="18">
        <v>50</v>
      </c>
      <c r="H48" s="18"/>
      <c r="I48" s="10" t="s">
        <v>586</v>
      </c>
      <c r="J48" s="99">
        <v>41558</v>
      </c>
      <c r="K48" s="99">
        <v>41564</v>
      </c>
      <c r="L48" s="99"/>
      <c r="M48" s="9" t="s">
        <v>170</v>
      </c>
      <c r="N48" s="112" t="s">
        <v>488</v>
      </c>
      <c r="O48" s="112" t="s">
        <v>489</v>
      </c>
      <c r="P48" s="112">
        <v>506719314</v>
      </c>
      <c r="Q48" s="114" t="s">
        <v>490</v>
      </c>
      <c r="R48" s="161" t="s">
        <v>491</v>
      </c>
      <c r="S48" s="102"/>
      <c r="T48" s="160">
        <v>94</v>
      </c>
      <c r="U48" s="103"/>
      <c r="V48" s="7"/>
      <c r="W48" s="7"/>
      <c r="X48" s="7"/>
      <c r="Y48" s="7"/>
      <c r="Z48" s="7"/>
    </row>
    <row r="49" spans="1:26" ht="11.25" customHeight="1">
      <c r="A49" s="8">
        <v>48</v>
      </c>
      <c r="B49" s="104" t="s">
        <v>492</v>
      </c>
      <c r="C49" s="104" t="s">
        <v>493</v>
      </c>
      <c r="D49" s="159"/>
      <c r="E49" s="159"/>
      <c r="F49" s="159"/>
      <c r="G49" s="18">
        <v>50</v>
      </c>
      <c r="H49" s="18">
        <v>50</v>
      </c>
      <c r="I49" s="10">
        <v>50</v>
      </c>
      <c r="J49" s="99">
        <v>41598</v>
      </c>
      <c r="K49" s="99">
        <v>41599</v>
      </c>
      <c r="L49" s="99">
        <v>42132</v>
      </c>
      <c r="M49" s="9" t="s">
        <v>170</v>
      </c>
      <c r="N49" s="112" t="s">
        <v>494</v>
      </c>
      <c r="O49" s="112" t="s">
        <v>495</v>
      </c>
      <c r="P49" s="112">
        <v>692434393</v>
      </c>
      <c r="Q49" s="105"/>
      <c r="R49" s="104" t="s">
        <v>496</v>
      </c>
      <c r="S49" s="102"/>
      <c r="T49" s="162">
        <v>95</v>
      </c>
      <c r="U49" s="103"/>
      <c r="V49" s="7"/>
      <c r="W49" s="7"/>
      <c r="X49" s="7"/>
      <c r="Y49" s="7"/>
      <c r="Z49" s="7"/>
    </row>
    <row r="50" spans="1:26" ht="11.25" customHeight="1">
      <c r="A50" s="8">
        <v>49</v>
      </c>
      <c r="B50" s="104" t="s">
        <v>388</v>
      </c>
      <c r="C50" s="104" t="s">
        <v>497</v>
      </c>
      <c r="D50" s="159"/>
      <c r="E50" s="159"/>
      <c r="F50" s="159"/>
      <c r="G50" s="159"/>
      <c r="H50" s="18">
        <v>50</v>
      </c>
      <c r="I50" s="10" t="s">
        <v>586</v>
      </c>
      <c r="J50" s="106">
        <v>41617</v>
      </c>
      <c r="K50" s="99">
        <v>41617</v>
      </c>
      <c r="L50" s="99"/>
      <c r="M50" s="9" t="s">
        <v>170</v>
      </c>
      <c r="N50" s="18" t="s">
        <v>498</v>
      </c>
      <c r="O50" s="18" t="s">
        <v>499</v>
      </c>
      <c r="P50" s="18">
        <v>503994503</v>
      </c>
      <c r="Q50" s="105"/>
      <c r="R50" s="104" t="s">
        <v>500</v>
      </c>
      <c r="S50" s="102"/>
      <c r="T50" s="162">
        <v>96</v>
      </c>
      <c r="U50" s="103"/>
      <c r="V50" s="7"/>
      <c r="W50" s="7"/>
      <c r="X50" s="7"/>
      <c r="Y50" s="7"/>
      <c r="Z50" s="7"/>
    </row>
    <row r="51" spans="1:26" ht="11.25" customHeight="1">
      <c r="A51" s="8">
        <v>50</v>
      </c>
      <c r="B51" s="104" t="s">
        <v>501</v>
      </c>
      <c r="C51" s="104" t="s">
        <v>502</v>
      </c>
      <c r="D51" s="159"/>
      <c r="E51" s="159"/>
      <c r="F51" s="159"/>
      <c r="G51" s="159"/>
      <c r="H51" s="18">
        <v>50</v>
      </c>
      <c r="I51" s="10" t="s">
        <v>586</v>
      </c>
      <c r="J51" s="99">
        <v>41675</v>
      </c>
      <c r="K51" s="99">
        <v>41677</v>
      </c>
      <c r="L51" s="99"/>
      <c r="M51" s="9" t="s">
        <v>170</v>
      </c>
      <c r="N51" s="18" t="s">
        <v>503</v>
      </c>
      <c r="O51" s="18" t="s">
        <v>504</v>
      </c>
      <c r="P51" s="18">
        <v>603282006</v>
      </c>
      <c r="Q51" s="105"/>
      <c r="R51" s="104" t="s">
        <v>505</v>
      </c>
      <c r="S51" s="102"/>
      <c r="T51" s="162">
        <v>97</v>
      </c>
      <c r="U51" s="103"/>
      <c r="V51" s="7"/>
      <c r="W51" s="7"/>
      <c r="X51" s="7"/>
      <c r="Y51" s="7"/>
      <c r="Z51" s="7"/>
    </row>
    <row r="52" spans="1:26" ht="11.25" customHeight="1">
      <c r="A52" s="8">
        <v>51</v>
      </c>
      <c r="B52" s="104" t="s">
        <v>506</v>
      </c>
      <c r="C52" s="104" t="s">
        <v>507</v>
      </c>
      <c r="D52" s="159"/>
      <c r="E52" s="159"/>
      <c r="F52" s="159"/>
      <c r="G52" s="159"/>
      <c r="H52" s="18">
        <v>50</v>
      </c>
      <c r="I52" s="10" t="s">
        <v>586</v>
      </c>
      <c r="J52" s="99">
        <v>41702</v>
      </c>
      <c r="K52" s="99">
        <v>41704</v>
      </c>
      <c r="L52" s="99"/>
      <c r="M52" s="9" t="s">
        <v>170</v>
      </c>
      <c r="N52" s="18" t="s">
        <v>508</v>
      </c>
      <c r="O52" s="18" t="s">
        <v>509</v>
      </c>
      <c r="P52" s="18">
        <v>664746696</v>
      </c>
      <c r="Q52" s="104"/>
      <c r="R52" s="104" t="s">
        <v>510</v>
      </c>
      <c r="S52" s="104"/>
      <c r="T52" s="162">
        <v>98</v>
      </c>
      <c r="U52" s="103"/>
      <c r="V52" s="7"/>
      <c r="W52" s="7"/>
      <c r="X52" s="7"/>
      <c r="Y52" s="7"/>
      <c r="Z52" s="7"/>
    </row>
    <row r="53" spans="1:26" ht="11.25" customHeight="1">
      <c r="A53" s="8">
        <v>52</v>
      </c>
      <c r="B53" s="104" t="s">
        <v>511</v>
      </c>
      <c r="C53" s="104" t="s">
        <v>512</v>
      </c>
      <c r="D53" s="159"/>
      <c r="E53" s="159"/>
      <c r="F53" s="159"/>
      <c r="G53" s="159"/>
      <c r="H53" s="18">
        <v>50</v>
      </c>
      <c r="I53" s="10">
        <v>50</v>
      </c>
      <c r="J53" s="99">
        <v>41694</v>
      </c>
      <c r="K53" s="99">
        <v>41695</v>
      </c>
      <c r="L53" s="99">
        <v>42132</v>
      </c>
      <c r="M53" s="9" t="s">
        <v>170</v>
      </c>
      <c r="N53" s="18" t="s">
        <v>513</v>
      </c>
      <c r="O53" s="18" t="s">
        <v>404</v>
      </c>
      <c r="P53" s="18">
        <v>729167760</v>
      </c>
      <c r="Q53" s="104"/>
      <c r="R53" s="104" t="s">
        <v>514</v>
      </c>
      <c r="S53" s="104"/>
      <c r="T53" s="162">
        <v>99</v>
      </c>
      <c r="U53" s="103"/>
      <c r="V53" s="7"/>
      <c r="W53" s="7"/>
      <c r="X53" s="7"/>
      <c r="Y53" s="7"/>
      <c r="Z53" s="7"/>
    </row>
    <row r="54" spans="1:26" ht="11.25" customHeight="1">
      <c r="A54" s="8">
        <v>53</v>
      </c>
      <c r="B54" s="104" t="s">
        <v>515</v>
      </c>
      <c r="C54" s="104" t="s">
        <v>516</v>
      </c>
      <c r="D54" s="159"/>
      <c r="E54" s="159"/>
      <c r="F54" s="159"/>
      <c r="G54" s="159"/>
      <c r="H54" s="18">
        <v>50</v>
      </c>
      <c r="I54" s="10" t="s">
        <v>586</v>
      </c>
      <c r="J54" s="99">
        <v>41704</v>
      </c>
      <c r="K54" s="99">
        <v>41708</v>
      </c>
      <c r="L54" s="99"/>
      <c r="M54" s="9" t="s">
        <v>170</v>
      </c>
      <c r="N54" s="18" t="s">
        <v>517</v>
      </c>
      <c r="O54" s="18" t="s">
        <v>518</v>
      </c>
      <c r="P54" s="18">
        <v>723524431</v>
      </c>
      <c r="Q54" s="104"/>
      <c r="R54" s="104" t="s">
        <v>519</v>
      </c>
      <c r="S54" s="104"/>
      <c r="T54" s="162">
        <v>100</v>
      </c>
      <c r="U54" s="103"/>
      <c r="V54" s="7"/>
      <c r="W54" s="7"/>
      <c r="X54" s="7"/>
      <c r="Y54" s="7"/>
      <c r="Z54" s="7"/>
    </row>
    <row r="55" spans="1:26" ht="11.25" customHeight="1">
      <c r="A55" s="8">
        <v>54</v>
      </c>
      <c r="B55" s="104" t="s">
        <v>55</v>
      </c>
      <c r="C55" s="104" t="s">
        <v>520</v>
      </c>
      <c r="D55" s="159"/>
      <c r="E55" s="159"/>
      <c r="F55" s="159"/>
      <c r="G55" s="159"/>
      <c r="H55" s="18">
        <v>50</v>
      </c>
      <c r="I55" s="10" t="s">
        <v>586</v>
      </c>
      <c r="J55" s="99">
        <v>41704</v>
      </c>
      <c r="K55" s="99">
        <v>41708</v>
      </c>
      <c r="L55" s="99"/>
      <c r="M55" s="9" t="s">
        <v>170</v>
      </c>
      <c r="N55" s="18" t="s">
        <v>521</v>
      </c>
      <c r="O55" s="18" t="s">
        <v>522</v>
      </c>
      <c r="P55" s="18">
        <v>782131652</v>
      </c>
      <c r="Q55" s="104"/>
      <c r="R55" s="104" t="s">
        <v>523</v>
      </c>
      <c r="S55" s="104"/>
      <c r="T55" s="162">
        <v>101</v>
      </c>
      <c r="U55" s="103"/>
      <c r="V55" s="7"/>
      <c r="W55" s="7"/>
      <c r="X55" s="7"/>
      <c r="Y55" s="7"/>
      <c r="Z55" s="7"/>
    </row>
    <row r="56" spans="1:26" ht="11.25" customHeight="1">
      <c r="A56" s="8">
        <v>55</v>
      </c>
      <c r="B56" s="97" t="s">
        <v>188</v>
      </c>
      <c r="C56" s="97" t="s">
        <v>14</v>
      </c>
      <c r="D56" s="163"/>
      <c r="E56" s="163"/>
      <c r="F56" s="163"/>
      <c r="G56" s="91">
        <v>50</v>
      </c>
      <c r="H56" s="91">
        <v>50</v>
      </c>
      <c r="I56" s="18">
        <v>50</v>
      </c>
      <c r="J56" s="92">
        <v>41517</v>
      </c>
      <c r="K56" s="92">
        <v>41738</v>
      </c>
      <c r="L56" s="11">
        <v>42073</v>
      </c>
      <c r="M56" s="9" t="s">
        <v>575</v>
      </c>
      <c r="N56" s="164" t="s">
        <v>16</v>
      </c>
      <c r="O56" s="165" t="s">
        <v>17</v>
      </c>
      <c r="P56" s="91">
        <v>514575915</v>
      </c>
      <c r="Q56" s="97"/>
      <c r="R56" s="87" t="s">
        <v>600</v>
      </c>
      <c r="S56" s="97"/>
      <c r="T56" s="97">
        <v>102</v>
      </c>
      <c r="U56" s="166" t="s">
        <v>200</v>
      </c>
      <c r="V56" s="7"/>
      <c r="W56" s="7"/>
      <c r="X56" s="7"/>
      <c r="Y56" s="7"/>
      <c r="Z56" s="7"/>
    </row>
    <row r="57" spans="1:26" ht="11.25" customHeight="1">
      <c r="A57" s="8">
        <v>56</v>
      </c>
      <c r="B57" s="104" t="s">
        <v>524</v>
      </c>
      <c r="C57" s="104" t="s">
        <v>525</v>
      </c>
      <c r="D57" s="163"/>
      <c r="E57" s="163"/>
      <c r="F57" s="163"/>
      <c r="G57" s="163"/>
      <c r="H57" s="18">
        <v>50</v>
      </c>
      <c r="I57" s="10">
        <v>50</v>
      </c>
      <c r="J57" s="99">
        <v>41769</v>
      </c>
      <c r="K57" s="99">
        <v>41422</v>
      </c>
      <c r="L57" s="99">
        <v>42132</v>
      </c>
      <c r="M57" s="9" t="s">
        <v>170</v>
      </c>
      <c r="N57" s="18" t="s">
        <v>601</v>
      </c>
      <c r="O57" s="18" t="s">
        <v>602</v>
      </c>
      <c r="P57" s="18">
        <v>514238814</v>
      </c>
      <c r="Q57" s="18" t="s">
        <v>528</v>
      </c>
      <c r="R57" s="104" t="s">
        <v>529</v>
      </c>
      <c r="S57" s="104"/>
      <c r="T57" s="104">
        <v>103</v>
      </c>
      <c r="U57" s="103"/>
      <c r="V57" s="7"/>
      <c r="W57" s="7"/>
      <c r="X57" s="7"/>
      <c r="Y57" s="7"/>
      <c r="Z57" s="7"/>
    </row>
    <row r="58" spans="1:26" ht="11.25" customHeight="1">
      <c r="A58" s="8">
        <v>57</v>
      </c>
      <c r="B58" s="104" t="s">
        <v>127</v>
      </c>
      <c r="C58" s="104" t="s">
        <v>530</v>
      </c>
      <c r="D58" s="159"/>
      <c r="E58" s="159"/>
      <c r="F58" s="159"/>
      <c r="G58" s="159"/>
      <c r="H58" s="18">
        <v>50</v>
      </c>
      <c r="I58" s="10" t="s">
        <v>586</v>
      </c>
      <c r="J58" s="99">
        <v>41813</v>
      </c>
      <c r="K58" s="99">
        <v>41449</v>
      </c>
      <c r="L58" s="99"/>
      <c r="M58" s="9" t="s">
        <v>170</v>
      </c>
      <c r="N58" s="104" t="s">
        <v>603</v>
      </c>
      <c r="O58" s="18" t="s">
        <v>532</v>
      </c>
      <c r="P58" s="18">
        <v>505644038</v>
      </c>
      <c r="Q58" s="104"/>
      <c r="R58" s="104" t="s">
        <v>533</v>
      </c>
      <c r="S58" s="104"/>
      <c r="T58" s="104">
        <v>104</v>
      </c>
      <c r="U58" s="103"/>
      <c r="V58" s="7"/>
      <c r="W58" s="7"/>
      <c r="X58" s="7"/>
      <c r="Y58" s="7"/>
      <c r="Z58" s="7"/>
    </row>
    <row r="59" spans="1:26" ht="11.25" customHeight="1">
      <c r="A59" s="8">
        <v>58</v>
      </c>
      <c r="B59" s="104" t="s">
        <v>413</v>
      </c>
      <c r="C59" s="104" t="s">
        <v>48</v>
      </c>
      <c r="D59" s="159"/>
      <c r="E59" s="159"/>
      <c r="F59" s="159"/>
      <c r="G59" s="159"/>
      <c r="H59" s="18">
        <v>50</v>
      </c>
      <c r="I59" s="18">
        <v>50</v>
      </c>
      <c r="J59" s="99">
        <v>41829</v>
      </c>
      <c r="K59" s="99">
        <v>41830</v>
      </c>
      <c r="L59" s="99">
        <v>42093</v>
      </c>
      <c r="M59" s="9" t="s">
        <v>170</v>
      </c>
      <c r="N59" s="18" t="s">
        <v>534</v>
      </c>
      <c r="O59" s="18" t="s">
        <v>535</v>
      </c>
      <c r="P59" s="18">
        <v>601610131</v>
      </c>
      <c r="Q59" s="104"/>
      <c r="R59" s="104" t="s">
        <v>536</v>
      </c>
      <c r="S59" s="104"/>
      <c r="T59" s="104">
        <v>105</v>
      </c>
      <c r="U59" s="103"/>
      <c r="V59" s="7"/>
      <c r="W59" s="7"/>
      <c r="X59" s="7"/>
      <c r="Y59" s="7"/>
      <c r="Z59" s="7"/>
    </row>
    <row r="60" spans="1:26" ht="11.25" customHeight="1">
      <c r="A60" s="8">
        <v>59</v>
      </c>
      <c r="B60" s="104" t="s">
        <v>537</v>
      </c>
      <c r="C60" s="104" t="s">
        <v>538</v>
      </c>
      <c r="D60" s="159"/>
      <c r="E60" s="159"/>
      <c r="F60" s="159"/>
      <c r="G60" s="159"/>
      <c r="H60" s="18">
        <v>50</v>
      </c>
      <c r="I60" s="10" t="s">
        <v>586</v>
      </c>
      <c r="J60" s="99">
        <v>41832</v>
      </c>
      <c r="K60" s="99">
        <v>41851</v>
      </c>
      <c r="L60" s="99"/>
      <c r="M60" s="9" t="s">
        <v>170</v>
      </c>
      <c r="N60" s="18" t="s">
        <v>539</v>
      </c>
      <c r="O60" s="18" t="s">
        <v>540</v>
      </c>
      <c r="P60" s="18">
        <v>607322415</v>
      </c>
      <c r="Q60" s="18" t="s">
        <v>541</v>
      </c>
      <c r="R60" s="104" t="s">
        <v>542</v>
      </c>
      <c r="S60" s="104"/>
      <c r="T60" s="104">
        <v>106</v>
      </c>
      <c r="U60" s="103"/>
      <c r="V60" s="7"/>
      <c r="W60" s="7"/>
      <c r="X60" s="7"/>
      <c r="Y60" s="7"/>
      <c r="Z60" s="7"/>
    </row>
    <row r="61" spans="1:26" ht="11.25" customHeight="1">
      <c r="A61" s="8">
        <v>60</v>
      </c>
      <c r="B61" s="9" t="s">
        <v>182</v>
      </c>
      <c r="C61" s="9" t="s">
        <v>183</v>
      </c>
      <c r="D61" s="104">
        <v>30</v>
      </c>
      <c r="E61" s="159"/>
      <c r="F61" s="159"/>
      <c r="G61" s="159"/>
      <c r="H61" s="18">
        <v>50</v>
      </c>
      <c r="I61" s="10" t="s">
        <v>586</v>
      </c>
      <c r="J61" s="99">
        <v>40460</v>
      </c>
      <c r="K61" s="99">
        <v>41859</v>
      </c>
      <c r="L61" s="99"/>
      <c r="M61" s="9" t="s">
        <v>170</v>
      </c>
      <c r="N61" s="12" t="s">
        <v>184</v>
      </c>
      <c r="O61" s="12" t="s">
        <v>185</v>
      </c>
      <c r="P61" s="10" t="s">
        <v>186</v>
      </c>
      <c r="Q61" s="10" t="s">
        <v>32</v>
      </c>
      <c r="R61" s="141" t="s">
        <v>604</v>
      </c>
      <c r="S61" s="104"/>
      <c r="T61" s="134">
        <v>35</v>
      </c>
      <c r="U61" s="103"/>
      <c r="V61" s="7"/>
      <c r="W61" s="7"/>
      <c r="X61" s="7"/>
      <c r="Y61" s="7"/>
      <c r="Z61" s="7"/>
    </row>
    <row r="62" spans="1:26" ht="11.25" customHeight="1">
      <c r="A62" s="8">
        <v>61</v>
      </c>
      <c r="B62" s="104" t="s">
        <v>543</v>
      </c>
      <c r="C62" s="104" t="s">
        <v>544</v>
      </c>
      <c r="D62" s="159"/>
      <c r="E62" s="159"/>
      <c r="F62" s="159"/>
      <c r="G62" s="159"/>
      <c r="H62" s="18">
        <v>50</v>
      </c>
      <c r="I62" s="40">
        <v>50</v>
      </c>
      <c r="J62" s="99">
        <v>41871</v>
      </c>
      <c r="K62" s="99">
        <v>41871</v>
      </c>
      <c r="L62" s="99">
        <v>42233</v>
      </c>
      <c r="M62" s="9" t="s">
        <v>170</v>
      </c>
      <c r="N62" s="39" t="s">
        <v>605</v>
      </c>
      <c r="O62" s="39" t="s">
        <v>606</v>
      </c>
      <c r="P62" s="18">
        <v>604254331</v>
      </c>
      <c r="Q62" s="39" t="s">
        <v>607</v>
      </c>
      <c r="R62" s="104" t="s">
        <v>547</v>
      </c>
      <c r="S62" s="104"/>
      <c r="T62" s="104">
        <v>107</v>
      </c>
      <c r="U62" s="103"/>
      <c r="V62" s="7"/>
      <c r="W62" s="7"/>
      <c r="X62" s="7"/>
      <c r="Y62" s="7"/>
      <c r="Z62" s="7"/>
    </row>
    <row r="63" spans="1:26" ht="11.25" customHeight="1">
      <c r="A63" s="8">
        <v>62</v>
      </c>
      <c r="B63" s="104" t="s">
        <v>194</v>
      </c>
      <c r="C63" s="104" t="s">
        <v>548</v>
      </c>
      <c r="D63" s="159"/>
      <c r="E63" s="159"/>
      <c r="F63" s="159"/>
      <c r="G63" s="159"/>
      <c r="H63" s="18">
        <v>50</v>
      </c>
      <c r="I63" s="18">
        <v>50</v>
      </c>
      <c r="J63" s="99">
        <v>41896</v>
      </c>
      <c r="K63" s="99">
        <v>41899</v>
      </c>
      <c r="L63" s="99">
        <v>42058</v>
      </c>
      <c r="M63" s="9" t="s">
        <v>170</v>
      </c>
      <c r="N63" s="18" t="s">
        <v>549</v>
      </c>
      <c r="O63" s="18" t="s">
        <v>550</v>
      </c>
      <c r="P63" s="108">
        <v>604235534</v>
      </c>
      <c r="Q63" s="104"/>
      <c r="R63" s="104" t="s">
        <v>551</v>
      </c>
      <c r="S63" s="104"/>
      <c r="T63" s="104">
        <v>108</v>
      </c>
      <c r="U63" s="103"/>
      <c r="V63" s="7"/>
      <c r="W63" s="7"/>
      <c r="X63" s="7"/>
      <c r="Y63" s="7"/>
      <c r="Z63" s="7"/>
    </row>
    <row r="64" spans="1:26" ht="11.25" customHeight="1">
      <c r="A64" s="8">
        <v>63</v>
      </c>
      <c r="B64" s="104" t="s">
        <v>388</v>
      </c>
      <c r="C64" s="104" t="s">
        <v>552</v>
      </c>
      <c r="D64" s="159"/>
      <c r="E64" s="159"/>
      <c r="F64" s="159"/>
      <c r="G64" s="159"/>
      <c r="H64" s="18">
        <v>50</v>
      </c>
      <c r="I64" s="18">
        <v>50</v>
      </c>
      <c r="J64" s="99">
        <v>41922</v>
      </c>
      <c r="K64" s="99">
        <v>41918</v>
      </c>
      <c r="L64" s="99">
        <v>42254</v>
      </c>
      <c r="M64" s="18" t="s">
        <v>378</v>
      </c>
      <c r="N64" s="167" t="s">
        <v>553</v>
      </c>
      <c r="O64" s="108" t="s">
        <v>554</v>
      </c>
      <c r="P64" s="18">
        <v>698418581</v>
      </c>
      <c r="Q64" s="104"/>
      <c r="R64" s="7" t="s">
        <v>555</v>
      </c>
      <c r="S64" s="104"/>
      <c r="T64" s="104">
        <v>109</v>
      </c>
      <c r="U64" s="103"/>
      <c r="V64" s="7"/>
      <c r="W64" s="7"/>
      <c r="X64" s="7"/>
      <c r="Y64" s="7"/>
      <c r="Z64" s="7"/>
    </row>
    <row r="65" spans="1:26" ht="11.25" customHeight="1">
      <c r="A65" s="8">
        <v>64</v>
      </c>
      <c r="B65" s="104" t="s">
        <v>556</v>
      </c>
      <c r="C65" s="104" t="s">
        <v>557</v>
      </c>
      <c r="D65" s="159"/>
      <c r="E65" s="159"/>
      <c r="F65" s="159"/>
      <c r="G65" s="159"/>
      <c r="H65" s="18">
        <v>50</v>
      </c>
      <c r="I65" s="18"/>
      <c r="J65" s="99">
        <v>41948</v>
      </c>
      <c r="K65" s="99">
        <v>41950</v>
      </c>
      <c r="L65" s="99"/>
      <c r="M65" s="9" t="s">
        <v>170</v>
      </c>
      <c r="N65" s="168" t="s">
        <v>608</v>
      </c>
      <c r="O65" s="168" t="s">
        <v>608</v>
      </c>
      <c r="P65" s="168" t="s">
        <v>608</v>
      </c>
      <c r="Q65" s="168" t="s">
        <v>608</v>
      </c>
      <c r="R65" s="104" t="s">
        <v>558</v>
      </c>
      <c r="S65" s="104"/>
      <c r="T65" s="104">
        <v>110</v>
      </c>
      <c r="U65" s="103"/>
      <c r="V65" s="7"/>
      <c r="W65" s="7"/>
      <c r="X65" s="7"/>
      <c r="Y65" s="7"/>
      <c r="Z65" s="7"/>
    </row>
    <row r="66" spans="1:26" ht="11.25" customHeight="1">
      <c r="A66" s="8">
        <v>65</v>
      </c>
      <c r="B66" s="104" t="s">
        <v>559</v>
      </c>
      <c r="C66" s="104" t="s">
        <v>560</v>
      </c>
      <c r="D66" s="159"/>
      <c r="E66" s="159"/>
      <c r="F66" s="159"/>
      <c r="G66" s="159"/>
      <c r="H66" s="18">
        <v>50</v>
      </c>
      <c r="I66" s="18">
        <v>50</v>
      </c>
      <c r="J66" s="106">
        <v>41983</v>
      </c>
      <c r="K66" s="106">
        <v>41984</v>
      </c>
      <c r="L66" s="106">
        <v>41984</v>
      </c>
      <c r="M66" s="18" t="s">
        <v>378</v>
      </c>
      <c r="N66" s="18" t="s">
        <v>561</v>
      </c>
      <c r="O66" s="18" t="s">
        <v>562</v>
      </c>
      <c r="P66" s="18">
        <v>663946803</v>
      </c>
      <c r="Q66" s="104"/>
      <c r="R66" s="104" t="s">
        <v>563</v>
      </c>
      <c r="S66" s="104"/>
      <c r="T66" s="104">
        <v>111</v>
      </c>
      <c r="U66" s="103"/>
      <c r="V66" s="7"/>
      <c r="W66" s="7"/>
      <c r="X66" s="7"/>
      <c r="Y66" s="7"/>
      <c r="Z66" s="7"/>
    </row>
    <row r="67" spans="1:26" ht="11.25" customHeight="1">
      <c r="A67" s="8">
        <v>66</v>
      </c>
      <c r="B67" s="104" t="s">
        <v>429</v>
      </c>
      <c r="C67" s="104" t="s">
        <v>564</v>
      </c>
      <c r="D67" s="159"/>
      <c r="E67" s="159"/>
      <c r="F67" s="159"/>
      <c r="G67" s="159"/>
      <c r="H67" s="18">
        <v>50</v>
      </c>
      <c r="I67" s="18">
        <v>50</v>
      </c>
      <c r="J67" s="106">
        <v>41984</v>
      </c>
      <c r="K67" s="106">
        <v>41984</v>
      </c>
      <c r="L67" s="106">
        <v>41984</v>
      </c>
      <c r="M67" s="9" t="s">
        <v>170</v>
      </c>
      <c r="N67" s="18" t="s">
        <v>565</v>
      </c>
      <c r="O67" s="18" t="s">
        <v>566</v>
      </c>
      <c r="P67" s="104"/>
      <c r="Q67" s="104"/>
      <c r="R67" s="104" t="s">
        <v>567</v>
      </c>
      <c r="S67" s="104"/>
      <c r="T67" s="104">
        <v>112</v>
      </c>
      <c r="U67" s="103"/>
      <c r="V67" s="7"/>
      <c r="W67" s="7"/>
      <c r="X67" s="7"/>
      <c r="Y67" s="7"/>
      <c r="Z67" s="7"/>
    </row>
    <row r="68" spans="1:26" ht="11.25" customHeight="1">
      <c r="A68" s="8">
        <v>67</v>
      </c>
      <c r="B68" s="104" t="s">
        <v>568</v>
      </c>
      <c r="C68" s="104" t="s">
        <v>569</v>
      </c>
      <c r="D68" s="159"/>
      <c r="E68" s="159"/>
      <c r="F68" s="159"/>
      <c r="G68" s="159"/>
      <c r="H68" s="18">
        <v>50</v>
      </c>
      <c r="I68" s="18">
        <v>50</v>
      </c>
      <c r="J68" s="99">
        <v>41982</v>
      </c>
      <c r="K68" s="99">
        <v>41997</v>
      </c>
      <c r="L68" s="99">
        <v>41997</v>
      </c>
      <c r="M68" s="18" t="s">
        <v>378</v>
      </c>
      <c r="N68" s="18" t="s">
        <v>570</v>
      </c>
      <c r="O68" s="18" t="s">
        <v>571</v>
      </c>
      <c r="P68" s="18">
        <v>783419327</v>
      </c>
      <c r="Q68" s="104"/>
      <c r="R68" s="7" t="s">
        <v>572</v>
      </c>
      <c r="S68" s="104"/>
      <c r="T68" s="104">
        <v>113</v>
      </c>
      <c r="U68" s="103"/>
      <c r="V68" s="7"/>
      <c r="W68" s="7"/>
      <c r="X68" s="7"/>
      <c r="Y68" s="7"/>
      <c r="Z68" s="7"/>
    </row>
    <row r="69" spans="1:26" ht="11.25" customHeight="1">
      <c r="A69" s="8">
        <v>68</v>
      </c>
      <c r="B69" s="104" t="s">
        <v>42</v>
      </c>
      <c r="C69" s="104" t="s">
        <v>609</v>
      </c>
      <c r="D69" s="159"/>
      <c r="E69" s="159"/>
      <c r="F69" s="159"/>
      <c r="G69" s="159"/>
      <c r="H69" s="159"/>
      <c r="I69" s="18">
        <v>50</v>
      </c>
      <c r="J69" s="99">
        <v>42007</v>
      </c>
      <c r="K69" s="99">
        <v>42009</v>
      </c>
      <c r="L69" s="99">
        <v>42009</v>
      </c>
      <c r="M69" s="9" t="s">
        <v>170</v>
      </c>
      <c r="N69" s="167" t="s">
        <v>610</v>
      </c>
      <c r="O69" s="18" t="s">
        <v>611</v>
      </c>
      <c r="P69" s="108">
        <v>787775417</v>
      </c>
      <c r="Q69" s="104"/>
      <c r="R69" s="104" t="s">
        <v>612</v>
      </c>
      <c r="S69" s="104"/>
      <c r="T69" s="104">
        <v>114</v>
      </c>
      <c r="U69" s="103"/>
      <c r="V69" s="7"/>
      <c r="W69" s="7"/>
      <c r="X69" s="7"/>
      <c r="Y69" s="7"/>
      <c r="Z69" s="7"/>
    </row>
    <row r="70" spans="1:26" ht="11.25" customHeight="1">
      <c r="A70" s="8">
        <v>69</v>
      </c>
      <c r="B70" s="104" t="s">
        <v>481</v>
      </c>
      <c r="C70" s="104" t="s">
        <v>613</v>
      </c>
      <c r="D70" s="159"/>
      <c r="E70" s="159"/>
      <c r="F70" s="159"/>
      <c r="G70" s="159"/>
      <c r="H70" s="159"/>
      <c r="I70" s="18">
        <v>50</v>
      </c>
      <c r="J70" s="99">
        <v>42024</v>
      </c>
      <c r="K70" s="99">
        <v>42024</v>
      </c>
      <c r="L70" s="99">
        <v>42024</v>
      </c>
      <c r="M70" s="9" t="s">
        <v>170</v>
      </c>
      <c r="N70" s="167" t="s">
        <v>614</v>
      </c>
      <c r="O70" s="18" t="s">
        <v>615</v>
      </c>
      <c r="P70" s="18">
        <v>698088272</v>
      </c>
      <c r="Q70" s="104" t="s">
        <v>616</v>
      </c>
      <c r="R70" s="104" t="s">
        <v>617</v>
      </c>
      <c r="S70" s="104"/>
      <c r="T70" s="104">
        <v>115</v>
      </c>
      <c r="U70" s="103"/>
      <c r="V70" s="7"/>
      <c r="W70" s="7"/>
      <c r="X70" s="7"/>
      <c r="Y70" s="7"/>
      <c r="Z70" s="7"/>
    </row>
    <row r="71" spans="1:26" ht="11.25" customHeight="1">
      <c r="A71" s="8">
        <v>70</v>
      </c>
      <c r="B71" s="104" t="s">
        <v>618</v>
      </c>
      <c r="C71" s="104" t="s">
        <v>619</v>
      </c>
      <c r="D71" s="159"/>
      <c r="E71" s="159"/>
      <c r="F71" s="159"/>
      <c r="G71" s="159"/>
      <c r="H71" s="159"/>
      <c r="I71" s="18">
        <v>50</v>
      </c>
      <c r="J71" s="99">
        <v>42058</v>
      </c>
      <c r="K71" s="99">
        <v>42059</v>
      </c>
      <c r="L71" s="99">
        <v>42059</v>
      </c>
      <c r="M71" s="9" t="s">
        <v>170</v>
      </c>
      <c r="N71" s="18" t="s">
        <v>620</v>
      </c>
      <c r="O71" s="18" t="s">
        <v>621</v>
      </c>
      <c r="P71" s="18">
        <v>668525192</v>
      </c>
      <c r="Q71" s="104"/>
      <c r="R71" s="20" t="s">
        <v>622</v>
      </c>
      <c r="S71" s="104"/>
      <c r="T71" s="104">
        <v>116</v>
      </c>
      <c r="U71" s="103"/>
      <c r="V71" s="7"/>
      <c r="W71" s="7"/>
      <c r="X71" s="7"/>
      <c r="Y71" s="7"/>
      <c r="Z71" s="7"/>
    </row>
    <row r="72" spans="1:26" ht="11.25" customHeight="1">
      <c r="A72" s="8">
        <v>71</v>
      </c>
      <c r="B72" s="104" t="s">
        <v>134</v>
      </c>
      <c r="C72" s="104" t="s">
        <v>623</v>
      </c>
      <c r="D72" s="159"/>
      <c r="E72" s="159"/>
      <c r="F72" s="159"/>
      <c r="G72" s="159"/>
      <c r="H72" s="159"/>
      <c r="I72" s="18">
        <v>50</v>
      </c>
      <c r="J72" s="99">
        <v>42065</v>
      </c>
      <c r="K72" s="99">
        <v>42065</v>
      </c>
      <c r="L72" s="99">
        <v>42065</v>
      </c>
      <c r="M72" s="9" t="s">
        <v>170</v>
      </c>
      <c r="N72" s="18" t="s">
        <v>624</v>
      </c>
      <c r="O72" s="18" t="s">
        <v>625</v>
      </c>
      <c r="P72" s="18">
        <v>606228966</v>
      </c>
      <c r="Q72" s="104"/>
      <c r="R72" s="20" t="s">
        <v>626</v>
      </c>
      <c r="S72" s="104"/>
      <c r="T72" s="104">
        <v>117</v>
      </c>
      <c r="U72" s="103"/>
      <c r="V72" s="7"/>
      <c r="W72" s="7"/>
      <c r="X72" s="7"/>
      <c r="Y72" s="7"/>
      <c r="Z72" s="7"/>
    </row>
    <row r="73" spans="1:26" ht="11.25" customHeight="1">
      <c r="A73" s="8">
        <v>72</v>
      </c>
      <c r="B73" s="104" t="s">
        <v>401</v>
      </c>
      <c r="C73" s="104" t="s">
        <v>627</v>
      </c>
      <c r="D73" s="159"/>
      <c r="E73" s="159"/>
      <c r="F73" s="159"/>
      <c r="G73" s="159"/>
      <c r="H73" s="159"/>
      <c r="I73" s="20" t="s">
        <v>586</v>
      </c>
      <c r="J73" s="99">
        <v>42094</v>
      </c>
      <c r="K73" s="20"/>
      <c r="L73" s="20"/>
      <c r="M73" s="9"/>
      <c r="N73" s="167" t="s">
        <v>628</v>
      </c>
      <c r="O73" s="18" t="s">
        <v>629</v>
      </c>
      <c r="P73" s="108"/>
      <c r="Q73" s="20"/>
      <c r="R73" s="20" t="s">
        <v>630</v>
      </c>
      <c r="S73" s="20">
        <v>126474392</v>
      </c>
      <c r="T73" s="20"/>
      <c r="U73" s="20"/>
    </row>
    <row r="74" spans="1:26" ht="12" customHeight="1">
      <c r="A74" s="8">
        <v>73</v>
      </c>
      <c r="B74" s="104" t="s">
        <v>631</v>
      </c>
      <c r="C74" s="104" t="s">
        <v>632</v>
      </c>
      <c r="D74" s="159"/>
      <c r="E74" s="159"/>
      <c r="F74" s="159"/>
      <c r="G74" s="159"/>
      <c r="H74" s="159"/>
      <c r="I74" s="20" t="s">
        <v>586</v>
      </c>
      <c r="J74" s="99">
        <v>42108</v>
      </c>
      <c r="K74" s="20"/>
      <c r="L74" s="20"/>
      <c r="M74" s="20"/>
      <c r="N74" s="167" t="s">
        <v>633</v>
      </c>
      <c r="O74" s="18" t="s">
        <v>634</v>
      </c>
      <c r="P74" s="18">
        <v>509798549</v>
      </c>
      <c r="Q74" s="20" t="s">
        <v>635</v>
      </c>
      <c r="R74" s="20" t="s">
        <v>636</v>
      </c>
      <c r="S74" s="20"/>
      <c r="T74" s="20"/>
      <c r="U74" s="20"/>
    </row>
    <row r="75" spans="1:26" ht="12.75" customHeight="1">
      <c r="A75" s="8">
        <v>74</v>
      </c>
      <c r="B75" s="104" t="s">
        <v>637</v>
      </c>
      <c r="C75" s="104" t="s">
        <v>638</v>
      </c>
      <c r="D75" s="159"/>
      <c r="E75" s="159"/>
      <c r="F75" s="159"/>
      <c r="G75" s="159"/>
      <c r="H75" s="159"/>
      <c r="I75" s="18">
        <v>50</v>
      </c>
      <c r="J75" s="169">
        <v>42144</v>
      </c>
      <c r="K75" s="169">
        <v>42144</v>
      </c>
      <c r="L75" s="169">
        <v>42144</v>
      </c>
      <c r="M75" s="9" t="s">
        <v>170</v>
      </c>
      <c r="N75" s="167" t="s">
        <v>639</v>
      </c>
      <c r="O75" s="167" t="s">
        <v>640</v>
      </c>
      <c r="P75" s="167">
        <v>794751415</v>
      </c>
      <c r="Q75" s="20" t="s">
        <v>641</v>
      </c>
      <c r="R75" s="20" t="s">
        <v>642</v>
      </c>
      <c r="S75" s="20"/>
      <c r="T75" s="20">
        <v>118</v>
      </c>
      <c r="U75" s="20"/>
    </row>
    <row r="76" spans="1:26" ht="12" customHeight="1">
      <c r="A76" s="8">
        <v>75</v>
      </c>
      <c r="B76" s="104" t="s">
        <v>108</v>
      </c>
      <c r="C76" s="104" t="s">
        <v>544</v>
      </c>
      <c r="D76" s="159"/>
      <c r="E76" s="159"/>
      <c r="F76" s="159"/>
      <c r="G76" s="159"/>
      <c r="H76" s="159"/>
      <c r="I76" s="18">
        <v>50</v>
      </c>
      <c r="J76" s="20"/>
      <c r="K76" s="169">
        <v>42165</v>
      </c>
      <c r="L76" s="169">
        <v>42165</v>
      </c>
      <c r="M76" s="9" t="s">
        <v>170</v>
      </c>
      <c r="N76" s="167" t="s">
        <v>643</v>
      </c>
      <c r="O76" s="18" t="s">
        <v>644</v>
      </c>
      <c r="P76" s="20"/>
      <c r="Q76" s="20"/>
      <c r="R76" s="20"/>
      <c r="S76" s="20"/>
      <c r="T76" s="20">
        <v>119</v>
      </c>
      <c r="U76" s="20"/>
    </row>
    <row r="77" spans="1:26" ht="11.25" customHeight="1">
      <c r="A77" s="8">
        <v>76</v>
      </c>
      <c r="B77" s="104" t="s">
        <v>645</v>
      </c>
      <c r="C77" s="104" t="s">
        <v>646</v>
      </c>
      <c r="D77" s="159"/>
      <c r="E77" s="159"/>
      <c r="F77" s="159"/>
      <c r="G77" s="159"/>
      <c r="H77" s="159"/>
      <c r="I77" s="18">
        <v>50</v>
      </c>
      <c r="J77" s="169">
        <v>42165</v>
      </c>
      <c r="K77" s="169">
        <v>42188</v>
      </c>
      <c r="L77" s="169">
        <v>42188</v>
      </c>
      <c r="M77" s="9" t="s">
        <v>170</v>
      </c>
      <c r="N77" s="167" t="s">
        <v>647</v>
      </c>
      <c r="O77" s="167" t="s">
        <v>648</v>
      </c>
      <c r="P77" s="167">
        <v>512480376</v>
      </c>
      <c r="Q77" s="20"/>
      <c r="R77" s="20" t="s">
        <v>649</v>
      </c>
      <c r="S77" s="20"/>
      <c r="T77" s="20">
        <v>120</v>
      </c>
      <c r="U77" s="20"/>
    </row>
    <row r="78" spans="1:26" ht="12" customHeight="1">
      <c r="A78" s="8">
        <v>77</v>
      </c>
      <c r="B78" s="104" t="s">
        <v>134</v>
      </c>
      <c r="C78" s="104" t="s">
        <v>650</v>
      </c>
      <c r="D78" s="159"/>
      <c r="E78" s="159"/>
      <c r="F78" s="159"/>
      <c r="G78" s="159"/>
      <c r="H78" s="159"/>
      <c r="I78" s="18">
        <v>50</v>
      </c>
      <c r="J78" s="169">
        <v>42268</v>
      </c>
      <c r="K78" s="169">
        <v>42268</v>
      </c>
      <c r="L78" s="169">
        <v>42268</v>
      </c>
      <c r="M78" s="9" t="s">
        <v>170</v>
      </c>
      <c r="N78" s="167" t="s">
        <v>651</v>
      </c>
      <c r="O78" s="167" t="s">
        <v>652</v>
      </c>
      <c r="P78" s="167">
        <v>791115340</v>
      </c>
      <c r="Q78" s="20"/>
      <c r="R78" s="20" t="s">
        <v>653</v>
      </c>
      <c r="S78" s="20">
        <v>226491904</v>
      </c>
      <c r="T78" s="20">
        <v>121</v>
      </c>
      <c r="U78" s="20"/>
    </row>
    <row r="79" spans="1:26" ht="11.25" customHeight="1">
      <c r="A79" s="8">
        <v>78</v>
      </c>
      <c r="B79" s="104" t="s">
        <v>268</v>
      </c>
      <c r="C79" s="104" t="s">
        <v>654</v>
      </c>
      <c r="D79" s="159"/>
      <c r="E79" s="159"/>
      <c r="F79" s="159"/>
      <c r="G79" s="159"/>
      <c r="H79" s="159"/>
      <c r="I79" s="18">
        <v>50</v>
      </c>
      <c r="J79" s="169">
        <v>42263</v>
      </c>
      <c r="K79" s="169">
        <v>42289</v>
      </c>
      <c r="L79" s="169">
        <v>42289</v>
      </c>
      <c r="M79" s="9" t="s">
        <v>170</v>
      </c>
      <c r="N79" s="167" t="s">
        <v>655</v>
      </c>
      <c r="O79" s="167" t="s">
        <v>656</v>
      </c>
      <c r="P79" s="167" t="s">
        <v>657</v>
      </c>
      <c r="Q79" s="20"/>
      <c r="R79" s="20" t="s">
        <v>658</v>
      </c>
      <c r="S79" s="20"/>
      <c r="T79" s="20">
        <v>122</v>
      </c>
      <c r="U79" s="20"/>
    </row>
    <row r="80" spans="1:26" ht="12" customHeight="1">
      <c r="A80" s="8">
        <v>79</v>
      </c>
      <c r="B80" s="104" t="s">
        <v>645</v>
      </c>
      <c r="C80" s="104" t="s">
        <v>659</v>
      </c>
      <c r="D80" s="159"/>
      <c r="E80" s="159"/>
      <c r="F80" s="159"/>
      <c r="G80" s="159"/>
      <c r="H80" s="159"/>
      <c r="I80" s="18"/>
      <c r="J80" s="169">
        <v>42267</v>
      </c>
      <c r="K80" s="169"/>
      <c r="L80" s="169"/>
      <c r="M80" s="9"/>
      <c r="N80" s="167" t="s">
        <v>660</v>
      </c>
      <c r="O80" s="167" t="s">
        <v>661</v>
      </c>
      <c r="P80" s="167">
        <v>698656732</v>
      </c>
      <c r="Q80" s="20"/>
      <c r="R80" s="20" t="s">
        <v>662</v>
      </c>
      <c r="S80" s="20"/>
      <c r="T80" s="20">
        <v>123</v>
      </c>
      <c r="U80" s="20"/>
    </row>
    <row r="81" spans="1:21" ht="12" customHeight="1">
      <c r="A81" s="8">
        <v>80</v>
      </c>
      <c r="B81" s="104" t="s">
        <v>663</v>
      </c>
      <c r="C81" s="104" t="s">
        <v>664</v>
      </c>
      <c r="D81" s="159"/>
      <c r="E81" s="159"/>
      <c r="F81" s="159"/>
      <c r="G81" s="159"/>
      <c r="H81" s="159"/>
      <c r="I81" s="18">
        <v>50</v>
      </c>
      <c r="J81" s="169">
        <v>42289</v>
      </c>
      <c r="K81" s="169">
        <v>42289</v>
      </c>
      <c r="L81" s="169">
        <v>42289</v>
      </c>
      <c r="M81" s="9" t="s">
        <v>170</v>
      </c>
      <c r="N81" s="167" t="s">
        <v>665</v>
      </c>
      <c r="O81" s="167" t="s">
        <v>259</v>
      </c>
      <c r="P81" s="167">
        <v>508381500</v>
      </c>
      <c r="Q81" s="20"/>
      <c r="R81" s="20" t="s">
        <v>666</v>
      </c>
      <c r="S81" s="20"/>
      <c r="T81" s="20">
        <v>124</v>
      </c>
      <c r="U81" s="20"/>
    </row>
    <row r="82" spans="1:21" ht="12" customHeight="1">
      <c r="A82" s="8">
        <v>82</v>
      </c>
      <c r="B82" s="104" t="s">
        <v>13</v>
      </c>
      <c r="C82" s="104" t="s">
        <v>667</v>
      </c>
      <c r="D82" s="159"/>
      <c r="E82" s="159"/>
      <c r="F82" s="159"/>
      <c r="G82" s="159"/>
      <c r="H82" s="159"/>
      <c r="I82" s="18">
        <v>50</v>
      </c>
      <c r="J82" s="169">
        <v>42311</v>
      </c>
      <c r="K82" s="169">
        <v>42312</v>
      </c>
      <c r="L82" s="169">
        <v>42312</v>
      </c>
      <c r="M82" s="9" t="s">
        <v>170</v>
      </c>
      <c r="N82" s="167" t="s">
        <v>668</v>
      </c>
      <c r="O82" s="167" t="s">
        <v>669</v>
      </c>
      <c r="P82" s="167">
        <v>792423168</v>
      </c>
      <c r="Q82" s="20"/>
      <c r="R82" s="20" t="s">
        <v>670</v>
      </c>
      <c r="S82" s="20"/>
      <c r="T82" s="20">
        <v>125</v>
      </c>
      <c r="U82" s="20"/>
    </row>
    <row r="83" spans="1:21" ht="12.75" customHeight="1">
      <c r="A83" s="8">
        <v>83</v>
      </c>
      <c r="B83" s="104" t="s">
        <v>217</v>
      </c>
      <c r="C83" s="104" t="s">
        <v>671</v>
      </c>
      <c r="D83" s="159"/>
      <c r="E83" s="159"/>
      <c r="F83" s="159"/>
      <c r="G83" s="159"/>
      <c r="H83" s="159"/>
      <c r="I83" s="18"/>
      <c r="J83" s="169">
        <v>42310</v>
      </c>
      <c r="K83" s="169"/>
      <c r="L83" s="169"/>
      <c r="M83" s="9"/>
      <c r="N83" s="167"/>
      <c r="O83" s="167"/>
      <c r="P83" s="167"/>
      <c r="Q83" s="20"/>
      <c r="R83" s="20" t="s">
        <v>672</v>
      </c>
      <c r="S83" s="20"/>
      <c r="T83" s="20"/>
      <c r="U83" s="20"/>
    </row>
    <row r="84" spans="1:21" ht="15.75" customHeight="1">
      <c r="A84" s="8">
        <v>84</v>
      </c>
      <c r="B84" s="20" t="s">
        <v>673</v>
      </c>
      <c r="C84" s="104" t="s">
        <v>674</v>
      </c>
      <c r="D84" s="159"/>
      <c r="E84" s="159"/>
      <c r="F84" s="159"/>
      <c r="G84" s="159"/>
      <c r="H84" s="159"/>
      <c r="I84" s="170">
        <v>50</v>
      </c>
      <c r="J84" s="169">
        <v>42334</v>
      </c>
      <c r="K84" s="169">
        <v>42335</v>
      </c>
      <c r="L84" s="169">
        <v>42335</v>
      </c>
      <c r="M84" s="9" t="s">
        <v>170</v>
      </c>
      <c r="N84" s="167" t="s">
        <v>675</v>
      </c>
      <c r="O84" s="167" t="s">
        <v>676</v>
      </c>
      <c r="P84" s="167">
        <v>509828512</v>
      </c>
      <c r="Q84" s="20"/>
      <c r="R84" s="20" t="s">
        <v>677</v>
      </c>
      <c r="S84" s="20"/>
      <c r="T84" s="20">
        <v>126</v>
      </c>
      <c r="U84" s="20"/>
    </row>
    <row r="85" spans="1:21" ht="15.75" customHeight="1">
      <c r="A85" s="8">
        <v>85</v>
      </c>
      <c r="B85" s="104" t="s">
        <v>678</v>
      </c>
      <c r="C85" s="104" t="s">
        <v>679</v>
      </c>
      <c r="D85" s="159"/>
      <c r="E85" s="159"/>
      <c r="F85" s="159"/>
      <c r="G85" s="159"/>
      <c r="H85" s="159"/>
      <c r="I85" s="170">
        <v>50</v>
      </c>
      <c r="J85" s="169">
        <v>42358</v>
      </c>
      <c r="K85" s="169">
        <v>42359</v>
      </c>
      <c r="L85" s="169">
        <v>42359</v>
      </c>
      <c r="M85" s="9" t="s">
        <v>170</v>
      </c>
      <c r="N85" s="167" t="s">
        <v>680</v>
      </c>
      <c r="O85" s="167" t="s">
        <v>681</v>
      </c>
      <c r="P85" s="167">
        <v>791620676</v>
      </c>
      <c r="Q85" s="20"/>
      <c r="R85" s="20" t="s">
        <v>682</v>
      </c>
      <c r="S85" s="20"/>
      <c r="T85" s="20">
        <v>127</v>
      </c>
      <c r="U85" s="20"/>
    </row>
    <row r="86" spans="1:21" ht="15.75" customHeight="1">
      <c r="A86" s="22"/>
      <c r="B86" s="87"/>
      <c r="C86" s="7"/>
      <c r="D86" s="7"/>
      <c r="E86" s="7"/>
      <c r="F86" s="7"/>
      <c r="G86" s="7"/>
      <c r="H86" s="7"/>
      <c r="I86" s="108"/>
      <c r="J86" s="171"/>
      <c r="K86" s="171"/>
      <c r="L86" s="171"/>
      <c r="M86" s="79"/>
      <c r="N86" s="39"/>
      <c r="O86" s="39"/>
      <c r="P86" s="39"/>
      <c r="Q86" s="87"/>
      <c r="R86" s="87"/>
      <c r="S86" s="87"/>
      <c r="T86" s="87"/>
      <c r="U86" s="87"/>
    </row>
    <row r="87" spans="1:21" ht="15.75" customHeight="1">
      <c r="A87" s="22"/>
      <c r="C87" s="7"/>
      <c r="J87" s="171"/>
      <c r="K87" s="171"/>
      <c r="L87" s="171"/>
      <c r="M87" s="79"/>
      <c r="N87" s="39"/>
      <c r="O87" s="39"/>
      <c r="P87" s="39"/>
    </row>
    <row r="88" spans="1:21" ht="15.75" customHeight="1">
      <c r="A88" s="172"/>
      <c r="B88" s="7" t="s">
        <v>683</v>
      </c>
      <c r="I88" s="141">
        <f>SUM(I2:I84)</f>
        <v>2950</v>
      </c>
      <c r="J88" s="39"/>
      <c r="P88" s="87"/>
    </row>
    <row r="89" spans="1:21" ht="15.75" customHeight="1">
      <c r="B89" s="173" t="s">
        <v>684</v>
      </c>
      <c r="P89" s="87"/>
    </row>
    <row r="90" spans="1:21" ht="15.75" customHeight="1">
      <c r="A90" s="174"/>
      <c r="B90" s="141" t="s">
        <v>685</v>
      </c>
      <c r="P90" s="87"/>
    </row>
    <row r="91" spans="1:21" ht="15.75" customHeight="1">
      <c r="P91" s="87"/>
    </row>
    <row r="92" spans="1:21" ht="15.75" customHeight="1">
      <c r="P92" s="87"/>
    </row>
    <row r="93" spans="1:21" ht="15.75" customHeight="1">
      <c r="P93" s="87"/>
    </row>
    <row r="94" spans="1:21" ht="15.75" customHeight="1">
      <c r="P94" s="87"/>
    </row>
    <row r="95" spans="1:21" ht="15.75" customHeight="1">
      <c r="P95" s="87"/>
    </row>
    <row r="96" spans="1:21" ht="15.75" customHeight="1">
      <c r="P96" s="87"/>
    </row>
    <row r="97" spans="16:16" ht="15.75" customHeight="1">
      <c r="P97" s="87"/>
    </row>
    <row r="98" spans="16:16" ht="15.75" customHeight="1">
      <c r="P98" s="87"/>
    </row>
    <row r="99" spans="16:16" ht="15.75" customHeight="1">
      <c r="P99" s="87"/>
    </row>
    <row r="100" spans="16:16" ht="15.75" customHeight="1">
      <c r="P100" s="87"/>
    </row>
    <row r="101" spans="16:16" ht="15.75" customHeight="1">
      <c r="P101" s="87"/>
    </row>
    <row r="102" spans="16:16" ht="15.75" customHeight="1">
      <c r="P102" s="87"/>
    </row>
    <row r="103" spans="16:16" ht="15.75" customHeight="1">
      <c r="P103" s="87"/>
    </row>
    <row r="104" spans="16:16" ht="15.75" customHeight="1">
      <c r="P104" s="87"/>
    </row>
    <row r="105" spans="16:16" ht="15.75" customHeight="1">
      <c r="P105" s="87"/>
    </row>
    <row r="106" spans="16:16" ht="15.75" customHeight="1">
      <c r="P106" s="87"/>
    </row>
    <row r="107" spans="16:16" ht="15.75" customHeight="1">
      <c r="P107" s="87"/>
    </row>
    <row r="108" spans="16:16" ht="15.75" customHeight="1">
      <c r="P108" s="87"/>
    </row>
    <row r="109" spans="16:16" ht="15.75" customHeight="1">
      <c r="P109" s="87"/>
    </row>
    <row r="110" spans="16:16" ht="15.75" customHeight="1">
      <c r="P110" s="87"/>
    </row>
    <row r="111" spans="16:16" ht="15.75" customHeight="1">
      <c r="P111" s="87"/>
    </row>
    <row r="112" spans="16:16" ht="15.75" customHeight="1">
      <c r="P112" s="87"/>
    </row>
    <row r="113" spans="16:16" ht="15.75" customHeight="1">
      <c r="P113" s="87"/>
    </row>
    <row r="114" spans="16:16" ht="15.75" customHeight="1">
      <c r="P114" s="87"/>
    </row>
    <row r="115" spans="16:16" ht="15.75" customHeight="1">
      <c r="P115" s="87"/>
    </row>
    <row r="116" spans="16:16" ht="15.75" customHeight="1">
      <c r="P116" s="87"/>
    </row>
    <row r="117" spans="16:16" ht="15.75" customHeight="1">
      <c r="P117" s="87"/>
    </row>
    <row r="118" spans="16:16" ht="15.75" customHeight="1">
      <c r="P118" s="87"/>
    </row>
    <row r="119" spans="16:16" ht="15.75" customHeight="1">
      <c r="P119" s="87"/>
    </row>
    <row r="120" spans="16:16" ht="15.75" customHeight="1">
      <c r="P120" s="87"/>
    </row>
    <row r="121" spans="16:16" ht="15.75" customHeight="1">
      <c r="P121" s="87"/>
    </row>
    <row r="122" spans="16:16" ht="15.75" customHeight="1">
      <c r="P122" s="87"/>
    </row>
    <row r="123" spans="16:16" ht="15.75" customHeight="1">
      <c r="P123" s="87"/>
    </row>
    <row r="124" spans="16:16" ht="15.75" customHeight="1">
      <c r="P124" s="87"/>
    </row>
    <row r="125" spans="16:16" ht="15.75" customHeight="1">
      <c r="P125" s="87"/>
    </row>
    <row r="126" spans="16:16" ht="15.75" customHeight="1">
      <c r="P126" s="87"/>
    </row>
    <row r="127" spans="16:16" ht="15.75" customHeight="1">
      <c r="P127" s="87"/>
    </row>
    <row r="128" spans="16:16" ht="15.75" customHeight="1">
      <c r="P128" s="87"/>
    </row>
    <row r="129" spans="16:16" ht="15.75" customHeight="1">
      <c r="P129" s="87"/>
    </row>
    <row r="130" spans="16:16" ht="15.75" customHeight="1">
      <c r="P130" s="87"/>
    </row>
    <row r="131" spans="16:16" ht="15.75" customHeight="1">
      <c r="P131" s="87"/>
    </row>
    <row r="132" spans="16:16" ht="15.75" customHeight="1">
      <c r="P132" s="87"/>
    </row>
    <row r="133" spans="16:16" ht="15.75" customHeight="1">
      <c r="P133" s="87"/>
    </row>
    <row r="134" spans="16:16" ht="15.75" customHeight="1">
      <c r="P134" s="87"/>
    </row>
    <row r="135" spans="16:16" ht="15.75" customHeight="1">
      <c r="P135" s="87"/>
    </row>
    <row r="136" spans="16:16" ht="15.75" customHeight="1">
      <c r="P136" s="87"/>
    </row>
    <row r="137" spans="16:16" ht="15.75" customHeight="1">
      <c r="P137" s="87"/>
    </row>
    <row r="138" spans="16:16" ht="15.75" customHeight="1">
      <c r="P138" s="87"/>
    </row>
    <row r="139" spans="16:16" ht="15.75" customHeight="1">
      <c r="P139" s="87"/>
    </row>
    <row r="140" spans="16:16" ht="15.75" customHeight="1">
      <c r="P140" s="87"/>
    </row>
    <row r="141" spans="16:16" ht="15.75" customHeight="1">
      <c r="P141" s="87"/>
    </row>
    <row r="142" spans="16:16" ht="15.75" customHeight="1">
      <c r="P142" s="87"/>
    </row>
    <row r="143" spans="16:16" ht="15.75" customHeight="1">
      <c r="P143" s="87"/>
    </row>
    <row r="144" spans="16:16" ht="15.75" customHeight="1">
      <c r="P144" s="87"/>
    </row>
    <row r="145" spans="16:16" ht="15.75" customHeight="1">
      <c r="P145" s="87"/>
    </row>
    <row r="146" spans="16:16" ht="15.75" customHeight="1">
      <c r="P146" s="87"/>
    </row>
    <row r="147" spans="16:16" ht="15.75" customHeight="1">
      <c r="P147" s="87"/>
    </row>
    <row r="148" spans="16:16" ht="15.75" customHeight="1">
      <c r="P148" s="87"/>
    </row>
    <row r="149" spans="16:16" ht="15.75" customHeight="1">
      <c r="P149" s="87"/>
    </row>
    <row r="150" spans="16:16" ht="15.75" customHeight="1">
      <c r="P150" s="87"/>
    </row>
    <row r="151" spans="16:16" ht="15.75" customHeight="1">
      <c r="P151" s="87"/>
    </row>
    <row r="152" spans="16:16" ht="15.75" customHeight="1">
      <c r="P152" s="87"/>
    </row>
    <row r="153" spans="16:16" ht="15.75" customHeight="1">
      <c r="P153" s="87"/>
    </row>
    <row r="154" spans="16:16" ht="15.75" customHeight="1">
      <c r="P154" s="87"/>
    </row>
    <row r="155" spans="16:16" ht="15.75" customHeight="1">
      <c r="P155" s="87"/>
    </row>
    <row r="156" spans="16:16" ht="15.75" customHeight="1">
      <c r="P156" s="87"/>
    </row>
    <row r="157" spans="16:16" ht="15.75" customHeight="1">
      <c r="P157" s="87"/>
    </row>
    <row r="158" spans="16:16" ht="15.75" customHeight="1">
      <c r="P158" s="87"/>
    </row>
    <row r="159" spans="16:16" ht="15.75" customHeight="1">
      <c r="P159" s="87"/>
    </row>
    <row r="160" spans="16:16" ht="15.75" customHeight="1">
      <c r="P160" s="87"/>
    </row>
    <row r="161" spans="16:16" ht="15.75" customHeight="1">
      <c r="P161" s="87"/>
    </row>
    <row r="162" spans="16:16" ht="15.75" customHeight="1">
      <c r="P162" s="87"/>
    </row>
    <row r="163" spans="16:16" ht="15.75" customHeight="1">
      <c r="P163" s="87"/>
    </row>
    <row r="164" spans="16:16" ht="15.75" customHeight="1">
      <c r="P164" s="87"/>
    </row>
    <row r="165" spans="16:16" ht="15.75" customHeight="1">
      <c r="P165" s="87"/>
    </row>
    <row r="166" spans="16:16" ht="15.75" customHeight="1">
      <c r="P166" s="87"/>
    </row>
    <row r="167" spans="16:16" ht="15.75" customHeight="1">
      <c r="P167" s="87"/>
    </row>
    <row r="168" spans="16:16" ht="15.75" customHeight="1">
      <c r="P168" s="87"/>
    </row>
    <row r="169" spans="16:16" ht="15.75" customHeight="1">
      <c r="P169" s="87"/>
    </row>
    <row r="170" spans="16:16" ht="15.75" customHeight="1">
      <c r="P170" s="87"/>
    </row>
    <row r="171" spans="16:16" ht="15.75" customHeight="1">
      <c r="P171" s="87"/>
    </row>
    <row r="172" spans="16:16" ht="15.75" customHeight="1">
      <c r="P172" s="87"/>
    </row>
    <row r="173" spans="16:16" ht="15.75" customHeight="1">
      <c r="P173" s="87"/>
    </row>
    <row r="174" spans="16:16" ht="15.75" customHeight="1">
      <c r="P174" s="87"/>
    </row>
    <row r="175" spans="16:16" ht="15.75" customHeight="1">
      <c r="P175" s="87"/>
    </row>
    <row r="176" spans="16:16" ht="15.75" customHeight="1">
      <c r="P176" s="87"/>
    </row>
    <row r="177" spans="16:16" ht="15.75" customHeight="1">
      <c r="P177" s="87"/>
    </row>
    <row r="178" spans="16:16" ht="15.75" customHeight="1">
      <c r="P178" s="87"/>
    </row>
    <row r="179" spans="16:16" ht="15.75" customHeight="1">
      <c r="P179" s="87"/>
    </row>
    <row r="180" spans="16:16" ht="15.75" customHeight="1">
      <c r="P180" s="87"/>
    </row>
    <row r="181" spans="16:16" ht="15.75" customHeight="1">
      <c r="P181" s="87"/>
    </row>
    <row r="182" spans="16:16" ht="15.75" customHeight="1">
      <c r="P182" s="87"/>
    </row>
    <row r="183" spans="16:16" ht="15.75" customHeight="1">
      <c r="P183" s="87"/>
    </row>
    <row r="184" spans="16:16" ht="15.75" customHeight="1">
      <c r="P184" s="87"/>
    </row>
    <row r="185" spans="16:16" ht="15.75" customHeight="1">
      <c r="P185" s="87"/>
    </row>
    <row r="186" spans="16:16" ht="15.75" customHeight="1">
      <c r="P186" s="87"/>
    </row>
    <row r="187" spans="16:16" ht="15.75" customHeight="1">
      <c r="P187" s="87"/>
    </row>
    <row r="188" spans="16:16" ht="15.75" customHeight="1">
      <c r="P188" s="87"/>
    </row>
    <row r="189" spans="16:16" ht="15.75" customHeight="1">
      <c r="P189" s="87"/>
    </row>
    <row r="190" spans="16:16" ht="15.75" customHeight="1">
      <c r="P190" s="87"/>
    </row>
    <row r="191" spans="16:16" ht="15.75" customHeight="1">
      <c r="P191" s="87"/>
    </row>
    <row r="192" spans="16:16" ht="15.75" customHeight="1">
      <c r="P192" s="87"/>
    </row>
    <row r="193" spans="16:16" ht="15.75" customHeight="1">
      <c r="P193" s="87"/>
    </row>
    <row r="194" spans="16:16" ht="15.75" customHeight="1">
      <c r="P194" s="87"/>
    </row>
    <row r="195" spans="16:16" ht="15.75" customHeight="1">
      <c r="P195" s="87"/>
    </row>
    <row r="196" spans="16:16" ht="15.75" customHeight="1">
      <c r="P196" s="87"/>
    </row>
    <row r="197" spans="16:16" ht="15.75" customHeight="1">
      <c r="P197" s="87"/>
    </row>
    <row r="198" spans="16:16" ht="15.75" customHeight="1">
      <c r="P198" s="87"/>
    </row>
    <row r="199" spans="16:16" ht="15.75" customHeight="1">
      <c r="P199" s="87"/>
    </row>
    <row r="200" spans="16:16" ht="15.75" customHeight="1">
      <c r="P200" s="87"/>
    </row>
    <row r="201" spans="16:16" ht="15.75" customHeight="1">
      <c r="P201" s="87"/>
    </row>
    <row r="202" spans="16:16" ht="15.75" customHeight="1">
      <c r="P202" s="87"/>
    </row>
    <row r="203" spans="16:16" ht="15.75" customHeight="1">
      <c r="P203" s="87"/>
    </row>
    <row r="204" spans="16:16" ht="15.75" customHeight="1">
      <c r="P204" s="87"/>
    </row>
    <row r="205" spans="16:16" ht="15.75" customHeight="1">
      <c r="P205" s="87"/>
    </row>
    <row r="206" spans="16:16" ht="15.75" customHeight="1">
      <c r="P206" s="87"/>
    </row>
    <row r="207" spans="16:16" ht="15.75" customHeight="1">
      <c r="P207" s="87"/>
    </row>
    <row r="208" spans="16:16" ht="15.75" customHeight="1">
      <c r="P208" s="87"/>
    </row>
    <row r="209" spans="16:16" ht="15.75" customHeight="1">
      <c r="P209" s="87"/>
    </row>
    <row r="210" spans="16:16" ht="15.75" customHeight="1">
      <c r="P210" s="87"/>
    </row>
    <row r="211" spans="16:16" ht="15.75" customHeight="1">
      <c r="P211" s="87"/>
    </row>
    <row r="212" spans="16:16" ht="15.75" customHeight="1">
      <c r="P212" s="87"/>
    </row>
    <row r="213" spans="16:16" ht="15.75" customHeight="1">
      <c r="P213" s="87"/>
    </row>
    <row r="214" spans="16:16" ht="15.75" customHeight="1">
      <c r="P214" s="87"/>
    </row>
    <row r="215" spans="16:16" ht="15.75" customHeight="1">
      <c r="P215" s="87"/>
    </row>
    <row r="216" spans="16:16" ht="15.75" customHeight="1">
      <c r="P216" s="87"/>
    </row>
    <row r="217" spans="16:16" ht="15.75" customHeight="1">
      <c r="P217" s="87"/>
    </row>
    <row r="218" spans="16:16" ht="15.75" customHeight="1">
      <c r="P218" s="87"/>
    </row>
    <row r="219" spans="16:16" ht="15.75" customHeight="1">
      <c r="P219" s="87"/>
    </row>
    <row r="220" spans="16:16" ht="15.75" customHeight="1">
      <c r="P220" s="87"/>
    </row>
    <row r="221" spans="16:16" ht="15.75" customHeight="1">
      <c r="P221" s="87"/>
    </row>
    <row r="222" spans="16:16" ht="15.75" customHeight="1">
      <c r="P222" s="87"/>
    </row>
    <row r="223" spans="16:16" ht="15.75" customHeight="1">
      <c r="P223" s="87"/>
    </row>
    <row r="224" spans="16:16" ht="15.75" customHeight="1">
      <c r="P224" s="87"/>
    </row>
    <row r="225" spans="16:16" ht="15.75" customHeight="1">
      <c r="P225" s="87"/>
    </row>
    <row r="226" spans="16:16" ht="15.75" customHeight="1">
      <c r="P226" s="87"/>
    </row>
    <row r="227" spans="16:16" ht="15.75" customHeight="1">
      <c r="P227" s="87"/>
    </row>
    <row r="228" spans="16:16" ht="15.75" customHeight="1">
      <c r="P228" s="87"/>
    </row>
    <row r="229" spans="16:16" ht="15.75" customHeight="1">
      <c r="P229" s="87"/>
    </row>
    <row r="230" spans="16:16" ht="15.75" customHeight="1">
      <c r="P230" s="87"/>
    </row>
    <row r="231" spans="16:16" ht="15.75" customHeight="1">
      <c r="P231" s="87"/>
    </row>
    <row r="232" spans="16:16" ht="15.75" customHeight="1">
      <c r="P232" s="87"/>
    </row>
    <row r="233" spans="16:16" ht="15.75" customHeight="1">
      <c r="P233" s="87"/>
    </row>
    <row r="234" spans="16:16" ht="15.75" customHeight="1">
      <c r="P234" s="87"/>
    </row>
    <row r="235" spans="16:16" ht="15.75" customHeight="1">
      <c r="P235" s="87"/>
    </row>
    <row r="236" spans="16:16" ht="15.75" customHeight="1">
      <c r="P236" s="87"/>
    </row>
    <row r="237" spans="16:16" ht="15.75" customHeight="1">
      <c r="P237" s="87"/>
    </row>
    <row r="238" spans="16:16" ht="15.75" customHeight="1">
      <c r="P238" s="87"/>
    </row>
    <row r="239" spans="16:16" ht="15.75" customHeight="1">
      <c r="P239" s="87"/>
    </row>
    <row r="240" spans="16:16" ht="15.75" customHeight="1">
      <c r="P240" s="87"/>
    </row>
    <row r="241" spans="16:16" ht="15.75" customHeight="1">
      <c r="P241" s="87"/>
    </row>
    <row r="242" spans="16:16" ht="15.75" customHeight="1">
      <c r="P242" s="87"/>
    </row>
    <row r="243" spans="16:16" ht="15.75" customHeight="1">
      <c r="P243" s="87"/>
    </row>
    <row r="244" spans="16:16" ht="15.75" customHeight="1">
      <c r="P244" s="87"/>
    </row>
    <row r="245" spans="16:16" ht="15.75" customHeight="1">
      <c r="P245" s="87"/>
    </row>
    <row r="246" spans="16:16" ht="15.75" customHeight="1">
      <c r="P246" s="87"/>
    </row>
    <row r="247" spans="16:16" ht="15.75" customHeight="1">
      <c r="P247" s="87"/>
    </row>
    <row r="248" spans="16:16" ht="15.75" customHeight="1">
      <c r="P248" s="87"/>
    </row>
    <row r="249" spans="16:16" ht="15.75" customHeight="1">
      <c r="P249" s="87"/>
    </row>
    <row r="250" spans="16:16" ht="15.75" customHeight="1">
      <c r="P250" s="87"/>
    </row>
    <row r="251" spans="16:16" ht="15.75" customHeight="1">
      <c r="P251" s="87"/>
    </row>
    <row r="252" spans="16:16" ht="15.75" customHeight="1">
      <c r="P252" s="87"/>
    </row>
    <row r="253" spans="16:16" ht="15.75" customHeight="1">
      <c r="P253" s="87"/>
    </row>
    <row r="254" spans="16:16" ht="15.75" customHeight="1">
      <c r="P254" s="87"/>
    </row>
    <row r="255" spans="16:16" ht="15.75" customHeight="1">
      <c r="P255" s="87"/>
    </row>
    <row r="256" spans="16:16" ht="15.75" customHeight="1">
      <c r="P256" s="87"/>
    </row>
    <row r="257" spans="16:16" ht="15.75" customHeight="1">
      <c r="P257" s="87"/>
    </row>
    <row r="258" spans="16:16" ht="15.75" customHeight="1">
      <c r="P258" s="87"/>
    </row>
    <row r="259" spans="16:16" ht="15.75" customHeight="1">
      <c r="P259" s="87"/>
    </row>
    <row r="260" spans="16:16" ht="15.75" customHeight="1">
      <c r="P260" s="87"/>
    </row>
    <row r="261" spans="16:16" ht="15.75" customHeight="1">
      <c r="P261" s="87"/>
    </row>
    <row r="262" spans="16:16" ht="15.75" customHeight="1">
      <c r="P262" s="87"/>
    </row>
    <row r="263" spans="16:16" ht="15.75" customHeight="1">
      <c r="P263" s="87"/>
    </row>
    <row r="264" spans="16:16" ht="15.75" customHeight="1">
      <c r="P264" s="87"/>
    </row>
    <row r="265" spans="16:16" ht="15.75" customHeight="1">
      <c r="P265" s="87"/>
    </row>
    <row r="266" spans="16:16" ht="15.75" customHeight="1">
      <c r="P266" s="87"/>
    </row>
    <row r="267" spans="16:16" ht="15.75" customHeight="1">
      <c r="P267" s="87"/>
    </row>
    <row r="268" spans="16:16" ht="15.75" customHeight="1">
      <c r="P268" s="87"/>
    </row>
    <row r="269" spans="16:16" ht="15.75" customHeight="1">
      <c r="P269" s="87"/>
    </row>
    <row r="270" spans="16:16" ht="15.75" customHeight="1">
      <c r="P270" s="87"/>
    </row>
    <row r="271" spans="16:16" ht="15.75" customHeight="1">
      <c r="P271" s="87"/>
    </row>
    <row r="272" spans="16:16" ht="15.75" customHeight="1">
      <c r="P272" s="87"/>
    </row>
    <row r="273" spans="16:16" ht="15.75" customHeight="1">
      <c r="P273" s="87"/>
    </row>
    <row r="274" spans="16:16" ht="15.75" customHeight="1">
      <c r="P274" s="87"/>
    </row>
    <row r="275" spans="16:16" ht="15.75" customHeight="1">
      <c r="P275" s="87"/>
    </row>
    <row r="276" spans="16:16" ht="15.75" customHeight="1">
      <c r="P276" s="87"/>
    </row>
    <row r="277" spans="16:16" ht="15.75" customHeight="1">
      <c r="P277" s="87"/>
    </row>
    <row r="278" spans="16:16" ht="15.75" customHeight="1">
      <c r="P278" s="87"/>
    </row>
    <row r="279" spans="16:16" ht="15.75" customHeight="1">
      <c r="P279" s="87"/>
    </row>
    <row r="280" spans="16:16" ht="15.75" customHeight="1">
      <c r="P280" s="87"/>
    </row>
    <row r="281" spans="16:16" ht="15.75" customHeight="1">
      <c r="P281" s="87"/>
    </row>
    <row r="282" spans="16:16" ht="15.75" customHeight="1">
      <c r="P282" s="87"/>
    </row>
    <row r="283" spans="16:16" ht="15.75" customHeight="1">
      <c r="P283" s="87"/>
    </row>
    <row r="284" spans="16:16" ht="15.75" customHeight="1">
      <c r="P284" s="87"/>
    </row>
    <row r="285" spans="16:16" ht="15.75" customHeight="1">
      <c r="P285" s="87"/>
    </row>
    <row r="286" spans="16:16" ht="15.75" customHeight="1">
      <c r="P286" s="87"/>
    </row>
    <row r="287" spans="16:16" ht="15.75" customHeight="1">
      <c r="P287" s="87"/>
    </row>
    <row r="288" spans="16:16" ht="15.75" customHeight="1">
      <c r="P288" s="87"/>
    </row>
    <row r="289" spans="16:16" ht="15.75" customHeight="1">
      <c r="P289" s="87"/>
    </row>
    <row r="290" spans="16:16" ht="15.75" customHeight="1">
      <c r="P290" s="87"/>
    </row>
    <row r="291" spans="16:16" ht="15.75" customHeight="1">
      <c r="P291" s="87"/>
    </row>
    <row r="292" spans="16:16" ht="15.75" customHeight="1">
      <c r="P292" s="87"/>
    </row>
    <row r="293" spans="16:16" ht="15.75" customHeight="1">
      <c r="P293" s="87"/>
    </row>
    <row r="294" spans="16:16" ht="15.75" customHeight="1">
      <c r="P294" s="87"/>
    </row>
    <row r="295" spans="16:16" ht="15.75" customHeight="1">
      <c r="P295" s="87"/>
    </row>
    <row r="296" spans="16:16" ht="15.75" customHeight="1">
      <c r="P296" s="87"/>
    </row>
    <row r="297" spans="16:16" ht="15.75" customHeight="1">
      <c r="P297" s="87"/>
    </row>
    <row r="298" spans="16:16" ht="15.75" customHeight="1">
      <c r="P298" s="87"/>
    </row>
    <row r="299" spans="16:16" ht="15.75" customHeight="1">
      <c r="P299" s="87"/>
    </row>
    <row r="300" spans="16:16" ht="15.75" customHeight="1">
      <c r="P300" s="87"/>
    </row>
    <row r="301" spans="16:16" ht="15.75" customHeight="1">
      <c r="P301" s="87"/>
    </row>
    <row r="302" spans="16:16" ht="15.75" customHeight="1">
      <c r="P302" s="87"/>
    </row>
    <row r="303" spans="16:16" ht="15.75" customHeight="1">
      <c r="P303" s="87"/>
    </row>
    <row r="304" spans="16:16" ht="15.75" customHeight="1">
      <c r="P304" s="87"/>
    </row>
    <row r="305" spans="16:16" ht="15.75" customHeight="1">
      <c r="P305" s="87"/>
    </row>
    <row r="306" spans="16:16" ht="15.75" customHeight="1">
      <c r="P306" s="87"/>
    </row>
    <row r="307" spans="16:16" ht="15.75" customHeight="1">
      <c r="P307" s="87"/>
    </row>
    <row r="308" spans="16:16" ht="15.75" customHeight="1">
      <c r="P308" s="87"/>
    </row>
    <row r="309" spans="16:16" ht="15.75" customHeight="1">
      <c r="P309" s="87"/>
    </row>
    <row r="310" spans="16:16" ht="15.75" customHeight="1">
      <c r="P310" s="87"/>
    </row>
    <row r="311" spans="16:16" ht="15.75" customHeight="1">
      <c r="P311" s="87"/>
    </row>
    <row r="312" spans="16:16" ht="15.75" customHeight="1">
      <c r="P312" s="87"/>
    </row>
    <row r="313" spans="16:16" ht="15.75" customHeight="1">
      <c r="P313" s="87"/>
    </row>
    <row r="314" spans="16:16" ht="15.75" customHeight="1">
      <c r="P314" s="87"/>
    </row>
    <row r="315" spans="16:16" ht="15.75" customHeight="1">
      <c r="P315" s="87"/>
    </row>
    <row r="316" spans="16:16" ht="15.75" customHeight="1">
      <c r="P316" s="87"/>
    </row>
    <row r="317" spans="16:16" ht="15.75" customHeight="1">
      <c r="P317" s="87"/>
    </row>
    <row r="318" spans="16:16" ht="15.75" customHeight="1">
      <c r="P318" s="87"/>
    </row>
    <row r="319" spans="16:16" ht="15.75" customHeight="1">
      <c r="P319" s="87"/>
    </row>
    <row r="320" spans="16:16" ht="15.75" customHeight="1">
      <c r="P320" s="87"/>
    </row>
    <row r="321" spans="16:16" ht="15.75" customHeight="1">
      <c r="P321" s="87"/>
    </row>
    <row r="322" spans="16:16" ht="15.75" customHeight="1">
      <c r="P322" s="87"/>
    </row>
    <row r="323" spans="16:16" ht="15.75" customHeight="1">
      <c r="P323" s="87"/>
    </row>
    <row r="324" spans="16:16" ht="15.75" customHeight="1">
      <c r="P324" s="87"/>
    </row>
    <row r="325" spans="16:16" ht="15.75" customHeight="1">
      <c r="P325" s="87"/>
    </row>
    <row r="326" spans="16:16" ht="15.75" customHeight="1">
      <c r="P326" s="87"/>
    </row>
    <row r="327" spans="16:16" ht="15.75" customHeight="1">
      <c r="P327" s="87"/>
    </row>
    <row r="328" spans="16:16" ht="15.75" customHeight="1">
      <c r="P328" s="87"/>
    </row>
    <row r="329" spans="16:16" ht="15.75" customHeight="1">
      <c r="P329" s="87"/>
    </row>
    <row r="330" spans="16:16" ht="15.75" customHeight="1">
      <c r="P330" s="87"/>
    </row>
    <row r="331" spans="16:16" ht="15.75" customHeight="1">
      <c r="P331" s="87"/>
    </row>
    <row r="332" spans="16:16" ht="15.75" customHeight="1">
      <c r="P332" s="87"/>
    </row>
    <row r="333" spans="16:16" ht="15.75" customHeight="1">
      <c r="P333" s="87"/>
    </row>
    <row r="334" spans="16:16" ht="15.75" customHeight="1">
      <c r="P334" s="87"/>
    </row>
    <row r="335" spans="16:16" ht="15.75" customHeight="1">
      <c r="P335" s="87"/>
    </row>
    <row r="336" spans="16:16" ht="15.75" customHeight="1">
      <c r="P336" s="87"/>
    </row>
    <row r="337" spans="16:16" ht="15.75" customHeight="1">
      <c r="P337" s="87"/>
    </row>
    <row r="338" spans="16:16" ht="15.75" customHeight="1">
      <c r="P338" s="87"/>
    </row>
    <row r="339" spans="16:16" ht="15.75" customHeight="1">
      <c r="P339" s="87"/>
    </row>
    <row r="340" spans="16:16" ht="15.75" customHeight="1">
      <c r="P340" s="87"/>
    </row>
    <row r="341" spans="16:16" ht="15.75" customHeight="1">
      <c r="P341" s="87"/>
    </row>
    <row r="342" spans="16:16" ht="15.75" customHeight="1">
      <c r="P342" s="87"/>
    </row>
    <row r="343" spans="16:16" ht="15.75" customHeight="1">
      <c r="P343" s="87"/>
    </row>
    <row r="344" spans="16:16" ht="15.75" customHeight="1">
      <c r="P344" s="87"/>
    </row>
    <row r="345" spans="16:16" ht="15.75" customHeight="1">
      <c r="P345" s="87"/>
    </row>
    <row r="346" spans="16:16" ht="15.75" customHeight="1">
      <c r="P346" s="87"/>
    </row>
    <row r="347" spans="16:16" ht="15.75" customHeight="1">
      <c r="P347" s="87"/>
    </row>
    <row r="348" spans="16:16" ht="15.75" customHeight="1">
      <c r="P348" s="87"/>
    </row>
    <row r="349" spans="16:16" ht="15.75" customHeight="1">
      <c r="P349" s="87"/>
    </row>
    <row r="350" spans="16:16" ht="15.75" customHeight="1">
      <c r="P350" s="87"/>
    </row>
    <row r="351" spans="16:16" ht="15.75" customHeight="1">
      <c r="P351" s="87"/>
    </row>
    <row r="352" spans="16:16" ht="15.75" customHeight="1">
      <c r="P352" s="87"/>
    </row>
    <row r="353" spans="16:16" ht="15.75" customHeight="1">
      <c r="P353" s="87"/>
    </row>
    <row r="354" spans="16:16" ht="15.75" customHeight="1">
      <c r="P354" s="87"/>
    </row>
    <row r="355" spans="16:16" ht="15.75" customHeight="1">
      <c r="P355" s="87"/>
    </row>
    <row r="356" spans="16:16" ht="15.75" customHeight="1">
      <c r="P356" s="87"/>
    </row>
    <row r="357" spans="16:16" ht="15.75" customHeight="1">
      <c r="P357" s="87"/>
    </row>
    <row r="358" spans="16:16" ht="15.75" customHeight="1">
      <c r="P358" s="87"/>
    </row>
    <row r="359" spans="16:16" ht="15.75" customHeight="1">
      <c r="P359" s="87"/>
    </row>
    <row r="360" spans="16:16" ht="15.75" customHeight="1">
      <c r="P360" s="87"/>
    </row>
    <row r="361" spans="16:16" ht="15.75" customHeight="1">
      <c r="P361" s="87"/>
    </row>
    <row r="362" spans="16:16" ht="15.75" customHeight="1">
      <c r="P362" s="87"/>
    </row>
    <row r="363" spans="16:16" ht="15.75" customHeight="1">
      <c r="P363" s="87"/>
    </row>
    <row r="364" spans="16:16" ht="15.75" customHeight="1">
      <c r="P364" s="87"/>
    </row>
    <row r="365" spans="16:16" ht="15.75" customHeight="1">
      <c r="P365" s="87"/>
    </row>
    <row r="366" spans="16:16" ht="15.75" customHeight="1">
      <c r="P366" s="87"/>
    </row>
    <row r="367" spans="16:16" ht="15.75" customHeight="1">
      <c r="P367" s="87"/>
    </row>
    <row r="368" spans="16:16" ht="15.75" customHeight="1">
      <c r="P368" s="87"/>
    </row>
    <row r="369" spans="16:16" ht="15.75" customHeight="1">
      <c r="P369" s="87"/>
    </row>
    <row r="370" spans="16:16" ht="15.75" customHeight="1">
      <c r="P370" s="87"/>
    </row>
    <row r="371" spans="16:16" ht="15.75" customHeight="1">
      <c r="P371" s="87"/>
    </row>
    <row r="372" spans="16:16" ht="15.75" customHeight="1">
      <c r="P372" s="87"/>
    </row>
    <row r="373" spans="16:16" ht="15.75" customHeight="1">
      <c r="P373" s="87"/>
    </row>
    <row r="374" spans="16:16" ht="15.75" customHeight="1">
      <c r="P374" s="87"/>
    </row>
    <row r="375" spans="16:16" ht="15.75" customHeight="1">
      <c r="P375" s="87"/>
    </row>
    <row r="376" spans="16:16" ht="15.75" customHeight="1">
      <c r="P376" s="87"/>
    </row>
    <row r="377" spans="16:16" ht="15.75" customHeight="1">
      <c r="P377" s="87"/>
    </row>
    <row r="378" spans="16:16" ht="15.75" customHeight="1">
      <c r="P378" s="87"/>
    </row>
    <row r="379" spans="16:16" ht="15.75" customHeight="1">
      <c r="P379" s="87"/>
    </row>
    <row r="380" spans="16:16" ht="15.75" customHeight="1">
      <c r="P380" s="87"/>
    </row>
    <row r="381" spans="16:16" ht="15.75" customHeight="1">
      <c r="P381" s="87"/>
    </row>
    <row r="382" spans="16:16" ht="15.75" customHeight="1">
      <c r="P382" s="87"/>
    </row>
    <row r="383" spans="16:16" ht="15.75" customHeight="1">
      <c r="P383" s="87"/>
    </row>
    <row r="384" spans="16:16" ht="15.75" customHeight="1">
      <c r="P384" s="87"/>
    </row>
    <row r="385" spans="16:16" ht="15.75" customHeight="1">
      <c r="P385" s="87"/>
    </row>
    <row r="386" spans="16:16" ht="15.75" customHeight="1">
      <c r="P386" s="87"/>
    </row>
    <row r="387" spans="16:16" ht="15.75" customHeight="1">
      <c r="P387" s="87"/>
    </row>
    <row r="388" spans="16:16" ht="15.75" customHeight="1">
      <c r="P388" s="87"/>
    </row>
    <row r="389" spans="16:16" ht="15.75" customHeight="1">
      <c r="P389" s="87"/>
    </row>
    <row r="390" spans="16:16" ht="15.75" customHeight="1">
      <c r="P390" s="87"/>
    </row>
    <row r="391" spans="16:16" ht="15.75" customHeight="1">
      <c r="P391" s="87"/>
    </row>
    <row r="392" spans="16:16" ht="15.75" customHeight="1">
      <c r="P392" s="87"/>
    </row>
    <row r="393" spans="16:16" ht="15.75" customHeight="1">
      <c r="P393" s="87"/>
    </row>
    <row r="394" spans="16:16" ht="15.75" customHeight="1">
      <c r="P394" s="87"/>
    </row>
    <row r="395" spans="16:16" ht="15.75" customHeight="1">
      <c r="P395" s="87"/>
    </row>
    <row r="396" spans="16:16" ht="15.75" customHeight="1">
      <c r="P396" s="87"/>
    </row>
    <row r="397" spans="16:16" ht="15.75" customHeight="1">
      <c r="P397" s="87"/>
    </row>
    <row r="398" spans="16:16" ht="15.75" customHeight="1">
      <c r="P398" s="87"/>
    </row>
    <row r="399" spans="16:16" ht="15.75" customHeight="1">
      <c r="P399" s="87"/>
    </row>
    <row r="400" spans="16:16" ht="15.75" customHeight="1">
      <c r="P400" s="87"/>
    </row>
    <row r="401" spans="16:16" ht="15.75" customHeight="1">
      <c r="P401" s="87"/>
    </row>
    <row r="402" spans="16:16" ht="15.75" customHeight="1">
      <c r="P402" s="87"/>
    </row>
    <row r="403" spans="16:16" ht="15.75" customHeight="1">
      <c r="P403" s="87"/>
    </row>
    <row r="404" spans="16:16" ht="15.75" customHeight="1">
      <c r="P404" s="87"/>
    </row>
    <row r="405" spans="16:16" ht="15.75" customHeight="1">
      <c r="P405" s="87"/>
    </row>
    <row r="406" spans="16:16" ht="15.75" customHeight="1">
      <c r="P406" s="87"/>
    </row>
    <row r="407" spans="16:16" ht="15.75" customHeight="1">
      <c r="P407" s="87"/>
    </row>
    <row r="408" spans="16:16" ht="15.75" customHeight="1">
      <c r="P408" s="87"/>
    </row>
    <row r="409" spans="16:16" ht="15.75" customHeight="1">
      <c r="P409" s="87"/>
    </row>
    <row r="410" spans="16:16" ht="15.75" customHeight="1">
      <c r="P410" s="87"/>
    </row>
    <row r="411" spans="16:16" ht="15.75" customHeight="1">
      <c r="P411" s="87"/>
    </row>
    <row r="412" spans="16:16" ht="15.75" customHeight="1">
      <c r="P412" s="87"/>
    </row>
    <row r="413" spans="16:16" ht="15.75" customHeight="1">
      <c r="P413" s="87"/>
    </row>
    <row r="414" spans="16:16" ht="15.75" customHeight="1">
      <c r="P414" s="87"/>
    </row>
    <row r="415" spans="16:16" ht="15.75" customHeight="1">
      <c r="P415" s="87"/>
    </row>
    <row r="416" spans="16:16" ht="15.75" customHeight="1">
      <c r="P416" s="87"/>
    </row>
    <row r="417" spans="16:16" ht="15.75" customHeight="1">
      <c r="P417" s="87"/>
    </row>
    <row r="418" spans="16:16" ht="15.75" customHeight="1">
      <c r="P418" s="87"/>
    </row>
    <row r="419" spans="16:16" ht="15.75" customHeight="1">
      <c r="P419" s="87"/>
    </row>
    <row r="420" spans="16:16" ht="15.75" customHeight="1">
      <c r="P420" s="87"/>
    </row>
    <row r="421" spans="16:16" ht="15.75" customHeight="1">
      <c r="P421" s="87"/>
    </row>
    <row r="422" spans="16:16" ht="15.75" customHeight="1">
      <c r="P422" s="87"/>
    </row>
    <row r="423" spans="16:16" ht="15.75" customHeight="1">
      <c r="P423" s="87"/>
    </row>
    <row r="424" spans="16:16" ht="15.75" customHeight="1">
      <c r="P424" s="87"/>
    </row>
    <row r="425" spans="16:16" ht="15.75" customHeight="1">
      <c r="P425" s="87"/>
    </row>
    <row r="426" spans="16:16" ht="15.75" customHeight="1">
      <c r="P426" s="87"/>
    </row>
    <row r="427" spans="16:16" ht="15.75" customHeight="1">
      <c r="P427" s="87"/>
    </row>
    <row r="428" spans="16:16" ht="15.75" customHeight="1">
      <c r="P428" s="87"/>
    </row>
    <row r="429" spans="16:16" ht="15.75" customHeight="1">
      <c r="P429" s="87"/>
    </row>
    <row r="430" spans="16:16" ht="15.75" customHeight="1">
      <c r="P430" s="87"/>
    </row>
    <row r="431" spans="16:16" ht="15.75" customHeight="1">
      <c r="P431" s="87"/>
    </row>
    <row r="432" spans="16:16" ht="15.75" customHeight="1">
      <c r="P432" s="87"/>
    </row>
    <row r="433" spans="16:16" ht="15.75" customHeight="1">
      <c r="P433" s="87"/>
    </row>
    <row r="434" spans="16:16" ht="15.75" customHeight="1">
      <c r="P434" s="87"/>
    </row>
    <row r="435" spans="16:16" ht="15.75" customHeight="1">
      <c r="P435" s="87"/>
    </row>
    <row r="436" spans="16:16" ht="15.75" customHeight="1">
      <c r="P436" s="87"/>
    </row>
    <row r="437" spans="16:16" ht="15.75" customHeight="1">
      <c r="P437" s="87"/>
    </row>
    <row r="438" spans="16:16" ht="15.75" customHeight="1">
      <c r="P438" s="87"/>
    </row>
    <row r="439" spans="16:16" ht="15.75" customHeight="1">
      <c r="P439" s="87"/>
    </row>
    <row r="440" spans="16:16" ht="15.75" customHeight="1">
      <c r="P440" s="87"/>
    </row>
    <row r="441" spans="16:16" ht="15.75" customHeight="1">
      <c r="P441" s="87"/>
    </row>
    <row r="442" spans="16:16" ht="15.75" customHeight="1">
      <c r="P442" s="87"/>
    </row>
    <row r="443" spans="16:16" ht="15.75" customHeight="1">
      <c r="P443" s="87"/>
    </row>
    <row r="444" spans="16:16" ht="15.75" customHeight="1">
      <c r="P444" s="87"/>
    </row>
    <row r="445" spans="16:16" ht="15.75" customHeight="1">
      <c r="P445" s="87"/>
    </row>
    <row r="446" spans="16:16" ht="15.75" customHeight="1">
      <c r="P446" s="87"/>
    </row>
    <row r="447" spans="16:16" ht="15.75" customHeight="1">
      <c r="P447" s="87"/>
    </row>
    <row r="448" spans="16:16" ht="15.75" customHeight="1">
      <c r="P448" s="87"/>
    </row>
    <row r="449" spans="16:16" ht="15.75" customHeight="1">
      <c r="P449" s="87"/>
    </row>
    <row r="450" spans="16:16" ht="15.75" customHeight="1">
      <c r="P450" s="87"/>
    </row>
    <row r="451" spans="16:16" ht="15.75" customHeight="1">
      <c r="P451" s="87"/>
    </row>
    <row r="452" spans="16:16" ht="15.75" customHeight="1">
      <c r="P452" s="87"/>
    </row>
    <row r="453" spans="16:16" ht="15.75" customHeight="1">
      <c r="P453" s="87"/>
    </row>
    <row r="454" spans="16:16" ht="15.75" customHeight="1">
      <c r="P454" s="87"/>
    </row>
    <row r="455" spans="16:16" ht="15.75" customHeight="1">
      <c r="P455" s="87"/>
    </row>
    <row r="456" spans="16:16" ht="15.75" customHeight="1">
      <c r="P456" s="87"/>
    </row>
    <row r="457" spans="16:16" ht="15.75" customHeight="1">
      <c r="P457" s="87"/>
    </row>
    <row r="458" spans="16:16" ht="15.75" customHeight="1">
      <c r="P458" s="87"/>
    </row>
    <row r="459" spans="16:16" ht="15.75" customHeight="1">
      <c r="P459" s="87"/>
    </row>
    <row r="460" spans="16:16" ht="15.75" customHeight="1">
      <c r="P460" s="87"/>
    </row>
    <row r="461" spans="16:16" ht="15.75" customHeight="1">
      <c r="P461" s="87"/>
    </row>
    <row r="462" spans="16:16" ht="15.75" customHeight="1">
      <c r="P462" s="87"/>
    </row>
    <row r="463" spans="16:16" ht="15.75" customHeight="1">
      <c r="P463" s="87"/>
    </row>
    <row r="464" spans="16:16" ht="15.75" customHeight="1">
      <c r="P464" s="87"/>
    </row>
    <row r="465" spans="16:16" ht="15.75" customHeight="1">
      <c r="P465" s="87"/>
    </row>
    <row r="466" spans="16:16" ht="15.75" customHeight="1">
      <c r="P466" s="87"/>
    </row>
    <row r="467" spans="16:16" ht="15.75" customHeight="1">
      <c r="P467" s="87"/>
    </row>
    <row r="468" spans="16:16" ht="15.75" customHeight="1">
      <c r="P468" s="87"/>
    </row>
    <row r="469" spans="16:16" ht="15.75" customHeight="1">
      <c r="P469" s="87"/>
    </row>
    <row r="470" spans="16:16" ht="15.75" customHeight="1">
      <c r="P470" s="87"/>
    </row>
    <row r="471" spans="16:16" ht="15.75" customHeight="1">
      <c r="P471" s="87"/>
    </row>
    <row r="472" spans="16:16" ht="15.75" customHeight="1">
      <c r="P472" s="87"/>
    </row>
    <row r="473" spans="16:16" ht="15.75" customHeight="1">
      <c r="P473" s="87"/>
    </row>
    <row r="474" spans="16:16" ht="15.75" customHeight="1">
      <c r="P474" s="87"/>
    </row>
    <row r="475" spans="16:16" ht="15.75" customHeight="1">
      <c r="P475" s="87"/>
    </row>
    <row r="476" spans="16:16" ht="15.75" customHeight="1">
      <c r="P476" s="87"/>
    </row>
    <row r="477" spans="16:16" ht="15.75" customHeight="1">
      <c r="P477" s="87"/>
    </row>
    <row r="478" spans="16:16" ht="15.75" customHeight="1">
      <c r="P478" s="87"/>
    </row>
    <row r="479" spans="16:16" ht="15.75" customHeight="1">
      <c r="P479" s="87"/>
    </row>
    <row r="480" spans="16:16" ht="15.75" customHeight="1">
      <c r="P480" s="87"/>
    </row>
    <row r="481" spans="16:16" ht="15.75" customHeight="1">
      <c r="P481" s="87"/>
    </row>
    <row r="482" spans="16:16" ht="15.75" customHeight="1">
      <c r="P482" s="87"/>
    </row>
    <row r="483" spans="16:16" ht="15.75" customHeight="1">
      <c r="P483" s="87"/>
    </row>
    <row r="484" spans="16:16" ht="15.75" customHeight="1">
      <c r="P484" s="87"/>
    </row>
    <row r="485" spans="16:16" ht="15.75" customHeight="1">
      <c r="P485" s="87"/>
    </row>
    <row r="486" spans="16:16" ht="15.75" customHeight="1">
      <c r="P486" s="87"/>
    </row>
    <row r="487" spans="16:16" ht="15.75" customHeight="1">
      <c r="P487" s="87"/>
    </row>
    <row r="488" spans="16:16" ht="15.75" customHeight="1">
      <c r="P488" s="87"/>
    </row>
    <row r="489" spans="16:16" ht="15.75" customHeight="1">
      <c r="P489" s="87"/>
    </row>
    <row r="490" spans="16:16" ht="15.75" customHeight="1">
      <c r="P490" s="87"/>
    </row>
    <row r="491" spans="16:16" ht="15.75" customHeight="1">
      <c r="P491" s="87"/>
    </row>
    <row r="492" spans="16:16" ht="15.75" customHeight="1">
      <c r="P492" s="87"/>
    </row>
    <row r="493" spans="16:16" ht="15.75" customHeight="1">
      <c r="P493" s="87"/>
    </row>
    <row r="494" spans="16:16" ht="15.75" customHeight="1">
      <c r="P494" s="87"/>
    </row>
    <row r="495" spans="16:16" ht="15.75" customHeight="1">
      <c r="P495" s="87"/>
    </row>
    <row r="496" spans="16:16" ht="15.75" customHeight="1">
      <c r="P496" s="87"/>
    </row>
    <row r="497" spans="16:16" ht="15.75" customHeight="1">
      <c r="P497" s="87"/>
    </row>
    <row r="498" spans="16:16" ht="15.75" customHeight="1">
      <c r="P498" s="87"/>
    </row>
    <row r="499" spans="16:16" ht="15.75" customHeight="1">
      <c r="P499" s="87"/>
    </row>
    <row r="500" spans="16:16" ht="15.75" customHeight="1">
      <c r="P500" s="87"/>
    </row>
    <row r="501" spans="16:16" ht="15.75" customHeight="1">
      <c r="P501" s="87"/>
    </row>
    <row r="502" spans="16:16" ht="15.75" customHeight="1">
      <c r="P502" s="87"/>
    </row>
    <row r="503" spans="16:16" ht="15.75" customHeight="1">
      <c r="P503" s="87"/>
    </row>
    <row r="504" spans="16:16" ht="15.75" customHeight="1">
      <c r="P504" s="87"/>
    </row>
    <row r="505" spans="16:16" ht="15.75" customHeight="1">
      <c r="P505" s="87"/>
    </row>
    <row r="506" spans="16:16" ht="15.75" customHeight="1">
      <c r="P506" s="87"/>
    </row>
    <row r="507" spans="16:16" ht="15.75" customHeight="1">
      <c r="P507" s="87"/>
    </row>
    <row r="508" spans="16:16" ht="15.75" customHeight="1">
      <c r="P508" s="87"/>
    </row>
    <row r="509" spans="16:16" ht="15.75" customHeight="1">
      <c r="P509" s="87"/>
    </row>
    <row r="510" spans="16:16" ht="15.75" customHeight="1">
      <c r="P510" s="87"/>
    </row>
    <row r="511" spans="16:16" ht="15.75" customHeight="1">
      <c r="P511" s="87"/>
    </row>
    <row r="512" spans="16:16" ht="15.75" customHeight="1">
      <c r="P512" s="87"/>
    </row>
    <row r="513" spans="16:16" ht="15.75" customHeight="1">
      <c r="P513" s="87"/>
    </row>
    <row r="514" spans="16:16" ht="15.75" customHeight="1">
      <c r="P514" s="87"/>
    </row>
    <row r="515" spans="16:16" ht="15.75" customHeight="1">
      <c r="P515" s="87"/>
    </row>
    <row r="516" spans="16:16" ht="15.75" customHeight="1">
      <c r="P516" s="87"/>
    </row>
    <row r="517" spans="16:16" ht="15.75" customHeight="1">
      <c r="P517" s="87"/>
    </row>
    <row r="518" spans="16:16" ht="15.75" customHeight="1">
      <c r="P518" s="87"/>
    </row>
    <row r="519" spans="16:16" ht="15.75" customHeight="1">
      <c r="P519" s="87"/>
    </row>
    <row r="520" spans="16:16" ht="15.75" customHeight="1">
      <c r="P520" s="87"/>
    </row>
    <row r="521" spans="16:16" ht="15.75" customHeight="1">
      <c r="P521" s="87"/>
    </row>
    <row r="522" spans="16:16" ht="15.75" customHeight="1">
      <c r="P522" s="87"/>
    </row>
    <row r="523" spans="16:16" ht="15.75" customHeight="1">
      <c r="P523" s="87"/>
    </row>
    <row r="524" spans="16:16" ht="15.75" customHeight="1">
      <c r="P524" s="87"/>
    </row>
    <row r="525" spans="16:16" ht="15.75" customHeight="1">
      <c r="P525" s="87"/>
    </row>
    <row r="526" spans="16:16" ht="15.75" customHeight="1">
      <c r="P526" s="87"/>
    </row>
    <row r="527" spans="16:16" ht="15.75" customHeight="1">
      <c r="P527" s="87"/>
    </row>
    <row r="528" spans="16:16" ht="15.75" customHeight="1">
      <c r="P528" s="87"/>
    </row>
    <row r="529" spans="16:16" ht="15.75" customHeight="1">
      <c r="P529" s="87"/>
    </row>
    <row r="530" spans="16:16" ht="15.75" customHeight="1">
      <c r="P530" s="87"/>
    </row>
    <row r="531" spans="16:16" ht="15.75" customHeight="1">
      <c r="P531" s="87"/>
    </row>
    <row r="532" spans="16:16" ht="15.75" customHeight="1">
      <c r="P532" s="87"/>
    </row>
    <row r="533" spans="16:16" ht="15.75" customHeight="1">
      <c r="P533" s="87"/>
    </row>
    <row r="534" spans="16:16" ht="15.75" customHeight="1">
      <c r="P534" s="87"/>
    </row>
    <row r="535" spans="16:16" ht="15.75" customHeight="1">
      <c r="P535" s="87"/>
    </row>
    <row r="536" spans="16:16" ht="15.75" customHeight="1">
      <c r="P536" s="87"/>
    </row>
    <row r="537" spans="16:16" ht="15.75" customHeight="1">
      <c r="P537" s="87"/>
    </row>
    <row r="538" spans="16:16" ht="15.75" customHeight="1">
      <c r="P538" s="87"/>
    </row>
    <row r="539" spans="16:16" ht="15.75" customHeight="1">
      <c r="P539" s="87"/>
    </row>
    <row r="540" spans="16:16" ht="15.75" customHeight="1">
      <c r="P540" s="87"/>
    </row>
    <row r="541" spans="16:16" ht="15.75" customHeight="1">
      <c r="P541" s="87"/>
    </row>
    <row r="542" spans="16:16" ht="15.75" customHeight="1">
      <c r="P542" s="87"/>
    </row>
    <row r="543" spans="16:16" ht="15.75" customHeight="1">
      <c r="P543" s="87"/>
    </row>
    <row r="544" spans="16:16" ht="15.75" customHeight="1">
      <c r="P544" s="87"/>
    </row>
    <row r="545" spans="16:16" ht="15.75" customHeight="1">
      <c r="P545" s="87"/>
    </row>
    <row r="546" spans="16:16" ht="15.75" customHeight="1">
      <c r="P546" s="87"/>
    </row>
    <row r="547" spans="16:16" ht="15.75" customHeight="1">
      <c r="P547" s="87"/>
    </row>
    <row r="548" spans="16:16" ht="15.75" customHeight="1">
      <c r="P548" s="87"/>
    </row>
    <row r="549" spans="16:16" ht="15.75" customHeight="1">
      <c r="P549" s="87"/>
    </row>
    <row r="550" spans="16:16" ht="15.75" customHeight="1">
      <c r="P550" s="87"/>
    </row>
    <row r="551" spans="16:16" ht="15.75" customHeight="1">
      <c r="P551" s="87"/>
    </row>
    <row r="552" spans="16:16" ht="15.75" customHeight="1">
      <c r="P552" s="87"/>
    </row>
    <row r="553" spans="16:16" ht="15.75" customHeight="1">
      <c r="P553" s="87"/>
    </row>
    <row r="554" spans="16:16" ht="15.75" customHeight="1">
      <c r="P554" s="87"/>
    </row>
    <row r="555" spans="16:16" ht="15.75" customHeight="1">
      <c r="P555" s="87"/>
    </row>
    <row r="556" spans="16:16" ht="15.75" customHeight="1">
      <c r="P556" s="87"/>
    </row>
    <row r="557" spans="16:16" ht="15.75" customHeight="1">
      <c r="P557" s="87"/>
    </row>
    <row r="558" spans="16:16" ht="15.75" customHeight="1">
      <c r="P558" s="87"/>
    </row>
    <row r="559" spans="16:16" ht="15.75" customHeight="1">
      <c r="P559" s="87"/>
    </row>
    <row r="560" spans="16:16" ht="15.75" customHeight="1">
      <c r="P560" s="87"/>
    </row>
    <row r="561" spans="16:16" ht="15.75" customHeight="1">
      <c r="P561" s="87"/>
    </row>
    <row r="562" spans="16:16" ht="15.75" customHeight="1">
      <c r="P562" s="87"/>
    </row>
    <row r="563" spans="16:16" ht="15.75" customHeight="1">
      <c r="P563" s="87"/>
    </row>
    <row r="564" spans="16:16" ht="15.75" customHeight="1">
      <c r="P564" s="87"/>
    </row>
    <row r="565" spans="16:16" ht="15.75" customHeight="1">
      <c r="P565" s="87"/>
    </row>
    <row r="566" spans="16:16" ht="15.75" customHeight="1">
      <c r="P566" s="87"/>
    </row>
    <row r="567" spans="16:16" ht="15.75" customHeight="1">
      <c r="P567" s="87"/>
    </row>
    <row r="568" spans="16:16" ht="15.75" customHeight="1">
      <c r="P568" s="87"/>
    </row>
    <row r="569" spans="16:16" ht="15.75" customHeight="1">
      <c r="P569" s="87"/>
    </row>
    <row r="570" spans="16:16" ht="15.75" customHeight="1">
      <c r="P570" s="87"/>
    </row>
    <row r="571" spans="16:16" ht="15.75" customHeight="1">
      <c r="P571" s="87"/>
    </row>
    <row r="572" spans="16:16" ht="15.75" customHeight="1">
      <c r="P572" s="87"/>
    </row>
    <row r="573" spans="16:16" ht="15.75" customHeight="1">
      <c r="P573" s="87"/>
    </row>
    <row r="574" spans="16:16" ht="15.75" customHeight="1">
      <c r="P574" s="87"/>
    </row>
    <row r="575" spans="16:16" ht="15.75" customHeight="1">
      <c r="P575" s="87"/>
    </row>
    <row r="576" spans="16:16" ht="15.75" customHeight="1">
      <c r="P576" s="87"/>
    </row>
    <row r="577" spans="16:16" ht="15.75" customHeight="1">
      <c r="P577" s="87"/>
    </row>
    <row r="578" spans="16:16" ht="15.75" customHeight="1">
      <c r="P578" s="87"/>
    </row>
    <row r="579" spans="16:16" ht="15.75" customHeight="1">
      <c r="P579" s="87"/>
    </row>
    <row r="580" spans="16:16" ht="15.75" customHeight="1">
      <c r="P580" s="87"/>
    </row>
    <row r="581" spans="16:16" ht="15.75" customHeight="1">
      <c r="P581" s="87"/>
    </row>
    <row r="582" spans="16:16" ht="15.75" customHeight="1">
      <c r="P582" s="87"/>
    </row>
    <row r="583" spans="16:16" ht="15.75" customHeight="1">
      <c r="P583" s="87"/>
    </row>
    <row r="584" spans="16:16" ht="15.75" customHeight="1">
      <c r="P584" s="87"/>
    </row>
    <row r="585" spans="16:16" ht="15.75" customHeight="1">
      <c r="P585" s="87"/>
    </row>
    <row r="586" spans="16:16" ht="15.75" customHeight="1">
      <c r="P586" s="87"/>
    </row>
    <row r="587" spans="16:16" ht="15.75" customHeight="1">
      <c r="P587" s="87"/>
    </row>
    <row r="588" spans="16:16" ht="15.75" customHeight="1">
      <c r="P588" s="87"/>
    </row>
    <row r="589" spans="16:16" ht="15.75" customHeight="1">
      <c r="P589" s="87"/>
    </row>
    <row r="590" spans="16:16" ht="15.75" customHeight="1">
      <c r="P590" s="87"/>
    </row>
    <row r="591" spans="16:16" ht="15.75" customHeight="1">
      <c r="P591" s="87"/>
    </row>
    <row r="592" spans="16:16" ht="15.75" customHeight="1">
      <c r="P592" s="87"/>
    </row>
    <row r="593" spans="16:16" ht="15.75" customHeight="1">
      <c r="P593" s="87"/>
    </row>
    <row r="594" spans="16:16" ht="15.75" customHeight="1">
      <c r="P594" s="87"/>
    </row>
    <row r="595" spans="16:16" ht="15.75" customHeight="1">
      <c r="P595" s="87"/>
    </row>
    <row r="596" spans="16:16" ht="15.75" customHeight="1">
      <c r="P596" s="87"/>
    </row>
    <row r="597" spans="16:16" ht="15.75" customHeight="1">
      <c r="P597" s="87"/>
    </row>
    <row r="598" spans="16:16" ht="15.75" customHeight="1">
      <c r="P598" s="87"/>
    </row>
    <row r="599" spans="16:16" ht="15.75" customHeight="1">
      <c r="P599" s="87"/>
    </row>
    <row r="600" spans="16:16" ht="15.75" customHeight="1">
      <c r="P600" s="87"/>
    </row>
    <row r="601" spans="16:16" ht="15.75" customHeight="1">
      <c r="P601" s="87"/>
    </row>
    <row r="602" spans="16:16" ht="15.75" customHeight="1">
      <c r="P602" s="87"/>
    </row>
    <row r="603" spans="16:16" ht="15.75" customHeight="1">
      <c r="P603" s="87"/>
    </row>
    <row r="604" spans="16:16" ht="15.75" customHeight="1">
      <c r="P604" s="87"/>
    </row>
    <row r="605" spans="16:16" ht="15.75" customHeight="1">
      <c r="P605" s="87"/>
    </row>
    <row r="606" spans="16:16" ht="15.75" customHeight="1">
      <c r="P606" s="87"/>
    </row>
    <row r="607" spans="16:16" ht="15.75" customHeight="1">
      <c r="P607" s="87"/>
    </row>
    <row r="608" spans="16:16" ht="15.75" customHeight="1">
      <c r="P608" s="87"/>
    </row>
    <row r="609" spans="16:16" ht="15.75" customHeight="1">
      <c r="P609" s="87"/>
    </row>
    <row r="610" spans="16:16" ht="15.75" customHeight="1">
      <c r="P610" s="87"/>
    </row>
    <row r="611" spans="16:16" ht="15.75" customHeight="1">
      <c r="P611" s="87"/>
    </row>
    <row r="612" spans="16:16" ht="15.75" customHeight="1">
      <c r="P612" s="87"/>
    </row>
    <row r="613" spans="16:16" ht="15.75" customHeight="1">
      <c r="P613" s="87"/>
    </row>
    <row r="614" spans="16:16" ht="15.75" customHeight="1">
      <c r="P614" s="87"/>
    </row>
    <row r="615" spans="16:16" ht="15.75" customHeight="1">
      <c r="P615" s="87"/>
    </row>
    <row r="616" spans="16:16" ht="15.75" customHeight="1">
      <c r="P616" s="87"/>
    </row>
    <row r="617" spans="16:16" ht="15.75" customHeight="1">
      <c r="P617" s="87"/>
    </row>
    <row r="618" spans="16:16" ht="15.75" customHeight="1">
      <c r="P618" s="87"/>
    </row>
    <row r="619" spans="16:16" ht="15.75" customHeight="1">
      <c r="P619" s="87"/>
    </row>
    <row r="620" spans="16:16" ht="15.75" customHeight="1">
      <c r="P620" s="87"/>
    </row>
    <row r="621" spans="16:16" ht="15.75" customHeight="1">
      <c r="P621" s="87"/>
    </row>
    <row r="622" spans="16:16" ht="15.75" customHeight="1">
      <c r="P622" s="87"/>
    </row>
    <row r="623" spans="16:16" ht="15.75" customHeight="1">
      <c r="P623" s="87"/>
    </row>
    <row r="624" spans="16:16" ht="15.75" customHeight="1">
      <c r="P624" s="87"/>
    </row>
    <row r="625" spans="16:16" ht="15.75" customHeight="1">
      <c r="P625" s="87"/>
    </row>
    <row r="626" spans="16:16" ht="15.75" customHeight="1">
      <c r="P626" s="87"/>
    </row>
    <row r="627" spans="16:16" ht="15.75" customHeight="1">
      <c r="P627" s="87"/>
    </row>
    <row r="628" spans="16:16" ht="15.75" customHeight="1">
      <c r="P628" s="87"/>
    </row>
    <row r="629" spans="16:16" ht="15.75" customHeight="1">
      <c r="P629" s="87"/>
    </row>
    <row r="630" spans="16:16" ht="15.75" customHeight="1">
      <c r="P630" s="87"/>
    </row>
    <row r="631" spans="16:16" ht="15.75" customHeight="1">
      <c r="P631" s="87"/>
    </row>
    <row r="632" spans="16:16" ht="15.75" customHeight="1">
      <c r="P632" s="87"/>
    </row>
    <row r="633" spans="16:16" ht="15.75" customHeight="1">
      <c r="P633" s="87"/>
    </row>
    <row r="634" spans="16:16" ht="15.75" customHeight="1">
      <c r="P634" s="87"/>
    </row>
    <row r="635" spans="16:16" ht="15.75" customHeight="1">
      <c r="P635" s="87"/>
    </row>
    <row r="636" spans="16:16" ht="15.75" customHeight="1">
      <c r="P636" s="87"/>
    </row>
    <row r="637" spans="16:16" ht="15.75" customHeight="1">
      <c r="P637" s="87"/>
    </row>
    <row r="638" spans="16:16" ht="15.75" customHeight="1">
      <c r="P638" s="87"/>
    </row>
    <row r="639" spans="16:16" ht="15.75" customHeight="1">
      <c r="P639" s="87"/>
    </row>
    <row r="640" spans="16:16" ht="15.75" customHeight="1">
      <c r="P640" s="87"/>
    </row>
    <row r="641" spans="16:16" ht="15.75" customHeight="1">
      <c r="P641" s="87"/>
    </row>
    <row r="642" spans="16:16" ht="15.75" customHeight="1">
      <c r="P642" s="87"/>
    </row>
    <row r="643" spans="16:16" ht="15.75" customHeight="1">
      <c r="P643" s="87"/>
    </row>
    <row r="644" spans="16:16" ht="15.75" customHeight="1">
      <c r="P644" s="87"/>
    </row>
    <row r="645" spans="16:16" ht="15.75" customHeight="1">
      <c r="P645" s="87"/>
    </row>
    <row r="646" spans="16:16" ht="15.75" customHeight="1">
      <c r="P646" s="87"/>
    </row>
    <row r="647" spans="16:16" ht="15.75" customHeight="1">
      <c r="P647" s="87"/>
    </row>
    <row r="648" spans="16:16" ht="15.75" customHeight="1">
      <c r="P648" s="87"/>
    </row>
    <row r="649" spans="16:16" ht="15.75" customHeight="1">
      <c r="P649" s="87"/>
    </row>
    <row r="650" spans="16:16" ht="15.75" customHeight="1">
      <c r="P650" s="87"/>
    </row>
    <row r="651" spans="16:16" ht="15.75" customHeight="1">
      <c r="P651" s="87"/>
    </row>
    <row r="652" spans="16:16" ht="15.75" customHeight="1">
      <c r="P652" s="87"/>
    </row>
    <row r="653" spans="16:16" ht="15.75" customHeight="1">
      <c r="P653" s="87"/>
    </row>
    <row r="654" spans="16:16" ht="15.75" customHeight="1">
      <c r="P654" s="87"/>
    </row>
    <row r="655" spans="16:16" ht="15.75" customHeight="1">
      <c r="P655" s="87"/>
    </row>
    <row r="656" spans="16:16" ht="15.75" customHeight="1">
      <c r="P656" s="87"/>
    </row>
    <row r="657" spans="16:16" ht="15.75" customHeight="1">
      <c r="P657" s="87"/>
    </row>
    <row r="658" spans="16:16" ht="15.75" customHeight="1">
      <c r="P658" s="87"/>
    </row>
    <row r="659" spans="16:16" ht="15.75" customHeight="1">
      <c r="P659" s="87"/>
    </row>
    <row r="660" spans="16:16" ht="15.75" customHeight="1">
      <c r="P660" s="87"/>
    </row>
    <row r="661" spans="16:16" ht="15.75" customHeight="1">
      <c r="P661" s="87"/>
    </row>
    <row r="662" spans="16:16" ht="15.75" customHeight="1">
      <c r="P662" s="87"/>
    </row>
    <row r="663" spans="16:16" ht="15.75" customHeight="1">
      <c r="P663" s="87"/>
    </row>
    <row r="664" spans="16:16" ht="15.75" customHeight="1">
      <c r="P664" s="87"/>
    </row>
    <row r="665" spans="16:16" ht="15.75" customHeight="1">
      <c r="P665" s="87"/>
    </row>
    <row r="666" spans="16:16" ht="15.75" customHeight="1">
      <c r="P666" s="87"/>
    </row>
    <row r="667" spans="16:16" ht="15.75" customHeight="1">
      <c r="P667" s="87"/>
    </row>
    <row r="668" spans="16:16" ht="15.75" customHeight="1">
      <c r="P668" s="87"/>
    </row>
    <row r="669" spans="16:16" ht="15.75" customHeight="1">
      <c r="P669" s="87"/>
    </row>
    <row r="670" spans="16:16" ht="15.75" customHeight="1">
      <c r="P670" s="87"/>
    </row>
    <row r="671" spans="16:16" ht="15.75" customHeight="1">
      <c r="P671" s="87"/>
    </row>
    <row r="672" spans="16:16" ht="15.75" customHeight="1">
      <c r="P672" s="87"/>
    </row>
    <row r="673" spans="16:16" ht="15.75" customHeight="1">
      <c r="P673" s="87"/>
    </row>
    <row r="674" spans="16:16" ht="15.75" customHeight="1">
      <c r="P674" s="87"/>
    </row>
    <row r="675" spans="16:16" ht="15.75" customHeight="1">
      <c r="P675" s="87"/>
    </row>
    <row r="676" spans="16:16" ht="15.75" customHeight="1">
      <c r="P676" s="87"/>
    </row>
    <row r="677" spans="16:16" ht="15.75" customHeight="1">
      <c r="P677" s="87"/>
    </row>
    <row r="678" spans="16:16" ht="15.75" customHeight="1">
      <c r="P678" s="87"/>
    </row>
    <row r="679" spans="16:16" ht="15.75" customHeight="1">
      <c r="P679" s="87"/>
    </row>
    <row r="680" spans="16:16" ht="15.75" customHeight="1">
      <c r="P680" s="87"/>
    </row>
    <row r="681" spans="16:16" ht="15.75" customHeight="1">
      <c r="P681" s="87"/>
    </row>
    <row r="682" spans="16:16" ht="15.75" customHeight="1">
      <c r="P682" s="87"/>
    </row>
    <row r="683" spans="16:16" ht="15.75" customHeight="1">
      <c r="P683" s="87"/>
    </row>
    <row r="684" spans="16:16" ht="15.75" customHeight="1">
      <c r="P684" s="87"/>
    </row>
    <row r="685" spans="16:16" ht="15.75" customHeight="1">
      <c r="P685" s="87"/>
    </row>
    <row r="686" spans="16:16" ht="15.75" customHeight="1">
      <c r="P686" s="87"/>
    </row>
    <row r="687" spans="16:16" ht="15.75" customHeight="1">
      <c r="P687" s="87"/>
    </row>
    <row r="688" spans="16:16" ht="15.75" customHeight="1">
      <c r="P688" s="87"/>
    </row>
    <row r="689" spans="16:16" ht="15.75" customHeight="1">
      <c r="P689" s="87"/>
    </row>
    <row r="690" spans="16:16" ht="15.75" customHeight="1">
      <c r="P690" s="87"/>
    </row>
    <row r="691" spans="16:16" ht="15.75" customHeight="1">
      <c r="P691" s="87"/>
    </row>
    <row r="692" spans="16:16" ht="15.75" customHeight="1">
      <c r="P692" s="87"/>
    </row>
    <row r="693" spans="16:16" ht="15.75" customHeight="1">
      <c r="P693" s="87"/>
    </row>
    <row r="694" spans="16:16" ht="15.75" customHeight="1">
      <c r="P694" s="87"/>
    </row>
    <row r="695" spans="16:16" ht="15.75" customHeight="1">
      <c r="P695" s="87"/>
    </row>
    <row r="696" spans="16:16" ht="15.75" customHeight="1">
      <c r="P696" s="87"/>
    </row>
    <row r="697" spans="16:16" ht="15.75" customHeight="1">
      <c r="P697" s="87"/>
    </row>
    <row r="698" spans="16:16" ht="15.75" customHeight="1">
      <c r="P698" s="87"/>
    </row>
    <row r="699" spans="16:16" ht="15.75" customHeight="1">
      <c r="P699" s="87"/>
    </row>
    <row r="700" spans="16:16" ht="15.75" customHeight="1">
      <c r="P700" s="87"/>
    </row>
    <row r="701" spans="16:16" ht="15.75" customHeight="1">
      <c r="P701" s="87"/>
    </row>
    <row r="702" spans="16:16" ht="15.75" customHeight="1">
      <c r="P702" s="87"/>
    </row>
    <row r="703" spans="16:16" ht="15.75" customHeight="1">
      <c r="P703" s="87"/>
    </row>
    <row r="704" spans="16:16" ht="15.75" customHeight="1">
      <c r="P704" s="87"/>
    </row>
    <row r="705" spans="16:16" ht="15.75" customHeight="1">
      <c r="P705" s="87"/>
    </row>
    <row r="706" spans="16:16" ht="15.75" customHeight="1">
      <c r="P706" s="87"/>
    </row>
    <row r="707" spans="16:16" ht="15.75" customHeight="1">
      <c r="P707" s="87"/>
    </row>
    <row r="708" spans="16:16" ht="15.75" customHeight="1">
      <c r="P708" s="87"/>
    </row>
    <row r="709" spans="16:16" ht="15.75" customHeight="1">
      <c r="P709" s="87"/>
    </row>
    <row r="710" spans="16:16" ht="15.75" customHeight="1">
      <c r="P710" s="87"/>
    </row>
    <row r="711" spans="16:16" ht="15.75" customHeight="1">
      <c r="P711" s="87"/>
    </row>
    <row r="712" spans="16:16" ht="15.75" customHeight="1">
      <c r="P712" s="87"/>
    </row>
    <row r="713" spans="16:16" ht="15.75" customHeight="1">
      <c r="P713" s="87"/>
    </row>
    <row r="714" spans="16:16" ht="15.75" customHeight="1">
      <c r="P714" s="87"/>
    </row>
    <row r="715" spans="16:16" ht="15.75" customHeight="1">
      <c r="P715" s="87"/>
    </row>
    <row r="716" spans="16:16" ht="15.75" customHeight="1">
      <c r="P716" s="87"/>
    </row>
    <row r="717" spans="16:16" ht="15.75" customHeight="1">
      <c r="P717" s="87"/>
    </row>
    <row r="718" spans="16:16" ht="15.75" customHeight="1">
      <c r="P718" s="87"/>
    </row>
    <row r="719" spans="16:16" ht="15.75" customHeight="1">
      <c r="P719" s="87"/>
    </row>
    <row r="720" spans="16:16" ht="15.75" customHeight="1">
      <c r="P720" s="87"/>
    </row>
    <row r="721" spans="16:16" ht="15.75" customHeight="1">
      <c r="P721" s="87"/>
    </row>
    <row r="722" spans="16:16" ht="15.75" customHeight="1">
      <c r="P722" s="87"/>
    </row>
    <row r="723" spans="16:16" ht="15.75" customHeight="1">
      <c r="P723" s="87"/>
    </row>
    <row r="724" spans="16:16" ht="15.75" customHeight="1">
      <c r="P724" s="87"/>
    </row>
    <row r="725" spans="16:16" ht="15.75" customHeight="1">
      <c r="P725" s="87"/>
    </row>
    <row r="726" spans="16:16" ht="15.75" customHeight="1">
      <c r="P726" s="87"/>
    </row>
    <row r="727" spans="16:16" ht="15.75" customHeight="1">
      <c r="P727" s="87"/>
    </row>
    <row r="728" spans="16:16" ht="15.75" customHeight="1">
      <c r="P728" s="87"/>
    </row>
    <row r="729" spans="16:16" ht="15.75" customHeight="1">
      <c r="P729" s="87"/>
    </row>
    <row r="730" spans="16:16" ht="15.75" customHeight="1">
      <c r="P730" s="87"/>
    </row>
    <row r="731" spans="16:16" ht="15.75" customHeight="1">
      <c r="P731" s="87"/>
    </row>
    <row r="732" spans="16:16" ht="15.75" customHeight="1">
      <c r="P732" s="87"/>
    </row>
    <row r="733" spans="16:16" ht="15.75" customHeight="1">
      <c r="P733" s="87"/>
    </row>
    <row r="734" spans="16:16" ht="15.75" customHeight="1">
      <c r="P734" s="87"/>
    </row>
    <row r="735" spans="16:16" ht="15.75" customHeight="1">
      <c r="P735" s="87"/>
    </row>
    <row r="736" spans="16:16" ht="15.75" customHeight="1">
      <c r="P736" s="87"/>
    </row>
    <row r="737" spans="16:16" ht="15.75" customHeight="1">
      <c r="P737" s="87"/>
    </row>
    <row r="738" spans="16:16" ht="15.75" customHeight="1">
      <c r="P738" s="87"/>
    </row>
    <row r="739" spans="16:16" ht="15.75" customHeight="1">
      <c r="P739" s="87"/>
    </row>
    <row r="740" spans="16:16" ht="15.75" customHeight="1">
      <c r="P740" s="87"/>
    </row>
    <row r="741" spans="16:16" ht="15.75" customHeight="1">
      <c r="P741" s="87"/>
    </row>
    <row r="742" spans="16:16" ht="15.75" customHeight="1">
      <c r="P742" s="87"/>
    </row>
    <row r="743" spans="16:16" ht="15.75" customHeight="1">
      <c r="P743" s="87"/>
    </row>
    <row r="744" spans="16:16" ht="15.75" customHeight="1">
      <c r="P744" s="87"/>
    </row>
    <row r="745" spans="16:16" ht="15.75" customHeight="1">
      <c r="P745" s="87"/>
    </row>
    <row r="746" spans="16:16" ht="15.75" customHeight="1">
      <c r="P746" s="87"/>
    </row>
    <row r="747" spans="16:16" ht="15.75" customHeight="1">
      <c r="P747" s="87"/>
    </row>
    <row r="748" spans="16:16" ht="15.75" customHeight="1">
      <c r="P748" s="87"/>
    </row>
    <row r="749" spans="16:16" ht="15.75" customHeight="1">
      <c r="P749" s="87"/>
    </row>
    <row r="750" spans="16:16" ht="15.75" customHeight="1">
      <c r="P750" s="87"/>
    </row>
    <row r="751" spans="16:16" ht="15.75" customHeight="1">
      <c r="P751" s="87"/>
    </row>
    <row r="752" spans="16:16" ht="15.75" customHeight="1">
      <c r="P752" s="87"/>
    </row>
    <row r="753" spans="16:16" ht="15.75" customHeight="1">
      <c r="P753" s="87"/>
    </row>
    <row r="754" spans="16:16" ht="15.75" customHeight="1">
      <c r="P754" s="87"/>
    </row>
    <row r="755" spans="16:16" ht="15.75" customHeight="1">
      <c r="P755" s="87"/>
    </row>
    <row r="756" spans="16:16" ht="15.75" customHeight="1">
      <c r="P756" s="87"/>
    </row>
    <row r="757" spans="16:16" ht="15.75" customHeight="1">
      <c r="P757" s="87"/>
    </row>
    <row r="758" spans="16:16" ht="15.75" customHeight="1">
      <c r="P758" s="87"/>
    </row>
    <row r="759" spans="16:16" ht="15.75" customHeight="1">
      <c r="P759" s="87"/>
    </row>
    <row r="760" spans="16:16" ht="15.75" customHeight="1">
      <c r="P760" s="87"/>
    </row>
    <row r="761" spans="16:16" ht="15.75" customHeight="1">
      <c r="P761" s="87"/>
    </row>
    <row r="762" spans="16:16" ht="15.75" customHeight="1">
      <c r="P762" s="87"/>
    </row>
    <row r="763" spans="16:16" ht="15.75" customHeight="1">
      <c r="P763" s="87"/>
    </row>
    <row r="764" spans="16:16" ht="15.75" customHeight="1">
      <c r="P764" s="87"/>
    </row>
    <row r="765" spans="16:16" ht="15.75" customHeight="1">
      <c r="P765" s="87"/>
    </row>
    <row r="766" spans="16:16" ht="15.75" customHeight="1">
      <c r="P766" s="87"/>
    </row>
    <row r="767" spans="16:16" ht="15.75" customHeight="1">
      <c r="P767" s="87"/>
    </row>
    <row r="768" spans="16:16" ht="15.75" customHeight="1">
      <c r="P768" s="87"/>
    </row>
    <row r="769" spans="16:16" ht="15.75" customHeight="1">
      <c r="P769" s="87"/>
    </row>
    <row r="770" spans="16:16" ht="15.75" customHeight="1">
      <c r="P770" s="87"/>
    </row>
    <row r="771" spans="16:16" ht="15.75" customHeight="1">
      <c r="P771" s="87"/>
    </row>
    <row r="772" spans="16:16" ht="15.75" customHeight="1">
      <c r="P772" s="87"/>
    </row>
    <row r="773" spans="16:16" ht="15.75" customHeight="1">
      <c r="P773" s="87"/>
    </row>
    <row r="774" spans="16:16" ht="15.75" customHeight="1">
      <c r="P774" s="87"/>
    </row>
    <row r="775" spans="16:16" ht="15.75" customHeight="1">
      <c r="P775" s="87"/>
    </row>
    <row r="776" spans="16:16" ht="15.75" customHeight="1">
      <c r="P776" s="87"/>
    </row>
    <row r="777" spans="16:16" ht="15.75" customHeight="1">
      <c r="P777" s="87"/>
    </row>
    <row r="778" spans="16:16" ht="15.75" customHeight="1">
      <c r="P778" s="87"/>
    </row>
    <row r="779" spans="16:16" ht="15.75" customHeight="1">
      <c r="P779" s="87"/>
    </row>
    <row r="780" spans="16:16" ht="15.75" customHeight="1">
      <c r="P780" s="87"/>
    </row>
    <row r="781" spans="16:16" ht="15.75" customHeight="1">
      <c r="P781" s="87"/>
    </row>
    <row r="782" spans="16:16" ht="15.75" customHeight="1">
      <c r="P782" s="87"/>
    </row>
    <row r="783" spans="16:16" ht="15.75" customHeight="1">
      <c r="P783" s="87"/>
    </row>
    <row r="784" spans="16:16" ht="15.75" customHeight="1">
      <c r="P784" s="87"/>
    </row>
    <row r="785" spans="16:16" ht="15.75" customHeight="1">
      <c r="P785" s="87"/>
    </row>
    <row r="786" spans="16:16" ht="15.75" customHeight="1">
      <c r="P786" s="87"/>
    </row>
    <row r="787" spans="16:16" ht="15.75" customHeight="1">
      <c r="P787" s="87"/>
    </row>
    <row r="788" spans="16:16" ht="15.75" customHeight="1">
      <c r="P788" s="87"/>
    </row>
    <row r="789" spans="16:16" ht="15.75" customHeight="1">
      <c r="P789" s="87"/>
    </row>
    <row r="790" spans="16:16" ht="15.75" customHeight="1">
      <c r="P790" s="87"/>
    </row>
    <row r="791" spans="16:16" ht="15.75" customHeight="1">
      <c r="P791" s="87"/>
    </row>
    <row r="792" spans="16:16" ht="15.75" customHeight="1">
      <c r="P792" s="87"/>
    </row>
    <row r="793" spans="16:16" ht="15.75" customHeight="1">
      <c r="P793" s="87"/>
    </row>
    <row r="794" spans="16:16" ht="15.75" customHeight="1">
      <c r="P794" s="87"/>
    </row>
    <row r="795" spans="16:16" ht="15.75" customHeight="1">
      <c r="P795" s="87"/>
    </row>
    <row r="796" spans="16:16" ht="15.75" customHeight="1">
      <c r="P796" s="87"/>
    </row>
    <row r="797" spans="16:16" ht="15.75" customHeight="1">
      <c r="P797" s="87"/>
    </row>
    <row r="798" spans="16:16" ht="15.75" customHeight="1">
      <c r="P798" s="87"/>
    </row>
    <row r="799" spans="16:16" ht="15.75" customHeight="1">
      <c r="P799" s="87"/>
    </row>
    <row r="800" spans="16:16" ht="15.75" customHeight="1">
      <c r="P800" s="87"/>
    </row>
    <row r="801" spans="16:16" ht="15.75" customHeight="1">
      <c r="P801" s="87"/>
    </row>
    <row r="802" spans="16:16" ht="15.75" customHeight="1">
      <c r="P802" s="87"/>
    </row>
    <row r="803" spans="16:16" ht="15.75" customHeight="1">
      <c r="P803" s="87"/>
    </row>
    <row r="804" spans="16:16" ht="15.75" customHeight="1">
      <c r="P804" s="87"/>
    </row>
    <row r="805" spans="16:16" ht="15.75" customHeight="1">
      <c r="P805" s="87"/>
    </row>
    <row r="806" spans="16:16" ht="15.75" customHeight="1">
      <c r="P806" s="87"/>
    </row>
    <row r="807" spans="16:16" ht="15.75" customHeight="1">
      <c r="P807" s="87"/>
    </row>
    <row r="808" spans="16:16" ht="15.75" customHeight="1">
      <c r="P808" s="87"/>
    </row>
    <row r="809" spans="16:16" ht="15.75" customHeight="1">
      <c r="P809" s="87"/>
    </row>
    <row r="810" spans="16:16" ht="15.75" customHeight="1">
      <c r="P810" s="87"/>
    </row>
    <row r="811" spans="16:16" ht="15.75" customHeight="1">
      <c r="P811" s="87"/>
    </row>
    <row r="812" spans="16:16" ht="15.75" customHeight="1">
      <c r="P812" s="87"/>
    </row>
    <row r="813" spans="16:16" ht="15.75" customHeight="1">
      <c r="P813" s="87"/>
    </row>
    <row r="814" spans="16:16" ht="15.75" customHeight="1">
      <c r="P814" s="87"/>
    </row>
    <row r="815" spans="16:16" ht="15.75" customHeight="1">
      <c r="P815" s="87"/>
    </row>
    <row r="816" spans="16:16" ht="15.75" customHeight="1">
      <c r="P816" s="87"/>
    </row>
    <row r="817" spans="16:16" ht="15.75" customHeight="1">
      <c r="P817" s="87"/>
    </row>
    <row r="818" spans="16:16" ht="15.75" customHeight="1">
      <c r="P818" s="87"/>
    </row>
    <row r="819" spans="16:16" ht="15.75" customHeight="1">
      <c r="P819" s="87"/>
    </row>
    <row r="820" spans="16:16" ht="15.75" customHeight="1">
      <c r="P820" s="87"/>
    </row>
    <row r="821" spans="16:16" ht="15.75" customHeight="1">
      <c r="P821" s="87"/>
    </row>
    <row r="822" spans="16:16" ht="15.75" customHeight="1">
      <c r="P822" s="87"/>
    </row>
    <row r="823" spans="16:16" ht="15.75" customHeight="1">
      <c r="P823" s="87"/>
    </row>
    <row r="824" spans="16:16" ht="15.75" customHeight="1">
      <c r="P824" s="87"/>
    </row>
    <row r="825" spans="16:16" ht="15.75" customHeight="1">
      <c r="P825" s="87"/>
    </row>
    <row r="826" spans="16:16" ht="15.75" customHeight="1">
      <c r="P826" s="87"/>
    </row>
    <row r="827" spans="16:16" ht="15.75" customHeight="1">
      <c r="P827" s="87"/>
    </row>
    <row r="828" spans="16:16" ht="15.75" customHeight="1">
      <c r="P828" s="87"/>
    </row>
    <row r="829" spans="16:16" ht="15.75" customHeight="1">
      <c r="P829" s="87"/>
    </row>
    <row r="830" spans="16:16" ht="15.75" customHeight="1">
      <c r="P830" s="87"/>
    </row>
    <row r="831" spans="16:16" ht="15.75" customHeight="1">
      <c r="P831" s="87"/>
    </row>
    <row r="832" spans="16:16" ht="15.75" customHeight="1">
      <c r="P832" s="87"/>
    </row>
    <row r="833" spans="16:16" ht="15.75" customHeight="1">
      <c r="P833" s="87"/>
    </row>
    <row r="834" spans="16:16" ht="15.75" customHeight="1">
      <c r="P834" s="87"/>
    </row>
    <row r="835" spans="16:16" ht="15.75" customHeight="1">
      <c r="P835" s="87"/>
    </row>
    <row r="836" spans="16:16" ht="15.75" customHeight="1">
      <c r="P836" s="87"/>
    </row>
    <row r="837" spans="16:16" ht="15.75" customHeight="1">
      <c r="P837" s="87"/>
    </row>
    <row r="838" spans="16:16" ht="15.75" customHeight="1">
      <c r="P838" s="87"/>
    </row>
    <row r="839" spans="16:16" ht="15.75" customHeight="1">
      <c r="P839" s="87"/>
    </row>
    <row r="840" spans="16:16" ht="15.75" customHeight="1">
      <c r="P840" s="87"/>
    </row>
    <row r="841" spans="16:16" ht="15.75" customHeight="1">
      <c r="P841" s="87"/>
    </row>
    <row r="842" spans="16:16" ht="15.75" customHeight="1">
      <c r="P842" s="87"/>
    </row>
    <row r="843" spans="16:16" ht="15.75" customHeight="1">
      <c r="P843" s="87"/>
    </row>
    <row r="844" spans="16:16" ht="15.75" customHeight="1">
      <c r="P844" s="87"/>
    </row>
    <row r="845" spans="16:16" ht="15.75" customHeight="1">
      <c r="P845" s="87"/>
    </row>
    <row r="846" spans="16:16" ht="15.75" customHeight="1">
      <c r="P846" s="87"/>
    </row>
    <row r="847" spans="16:16" ht="15.75" customHeight="1">
      <c r="P847" s="87"/>
    </row>
    <row r="848" spans="16:16" ht="15.75" customHeight="1">
      <c r="P848" s="87"/>
    </row>
    <row r="849" spans="16:16" ht="15.75" customHeight="1">
      <c r="P849" s="87"/>
    </row>
    <row r="850" spans="16:16" ht="15.75" customHeight="1">
      <c r="P850" s="87"/>
    </row>
    <row r="851" spans="16:16" ht="15.75" customHeight="1">
      <c r="P851" s="87"/>
    </row>
    <row r="852" spans="16:16" ht="15.75" customHeight="1">
      <c r="P852" s="87"/>
    </row>
    <row r="853" spans="16:16" ht="15.75" customHeight="1">
      <c r="P853" s="87"/>
    </row>
    <row r="854" spans="16:16" ht="15.75" customHeight="1">
      <c r="P854" s="87"/>
    </row>
    <row r="855" spans="16:16" ht="15.75" customHeight="1">
      <c r="P855" s="87"/>
    </row>
    <row r="856" spans="16:16" ht="15.75" customHeight="1">
      <c r="P856" s="87"/>
    </row>
    <row r="857" spans="16:16" ht="15.75" customHeight="1">
      <c r="P857" s="87"/>
    </row>
    <row r="858" spans="16:16" ht="15.75" customHeight="1">
      <c r="P858" s="87"/>
    </row>
    <row r="859" spans="16:16" ht="15.75" customHeight="1">
      <c r="P859" s="87"/>
    </row>
    <row r="860" spans="16:16" ht="15.75" customHeight="1">
      <c r="P860" s="87"/>
    </row>
    <row r="861" spans="16:16" ht="15.75" customHeight="1">
      <c r="P861" s="87"/>
    </row>
    <row r="862" spans="16:16" ht="15.75" customHeight="1">
      <c r="P862" s="87"/>
    </row>
    <row r="863" spans="16:16" ht="15.75" customHeight="1">
      <c r="P863" s="87"/>
    </row>
    <row r="864" spans="16:16" ht="15.75" customHeight="1">
      <c r="P864" s="87"/>
    </row>
    <row r="865" spans="16:16" ht="15.75" customHeight="1">
      <c r="P865" s="87"/>
    </row>
    <row r="866" spans="16:16" ht="15.75" customHeight="1">
      <c r="P866" s="87"/>
    </row>
    <row r="867" spans="16:16" ht="15.75" customHeight="1">
      <c r="P867" s="87"/>
    </row>
    <row r="868" spans="16:16" ht="15.75" customHeight="1">
      <c r="P868" s="87"/>
    </row>
    <row r="869" spans="16:16" ht="15.75" customHeight="1">
      <c r="P869" s="87"/>
    </row>
    <row r="870" spans="16:16" ht="15.75" customHeight="1">
      <c r="P870" s="87"/>
    </row>
    <row r="871" spans="16:16" ht="15.75" customHeight="1">
      <c r="P871" s="87"/>
    </row>
    <row r="872" spans="16:16" ht="15.75" customHeight="1">
      <c r="P872" s="87"/>
    </row>
    <row r="873" spans="16:16" ht="15.75" customHeight="1">
      <c r="P873" s="87"/>
    </row>
    <row r="874" spans="16:16" ht="15.75" customHeight="1">
      <c r="P874" s="87"/>
    </row>
    <row r="875" spans="16:16" ht="15.75" customHeight="1">
      <c r="P875" s="87"/>
    </row>
    <row r="876" spans="16:16" ht="15.75" customHeight="1">
      <c r="P876" s="87"/>
    </row>
    <row r="877" spans="16:16" ht="15.75" customHeight="1">
      <c r="P877" s="87"/>
    </row>
    <row r="878" spans="16:16" ht="15.75" customHeight="1">
      <c r="P878" s="87"/>
    </row>
    <row r="879" spans="16:16" ht="15.75" customHeight="1">
      <c r="P879" s="87"/>
    </row>
    <row r="880" spans="16:16" ht="15.75" customHeight="1">
      <c r="P880" s="87"/>
    </row>
    <row r="881" spans="16:16" ht="15.75" customHeight="1">
      <c r="P881" s="87"/>
    </row>
    <row r="882" spans="16:16" ht="15.75" customHeight="1">
      <c r="P882" s="87"/>
    </row>
    <row r="883" spans="16:16" ht="15.75" customHeight="1">
      <c r="P883" s="87"/>
    </row>
    <row r="884" spans="16:16" ht="15.75" customHeight="1">
      <c r="P884" s="87"/>
    </row>
    <row r="885" spans="16:16" ht="15.75" customHeight="1">
      <c r="P885" s="87"/>
    </row>
    <row r="886" spans="16:16" ht="15.75" customHeight="1">
      <c r="P886" s="87"/>
    </row>
    <row r="887" spans="16:16" ht="15.75" customHeight="1">
      <c r="P887" s="87"/>
    </row>
    <row r="888" spans="16:16" ht="15.75" customHeight="1">
      <c r="P888" s="87"/>
    </row>
    <row r="889" spans="16:16" ht="15.75" customHeight="1">
      <c r="P889" s="87"/>
    </row>
    <row r="890" spans="16:16" ht="15.75" customHeight="1">
      <c r="P890" s="87"/>
    </row>
    <row r="891" spans="16:16" ht="15.75" customHeight="1">
      <c r="P891" s="87"/>
    </row>
    <row r="892" spans="16:16" ht="15.75" customHeight="1">
      <c r="P892" s="87"/>
    </row>
    <row r="893" spans="16:16" ht="15.75" customHeight="1">
      <c r="P893" s="87"/>
    </row>
    <row r="894" spans="16:16" ht="15.75" customHeight="1">
      <c r="P894" s="87"/>
    </row>
    <row r="895" spans="16:16" ht="15.75" customHeight="1">
      <c r="P895" s="87"/>
    </row>
    <row r="896" spans="16:16" ht="15.75" customHeight="1">
      <c r="P896" s="87"/>
    </row>
    <row r="897" spans="16:16" ht="15.75" customHeight="1">
      <c r="P897" s="87"/>
    </row>
    <row r="898" spans="16:16" ht="15.75" customHeight="1">
      <c r="P898" s="87"/>
    </row>
    <row r="899" spans="16:16" ht="15.75" customHeight="1">
      <c r="P899" s="87"/>
    </row>
    <row r="900" spans="16:16" ht="15.75" customHeight="1">
      <c r="P900" s="87"/>
    </row>
    <row r="901" spans="16:16" ht="15.75" customHeight="1">
      <c r="P901" s="87"/>
    </row>
    <row r="902" spans="16:16" ht="15.75" customHeight="1">
      <c r="P902" s="87"/>
    </row>
    <row r="903" spans="16:16" ht="15.75" customHeight="1">
      <c r="P903" s="87"/>
    </row>
    <row r="904" spans="16:16" ht="15.75" customHeight="1">
      <c r="P904" s="87"/>
    </row>
    <row r="905" spans="16:16" ht="15.75" customHeight="1">
      <c r="P905" s="87"/>
    </row>
    <row r="906" spans="16:16" ht="15.75" customHeight="1">
      <c r="P906" s="87"/>
    </row>
    <row r="907" spans="16:16" ht="15.75" customHeight="1">
      <c r="P907" s="87"/>
    </row>
    <row r="908" spans="16:16" ht="15.75" customHeight="1">
      <c r="P908" s="87"/>
    </row>
    <row r="909" spans="16:16" ht="15.75" customHeight="1">
      <c r="P909" s="87"/>
    </row>
    <row r="910" spans="16:16" ht="15.75" customHeight="1">
      <c r="P910" s="87"/>
    </row>
    <row r="911" spans="16:16" ht="15.75" customHeight="1">
      <c r="P911" s="87"/>
    </row>
    <row r="912" spans="16:16" ht="15.75" customHeight="1">
      <c r="P912" s="87"/>
    </row>
    <row r="913" spans="16:16" ht="15.75" customHeight="1">
      <c r="P913" s="87"/>
    </row>
    <row r="914" spans="16:16" ht="15.75" customHeight="1">
      <c r="P914" s="87"/>
    </row>
    <row r="915" spans="16:16" ht="15.75" customHeight="1">
      <c r="P915" s="87"/>
    </row>
    <row r="916" spans="16:16" ht="15.75" customHeight="1">
      <c r="P916" s="87"/>
    </row>
    <row r="917" spans="16:16" ht="15.75" customHeight="1">
      <c r="P917" s="87"/>
    </row>
    <row r="918" spans="16:16" ht="15.75" customHeight="1">
      <c r="P918" s="87"/>
    </row>
    <row r="919" spans="16:16" ht="15.75" customHeight="1">
      <c r="P919" s="87"/>
    </row>
    <row r="920" spans="16:16" ht="15.75" customHeight="1">
      <c r="P920" s="87"/>
    </row>
    <row r="921" spans="16:16" ht="15.75" customHeight="1">
      <c r="P921" s="87"/>
    </row>
    <row r="922" spans="16:16" ht="15.75" customHeight="1">
      <c r="P922" s="87"/>
    </row>
    <row r="923" spans="16:16" ht="15.75" customHeight="1">
      <c r="P923" s="87"/>
    </row>
    <row r="924" spans="16:16" ht="15.75" customHeight="1">
      <c r="P924" s="87"/>
    </row>
    <row r="925" spans="16:16" ht="15.75" customHeight="1">
      <c r="P925" s="87"/>
    </row>
    <row r="926" spans="16:16" ht="15.75" customHeight="1">
      <c r="P926" s="87"/>
    </row>
    <row r="927" spans="16:16" ht="15.75" customHeight="1">
      <c r="P927" s="87"/>
    </row>
    <row r="928" spans="16:16" ht="15.75" customHeight="1">
      <c r="P928" s="87"/>
    </row>
    <row r="929" spans="16:16" ht="15.75" customHeight="1">
      <c r="P929" s="87"/>
    </row>
    <row r="930" spans="16:16" ht="15.75" customHeight="1">
      <c r="P930" s="87"/>
    </row>
    <row r="931" spans="16:16" ht="15.75" customHeight="1">
      <c r="P931" s="87"/>
    </row>
    <row r="932" spans="16:16" ht="15.75" customHeight="1">
      <c r="P932" s="87"/>
    </row>
    <row r="933" spans="16:16" ht="15.75" customHeight="1">
      <c r="P933" s="87"/>
    </row>
    <row r="934" spans="16:16" ht="15.75" customHeight="1">
      <c r="P934" s="87"/>
    </row>
    <row r="935" spans="16:16" ht="15.75" customHeight="1">
      <c r="P935" s="87"/>
    </row>
    <row r="936" spans="16:16" ht="15.75" customHeight="1">
      <c r="P936" s="87"/>
    </row>
    <row r="937" spans="16:16" ht="15.75" customHeight="1">
      <c r="P937" s="87"/>
    </row>
    <row r="938" spans="16:16" ht="15.75" customHeight="1">
      <c r="P938" s="87"/>
    </row>
    <row r="939" spans="16:16" ht="15.75" customHeight="1">
      <c r="P939" s="87"/>
    </row>
    <row r="940" spans="16:16" ht="15.75" customHeight="1">
      <c r="P940" s="87"/>
    </row>
    <row r="941" spans="16:16" ht="15.75" customHeight="1">
      <c r="P941" s="87"/>
    </row>
    <row r="942" spans="16:16" ht="15.75" customHeight="1">
      <c r="P942" s="87"/>
    </row>
    <row r="943" spans="16:16" ht="15.75" customHeight="1">
      <c r="P943" s="87"/>
    </row>
    <row r="944" spans="16:16" ht="15.75" customHeight="1">
      <c r="P944" s="87"/>
    </row>
    <row r="945" spans="16:16" ht="15.75" customHeight="1">
      <c r="P945" s="87"/>
    </row>
    <row r="946" spans="16:16" ht="15.75" customHeight="1">
      <c r="P946" s="87"/>
    </row>
    <row r="947" spans="16:16" ht="15.75" customHeight="1">
      <c r="P947" s="87"/>
    </row>
    <row r="948" spans="16:16" ht="15.75" customHeight="1">
      <c r="P948" s="87"/>
    </row>
    <row r="949" spans="16:16" ht="15.75" customHeight="1">
      <c r="P949" s="87"/>
    </row>
    <row r="950" spans="16:16" ht="15.75" customHeight="1">
      <c r="P950" s="87"/>
    </row>
    <row r="951" spans="16:16" ht="15.75" customHeight="1">
      <c r="P951" s="87"/>
    </row>
    <row r="952" spans="16:16" ht="15.75" customHeight="1">
      <c r="P952" s="87"/>
    </row>
    <row r="953" spans="16:16" ht="15.75" customHeight="1">
      <c r="P953" s="87"/>
    </row>
    <row r="954" spans="16:16" ht="15.75" customHeight="1">
      <c r="P954" s="87"/>
    </row>
    <row r="955" spans="16:16" ht="15.75" customHeight="1">
      <c r="P955" s="87"/>
    </row>
    <row r="956" spans="16:16" ht="15.75" customHeight="1">
      <c r="P956" s="87"/>
    </row>
    <row r="957" spans="16:16" ht="15.75" customHeight="1">
      <c r="P957" s="87"/>
    </row>
    <row r="958" spans="16:16" ht="15.75" customHeight="1">
      <c r="P958" s="87"/>
    </row>
    <row r="959" spans="16:16" ht="15.75" customHeight="1">
      <c r="P959" s="87"/>
    </row>
    <row r="960" spans="16:16" ht="15.75" customHeight="1">
      <c r="P960" s="87"/>
    </row>
    <row r="961" spans="16:16" ht="15.75" customHeight="1">
      <c r="P961" s="87"/>
    </row>
    <row r="962" spans="16:16" ht="15.75" customHeight="1">
      <c r="P962" s="87"/>
    </row>
    <row r="963" spans="16:16" ht="15.75" customHeight="1">
      <c r="P963" s="87"/>
    </row>
    <row r="964" spans="16:16" ht="15.75" customHeight="1">
      <c r="P964" s="87"/>
    </row>
    <row r="965" spans="16:16" ht="15.75" customHeight="1">
      <c r="P965" s="87"/>
    </row>
    <row r="966" spans="16:16" ht="15.75" customHeight="1">
      <c r="P966" s="87"/>
    </row>
    <row r="967" spans="16:16" ht="15.75" customHeight="1">
      <c r="P967" s="87"/>
    </row>
    <row r="968" spans="16:16" ht="15.75" customHeight="1">
      <c r="P968" s="87"/>
    </row>
    <row r="969" spans="16:16" ht="15.75" customHeight="1">
      <c r="P969" s="87"/>
    </row>
    <row r="970" spans="16:16" ht="15.75" customHeight="1">
      <c r="P970" s="87"/>
    </row>
    <row r="971" spans="16:16" ht="15.75" customHeight="1">
      <c r="P971" s="87"/>
    </row>
    <row r="972" spans="16:16" ht="15.75" customHeight="1">
      <c r="P972" s="87"/>
    </row>
    <row r="973" spans="16:16" ht="15.75" customHeight="1">
      <c r="P973" s="87"/>
    </row>
    <row r="974" spans="16:16" ht="15.75" customHeight="1">
      <c r="P974" s="87"/>
    </row>
    <row r="975" spans="16:16" ht="15.75" customHeight="1">
      <c r="P975" s="87"/>
    </row>
    <row r="976" spans="16:16" ht="15.75" customHeight="1">
      <c r="P976" s="87"/>
    </row>
    <row r="977" spans="16:16" ht="15.75" customHeight="1">
      <c r="P977" s="87"/>
    </row>
    <row r="978" spans="16:16" ht="15.75" customHeight="1">
      <c r="P978" s="87"/>
    </row>
    <row r="979" spans="16:16" ht="15.75" customHeight="1">
      <c r="P979" s="87"/>
    </row>
    <row r="980" spans="16:16" ht="15.75" customHeight="1">
      <c r="P980" s="87"/>
    </row>
    <row r="981" spans="16:16" ht="15.75" customHeight="1">
      <c r="P981" s="87"/>
    </row>
    <row r="982" spans="16:16" ht="15.75" customHeight="1">
      <c r="P982" s="87"/>
    </row>
    <row r="983" spans="16:16" ht="15.75" customHeight="1">
      <c r="P983" s="87"/>
    </row>
    <row r="984" spans="16:16" ht="15.75" customHeight="1">
      <c r="P984" s="87"/>
    </row>
    <row r="985" spans="16:16" ht="15.75" customHeight="1">
      <c r="P985" s="87"/>
    </row>
    <row r="986" spans="16:16" ht="15.75" customHeight="1">
      <c r="P986" s="87"/>
    </row>
    <row r="987" spans="16:16" ht="15.75" customHeight="1">
      <c r="P987" s="87"/>
    </row>
    <row r="988" spans="16:16" ht="15.75" customHeight="1">
      <c r="P988" s="87"/>
    </row>
    <row r="989" spans="16:16" ht="15.75" customHeight="1">
      <c r="P989" s="87"/>
    </row>
    <row r="990" spans="16:16" ht="15.75" customHeight="1">
      <c r="P990" s="87"/>
    </row>
    <row r="991" spans="16:16" ht="15.75" customHeight="1">
      <c r="P991" s="87"/>
    </row>
    <row r="992" spans="16:16" ht="15.75" customHeight="1">
      <c r="P992" s="87"/>
    </row>
    <row r="993" spans="16:16" ht="15.75" customHeight="1">
      <c r="P993" s="87"/>
    </row>
    <row r="994" spans="16:16" ht="15.75" customHeight="1">
      <c r="P994" s="87"/>
    </row>
    <row r="995" spans="16:16" ht="15.75" customHeight="1">
      <c r="P995" s="87"/>
    </row>
    <row r="996" spans="16:16" ht="15.75" customHeight="1">
      <c r="P996" s="87"/>
    </row>
    <row r="997" spans="16:16" ht="15.75" customHeight="1">
      <c r="P997" s="87"/>
    </row>
    <row r="998" spans="16:16" ht="15.75" customHeight="1">
      <c r="P998" s="87"/>
    </row>
    <row r="999" spans="16:16" ht="15.75" customHeight="1">
      <c r="P999" s="87"/>
    </row>
    <row r="1000" spans="16:16" ht="15.75" customHeight="1">
      <c r="P1000" s="87"/>
    </row>
  </sheetData>
  <autoFilter ref="A1:U74" xr:uid="{00000000-0009-0000-0000-000005000000}"/>
  <hyperlinks>
    <hyperlink ref="R8" r:id="rId1" xr:uid="{00000000-0004-0000-0500-000000000000}"/>
    <hyperlink ref="R15" r:id="rId2" xr:uid="{00000000-0004-0000-0500-000001000000}"/>
    <hyperlink ref="R28" r:id="rId3" xr:uid="{00000000-0004-0000-0500-000002000000}"/>
  </hyperlinks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Z1000"/>
  <sheetViews>
    <sheetView workbookViewId="0"/>
  </sheetViews>
  <sheetFormatPr defaultColWidth="14.44140625" defaultRowHeight="15" customHeight="1"/>
  <cols>
    <col min="1" max="1" width="9.44140625" customWidth="1"/>
    <col min="2" max="2" width="13.33203125" customWidth="1"/>
    <col min="3" max="3" width="14" customWidth="1"/>
    <col min="4" max="4" width="6.6640625" customWidth="1"/>
    <col min="5" max="5" width="6.5546875" customWidth="1"/>
    <col min="6" max="7" width="6" customWidth="1"/>
    <col min="8" max="8" width="5.88671875" customWidth="1"/>
    <col min="9" max="10" width="5.33203125" customWidth="1"/>
    <col min="11" max="11" width="12.88671875" customWidth="1"/>
    <col min="12" max="12" width="13.33203125" customWidth="1"/>
    <col min="13" max="13" width="15.6640625" customWidth="1"/>
    <col min="14" max="14" width="29" customWidth="1"/>
    <col min="15" max="15" width="31.6640625" customWidth="1"/>
    <col min="16" max="16" width="24.109375" customWidth="1"/>
    <col min="17" max="17" width="15.33203125" customWidth="1"/>
    <col min="18" max="18" width="18.44140625" customWidth="1"/>
    <col min="19" max="19" width="30.6640625" customWidth="1"/>
    <col min="20" max="20" width="16.109375" customWidth="1"/>
    <col min="21" max="26" width="8.6640625" customWidth="1"/>
  </cols>
  <sheetData>
    <row r="1" spans="1:22" ht="14.4">
      <c r="A1" s="1" t="s">
        <v>0</v>
      </c>
      <c r="B1" s="2" t="s">
        <v>1</v>
      </c>
      <c r="C1" s="2" t="s">
        <v>2</v>
      </c>
      <c r="D1" s="1">
        <v>2010</v>
      </c>
      <c r="E1" s="1">
        <v>2011</v>
      </c>
      <c r="F1" s="1">
        <v>2012</v>
      </c>
      <c r="G1" s="1">
        <v>2013</v>
      </c>
      <c r="H1" s="1">
        <v>2014</v>
      </c>
      <c r="I1" s="1">
        <v>2015</v>
      </c>
      <c r="J1" s="1">
        <v>2016</v>
      </c>
      <c r="K1" s="116" t="s">
        <v>3</v>
      </c>
      <c r="L1" s="116" t="s">
        <v>199</v>
      </c>
      <c r="M1" s="116" t="s">
        <v>573</v>
      </c>
      <c r="N1" s="85" t="s">
        <v>5</v>
      </c>
      <c r="O1" s="1" t="s">
        <v>6</v>
      </c>
      <c r="P1" s="1" t="s">
        <v>574</v>
      </c>
      <c r="Q1" s="1" t="s">
        <v>7</v>
      </c>
      <c r="R1" s="1" t="s">
        <v>8</v>
      </c>
      <c r="S1" s="1" t="s">
        <v>9</v>
      </c>
      <c r="T1" s="1" t="s">
        <v>10</v>
      </c>
      <c r="U1" s="85" t="s">
        <v>11</v>
      </c>
      <c r="V1" s="117" t="s">
        <v>12</v>
      </c>
    </row>
    <row r="2" spans="1:22" ht="14.4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0">
        <v>120</v>
      </c>
      <c r="G2" s="10">
        <v>50</v>
      </c>
      <c r="H2" s="10">
        <v>50</v>
      </c>
      <c r="I2" s="10">
        <v>50</v>
      </c>
      <c r="J2" s="10">
        <v>50</v>
      </c>
      <c r="K2" s="11">
        <v>40316</v>
      </c>
      <c r="L2" s="11">
        <v>40229</v>
      </c>
      <c r="M2" s="11">
        <v>42627</v>
      </c>
      <c r="N2" s="9" t="s">
        <v>575</v>
      </c>
      <c r="O2" s="12" t="s">
        <v>16</v>
      </c>
      <c r="P2" s="12" t="s">
        <v>17</v>
      </c>
      <c r="Q2" s="10">
        <v>502534510</v>
      </c>
      <c r="R2" s="10" t="s">
        <v>18</v>
      </c>
      <c r="S2" s="43" t="s">
        <v>19</v>
      </c>
      <c r="T2" s="10" t="s">
        <v>20</v>
      </c>
      <c r="U2" s="45">
        <v>2</v>
      </c>
      <c r="V2" s="40" t="s">
        <v>200</v>
      </c>
    </row>
    <row r="3" spans="1:22" ht="14.4">
      <c r="A3" s="8">
        <v>2</v>
      </c>
      <c r="B3" s="23" t="s">
        <v>21</v>
      </c>
      <c r="C3" s="23" t="s">
        <v>22</v>
      </c>
      <c r="D3" s="136">
        <v>120</v>
      </c>
      <c r="E3" s="136">
        <v>120</v>
      </c>
      <c r="F3" s="136">
        <v>120</v>
      </c>
      <c r="G3" s="136">
        <v>50</v>
      </c>
      <c r="H3" s="136">
        <v>50</v>
      </c>
      <c r="I3" s="136">
        <v>50</v>
      </c>
      <c r="J3" s="136">
        <v>50</v>
      </c>
      <c r="K3" s="137">
        <v>40316</v>
      </c>
      <c r="L3" s="137">
        <v>40229</v>
      </c>
      <c r="M3" s="137">
        <v>42418</v>
      </c>
      <c r="N3" s="9" t="s">
        <v>590</v>
      </c>
      <c r="O3" s="27" t="s">
        <v>24</v>
      </c>
      <c r="P3" s="27" t="s">
        <v>25</v>
      </c>
      <c r="Q3" s="25">
        <v>605230859</v>
      </c>
      <c r="R3" s="25" t="s">
        <v>26</v>
      </c>
      <c r="S3" s="138" t="s">
        <v>27</v>
      </c>
      <c r="T3" s="136" t="s">
        <v>28</v>
      </c>
      <c r="U3" s="139">
        <v>3</v>
      </c>
      <c r="V3" s="140" t="s">
        <v>200</v>
      </c>
    </row>
    <row r="4" spans="1:22" ht="14.4">
      <c r="A4" s="8">
        <v>3</v>
      </c>
      <c r="B4" s="9" t="s">
        <v>576</v>
      </c>
      <c r="C4" s="9" t="s">
        <v>29</v>
      </c>
      <c r="D4" s="10">
        <v>120</v>
      </c>
      <c r="E4" s="10">
        <v>120</v>
      </c>
      <c r="F4" s="10">
        <v>120</v>
      </c>
      <c r="G4" s="10">
        <v>100</v>
      </c>
      <c r="H4" s="10">
        <v>50</v>
      </c>
      <c r="I4" s="10">
        <v>100</v>
      </c>
      <c r="J4" s="10">
        <v>50</v>
      </c>
      <c r="K4" s="11">
        <v>40316</v>
      </c>
      <c r="L4" s="11">
        <v>40229</v>
      </c>
      <c r="M4" s="11">
        <v>42488</v>
      </c>
      <c r="N4" s="9" t="s">
        <v>575</v>
      </c>
      <c r="O4" s="12" t="s">
        <v>30</v>
      </c>
      <c r="P4" s="12" t="s">
        <v>31</v>
      </c>
      <c r="Q4" s="10">
        <v>791300469</v>
      </c>
      <c r="R4" s="10" t="s">
        <v>32</v>
      </c>
      <c r="S4" s="43" t="s">
        <v>33</v>
      </c>
      <c r="T4" s="10" t="s">
        <v>34</v>
      </c>
      <c r="U4" s="45">
        <v>25</v>
      </c>
      <c r="V4" s="40" t="s">
        <v>200</v>
      </c>
    </row>
    <row r="5" spans="1:22" ht="14.4">
      <c r="A5" s="8">
        <v>4</v>
      </c>
      <c r="B5" s="9" t="s">
        <v>35</v>
      </c>
      <c r="C5" s="9" t="s">
        <v>36</v>
      </c>
      <c r="D5" s="10">
        <v>120</v>
      </c>
      <c r="E5" s="10">
        <v>120</v>
      </c>
      <c r="F5" s="10">
        <v>120</v>
      </c>
      <c r="G5" s="10">
        <v>50</v>
      </c>
      <c r="H5" s="10">
        <v>100</v>
      </c>
      <c r="I5" s="10">
        <v>50</v>
      </c>
      <c r="J5" s="40">
        <v>50</v>
      </c>
      <c r="K5" s="11">
        <v>40316</v>
      </c>
      <c r="L5" s="11">
        <v>40229</v>
      </c>
      <c r="M5" s="11">
        <v>42725</v>
      </c>
      <c r="N5" s="9" t="s">
        <v>347</v>
      </c>
      <c r="O5" s="12" t="s">
        <v>37</v>
      </c>
      <c r="P5" s="12" t="s">
        <v>38</v>
      </c>
      <c r="Q5" s="10">
        <v>608666164</v>
      </c>
      <c r="R5" s="10" t="s">
        <v>39</v>
      </c>
      <c r="S5" s="141" t="s">
        <v>577</v>
      </c>
      <c r="T5" s="10" t="s">
        <v>41</v>
      </c>
      <c r="U5" s="45">
        <v>4</v>
      </c>
      <c r="V5" s="40" t="s">
        <v>200</v>
      </c>
    </row>
    <row r="6" spans="1:22" ht="14.4">
      <c r="A6" s="8">
        <v>5</v>
      </c>
      <c r="B6" s="9" t="s">
        <v>42</v>
      </c>
      <c r="C6" s="9" t="s">
        <v>36</v>
      </c>
      <c r="D6" s="10">
        <v>120</v>
      </c>
      <c r="E6" s="10">
        <v>120</v>
      </c>
      <c r="F6" s="10">
        <v>120</v>
      </c>
      <c r="G6" s="10">
        <v>50</v>
      </c>
      <c r="H6" s="10">
        <v>50</v>
      </c>
      <c r="I6" s="10">
        <v>100</v>
      </c>
      <c r="J6" s="10">
        <v>50</v>
      </c>
      <c r="K6" s="11">
        <v>40316</v>
      </c>
      <c r="L6" s="11">
        <v>40229</v>
      </c>
      <c r="M6" s="11">
        <v>42429</v>
      </c>
      <c r="N6" s="9" t="s">
        <v>136</v>
      </c>
      <c r="O6" s="12" t="s">
        <v>44</v>
      </c>
      <c r="P6" s="12" t="s">
        <v>45</v>
      </c>
      <c r="Q6" s="8">
        <v>608666170</v>
      </c>
      <c r="R6" s="8" t="s">
        <v>46</v>
      </c>
      <c r="S6" s="74" t="s">
        <v>47</v>
      </c>
      <c r="T6" s="10" t="s">
        <v>32</v>
      </c>
      <c r="U6" s="45">
        <v>6</v>
      </c>
      <c r="V6" s="40" t="s">
        <v>412</v>
      </c>
    </row>
    <row r="7" spans="1:22" ht="14.4">
      <c r="A7" s="8">
        <v>6</v>
      </c>
      <c r="B7" s="9" t="s">
        <v>141</v>
      </c>
      <c r="C7" s="9" t="s">
        <v>169</v>
      </c>
      <c r="D7" s="10">
        <v>30</v>
      </c>
      <c r="E7" s="10">
        <v>120</v>
      </c>
      <c r="F7" s="10">
        <v>120</v>
      </c>
      <c r="G7" s="10">
        <v>50</v>
      </c>
      <c r="H7" s="10">
        <v>50</v>
      </c>
      <c r="I7" s="10">
        <v>50</v>
      </c>
      <c r="J7" s="10">
        <v>50</v>
      </c>
      <c r="K7" s="11">
        <v>40459</v>
      </c>
      <c r="L7" s="11">
        <v>40460</v>
      </c>
      <c r="M7" s="11">
        <v>42453</v>
      </c>
      <c r="N7" s="9" t="s">
        <v>57</v>
      </c>
      <c r="O7" s="12" t="s">
        <v>171</v>
      </c>
      <c r="P7" s="12" t="s">
        <v>172</v>
      </c>
      <c r="Q7" s="10">
        <v>793406015</v>
      </c>
      <c r="R7" s="58" t="s">
        <v>173</v>
      </c>
      <c r="S7" s="20" t="s">
        <v>579</v>
      </c>
      <c r="T7" s="56" t="s">
        <v>32</v>
      </c>
      <c r="U7" s="45">
        <v>5</v>
      </c>
      <c r="V7" s="16"/>
    </row>
    <row r="8" spans="1:22" ht="14.4">
      <c r="A8" s="8">
        <v>7</v>
      </c>
      <c r="B8" s="9" t="s">
        <v>48</v>
      </c>
      <c r="C8" s="9" t="s">
        <v>49</v>
      </c>
      <c r="D8" s="10">
        <v>120</v>
      </c>
      <c r="E8" s="10">
        <v>120</v>
      </c>
      <c r="F8" s="10">
        <v>120</v>
      </c>
      <c r="G8" s="10">
        <v>50</v>
      </c>
      <c r="H8" s="10">
        <v>50</v>
      </c>
      <c r="I8" s="10">
        <v>50</v>
      </c>
      <c r="J8" s="10">
        <v>50</v>
      </c>
      <c r="K8" s="11">
        <v>40316</v>
      </c>
      <c r="L8" s="11">
        <v>40229</v>
      </c>
      <c r="M8" s="11">
        <v>42569</v>
      </c>
      <c r="N8" s="9" t="s">
        <v>43</v>
      </c>
      <c r="O8" s="12" t="s">
        <v>51</v>
      </c>
      <c r="P8" s="12" t="s">
        <v>52</v>
      </c>
      <c r="Q8" s="10">
        <v>601997864</v>
      </c>
      <c r="R8" s="58" t="s">
        <v>32</v>
      </c>
      <c r="S8" s="20" t="s">
        <v>580</v>
      </c>
      <c r="T8" s="56" t="s">
        <v>54</v>
      </c>
      <c r="U8" s="45">
        <v>33</v>
      </c>
      <c r="V8" s="16"/>
    </row>
    <row r="9" spans="1:22" ht="14.4">
      <c r="A9" s="8">
        <v>8</v>
      </c>
      <c r="B9" s="9" t="s">
        <v>55</v>
      </c>
      <c r="C9" s="9" t="s">
        <v>56</v>
      </c>
      <c r="D9" s="10">
        <v>60</v>
      </c>
      <c r="E9" s="10">
        <v>60</v>
      </c>
      <c r="F9" s="10">
        <v>60</v>
      </c>
      <c r="G9" s="10">
        <v>50</v>
      </c>
      <c r="H9" s="10">
        <v>50</v>
      </c>
      <c r="I9" s="10">
        <v>50</v>
      </c>
      <c r="J9" s="10">
        <v>50</v>
      </c>
      <c r="K9" s="11">
        <v>40316</v>
      </c>
      <c r="L9" s="11">
        <v>40229</v>
      </c>
      <c r="M9" s="19">
        <v>42508</v>
      </c>
      <c r="N9" s="9" t="s">
        <v>43</v>
      </c>
      <c r="O9" s="48" t="s">
        <v>581</v>
      </c>
      <c r="P9" s="12" t="s">
        <v>59</v>
      </c>
      <c r="Q9" s="10">
        <v>508373904</v>
      </c>
      <c r="R9" s="58" t="s">
        <v>60</v>
      </c>
      <c r="S9" s="104" t="s">
        <v>61</v>
      </c>
      <c r="T9" s="56" t="s">
        <v>62</v>
      </c>
      <c r="U9" s="45">
        <v>19</v>
      </c>
      <c r="V9" s="16"/>
    </row>
    <row r="10" spans="1:22" ht="14.4">
      <c r="A10" s="8">
        <v>9</v>
      </c>
      <c r="B10" s="9" t="s">
        <v>55</v>
      </c>
      <c r="C10" s="9" t="s">
        <v>63</v>
      </c>
      <c r="D10" s="10">
        <v>120</v>
      </c>
      <c r="E10" s="10">
        <v>120</v>
      </c>
      <c r="F10" s="10">
        <v>120</v>
      </c>
      <c r="G10" s="10">
        <v>50</v>
      </c>
      <c r="H10" s="10">
        <v>100</v>
      </c>
      <c r="I10" s="10">
        <v>100</v>
      </c>
      <c r="J10" s="10">
        <v>100</v>
      </c>
      <c r="K10" s="11">
        <v>40316</v>
      </c>
      <c r="L10" s="11">
        <v>40229</v>
      </c>
      <c r="M10" s="19">
        <v>42508</v>
      </c>
      <c r="N10" s="28" t="s">
        <v>15</v>
      </c>
      <c r="O10" s="18" t="s">
        <v>582</v>
      </c>
      <c r="P10" s="108" t="s">
        <v>583</v>
      </c>
      <c r="Q10" s="8">
        <v>600118375</v>
      </c>
      <c r="R10" s="8" t="s">
        <v>67</v>
      </c>
      <c r="S10" s="138" t="s">
        <v>68</v>
      </c>
      <c r="T10" s="10" t="s">
        <v>32</v>
      </c>
      <c r="U10" s="45">
        <v>8</v>
      </c>
      <c r="V10" s="143"/>
    </row>
    <row r="11" spans="1:22" ht="14.4">
      <c r="A11" s="8">
        <v>10</v>
      </c>
      <c r="B11" s="9" t="s">
        <v>42</v>
      </c>
      <c r="C11" s="9" t="s">
        <v>69</v>
      </c>
      <c r="D11" s="10">
        <v>120</v>
      </c>
      <c r="E11" s="10">
        <v>150</v>
      </c>
      <c r="F11" s="10">
        <v>120</v>
      </c>
      <c r="G11" s="10">
        <v>50</v>
      </c>
      <c r="H11" s="10">
        <v>50</v>
      </c>
      <c r="I11" s="10">
        <v>50</v>
      </c>
      <c r="J11" s="10">
        <v>50</v>
      </c>
      <c r="K11" s="11">
        <v>40316</v>
      </c>
      <c r="L11" s="11">
        <v>40229</v>
      </c>
      <c r="M11" s="11">
        <v>42431</v>
      </c>
      <c r="N11" s="9" t="s">
        <v>110</v>
      </c>
      <c r="O11" s="25" t="s">
        <v>71</v>
      </c>
      <c r="P11" s="12" t="s">
        <v>72</v>
      </c>
      <c r="Q11" s="10">
        <v>603628256</v>
      </c>
      <c r="R11" s="10" t="s">
        <v>73</v>
      </c>
      <c r="S11" s="45" t="s">
        <v>74</v>
      </c>
      <c r="T11" s="10" t="s">
        <v>75</v>
      </c>
      <c r="U11" s="45">
        <v>7</v>
      </c>
      <c r="V11" s="40" t="s">
        <v>200</v>
      </c>
    </row>
    <row r="12" spans="1:22" ht="14.4">
      <c r="A12" s="8">
        <v>11</v>
      </c>
      <c r="B12" s="9" t="s">
        <v>88</v>
      </c>
      <c r="C12" s="9" t="s">
        <v>89</v>
      </c>
      <c r="D12" s="10">
        <v>120</v>
      </c>
      <c r="E12" s="10">
        <v>120</v>
      </c>
      <c r="F12" s="10">
        <v>120</v>
      </c>
      <c r="G12" s="10">
        <v>50</v>
      </c>
      <c r="H12" s="10">
        <v>200</v>
      </c>
      <c r="I12" s="10">
        <v>100</v>
      </c>
      <c r="J12" s="10">
        <v>100</v>
      </c>
      <c r="K12" s="11">
        <v>40316</v>
      </c>
      <c r="L12" s="11">
        <v>40229</v>
      </c>
      <c r="M12" s="99">
        <v>42592</v>
      </c>
      <c r="N12" s="28" t="s">
        <v>43</v>
      </c>
      <c r="O12" s="10" t="s">
        <v>90</v>
      </c>
      <c r="P12" s="57" t="s">
        <v>91</v>
      </c>
      <c r="Q12" s="10" t="s">
        <v>584</v>
      </c>
      <c r="R12" s="10" t="s">
        <v>92</v>
      </c>
      <c r="S12" s="141" t="s">
        <v>585</v>
      </c>
      <c r="T12" s="10">
        <v>48223783633</v>
      </c>
      <c r="U12" s="45">
        <v>10</v>
      </c>
      <c r="V12" s="16"/>
    </row>
    <row r="13" spans="1:22" ht="14.4">
      <c r="A13" s="8">
        <v>12</v>
      </c>
      <c r="B13" s="9" t="s">
        <v>94</v>
      </c>
      <c r="C13" s="9" t="s">
        <v>95</v>
      </c>
      <c r="D13" s="10">
        <v>60</v>
      </c>
      <c r="E13" s="10">
        <v>60</v>
      </c>
      <c r="F13" s="10">
        <v>120</v>
      </c>
      <c r="G13" s="10">
        <v>50</v>
      </c>
      <c r="H13" s="10">
        <v>50</v>
      </c>
      <c r="I13" s="10">
        <v>50</v>
      </c>
      <c r="J13" s="10">
        <v>50</v>
      </c>
      <c r="K13" s="11">
        <v>40316</v>
      </c>
      <c r="L13" s="11">
        <v>40229</v>
      </c>
      <c r="M13" s="11">
        <v>42485</v>
      </c>
      <c r="N13" s="9" t="s">
        <v>578</v>
      </c>
      <c r="O13" s="27" t="s">
        <v>96</v>
      </c>
      <c r="P13" s="12" t="s">
        <v>97</v>
      </c>
      <c r="Q13" s="10">
        <v>514474608</v>
      </c>
      <c r="R13" s="10" t="s">
        <v>98</v>
      </c>
      <c r="S13" s="45" t="s">
        <v>99</v>
      </c>
      <c r="T13" s="10" t="s">
        <v>100</v>
      </c>
      <c r="U13" s="45">
        <v>9</v>
      </c>
      <c r="V13" s="40" t="s">
        <v>686</v>
      </c>
    </row>
    <row r="14" spans="1:22" ht="14.4">
      <c r="A14" s="8">
        <v>13</v>
      </c>
      <c r="B14" s="9" t="s">
        <v>101</v>
      </c>
      <c r="C14" s="9" t="s">
        <v>102</v>
      </c>
      <c r="D14" s="10">
        <v>120</v>
      </c>
      <c r="E14" s="10">
        <v>120</v>
      </c>
      <c r="F14" s="10">
        <v>120</v>
      </c>
      <c r="G14" s="10">
        <v>120</v>
      </c>
      <c r="H14" s="10">
        <v>100</v>
      </c>
      <c r="I14" s="10">
        <v>100</v>
      </c>
      <c r="J14" s="10">
        <v>100</v>
      </c>
      <c r="K14" s="11">
        <v>40316</v>
      </c>
      <c r="L14" s="11">
        <v>40229</v>
      </c>
      <c r="M14" s="11">
        <v>42385</v>
      </c>
      <c r="N14" s="9" t="s">
        <v>50</v>
      </c>
      <c r="O14" s="12" t="s">
        <v>103</v>
      </c>
      <c r="P14" s="12" t="s">
        <v>104</v>
      </c>
      <c r="Q14" s="10">
        <v>501228703</v>
      </c>
      <c r="R14" s="10" t="s">
        <v>105</v>
      </c>
      <c r="S14" s="43" t="s">
        <v>106</v>
      </c>
      <c r="T14" s="10" t="s">
        <v>107</v>
      </c>
      <c r="U14" s="45">
        <v>21</v>
      </c>
      <c r="V14" s="40" t="s">
        <v>200</v>
      </c>
    </row>
    <row r="15" spans="1:22" ht="14.4">
      <c r="A15" s="8">
        <v>14</v>
      </c>
      <c r="B15" s="9" t="s">
        <v>55</v>
      </c>
      <c r="C15" s="9" t="s">
        <v>207</v>
      </c>
      <c r="D15" s="149"/>
      <c r="E15" s="10">
        <v>120</v>
      </c>
      <c r="F15" s="10">
        <v>120</v>
      </c>
      <c r="G15" s="10">
        <v>50</v>
      </c>
      <c r="H15" s="26">
        <v>50</v>
      </c>
      <c r="I15" s="26">
        <v>50</v>
      </c>
      <c r="J15" s="26"/>
      <c r="K15" s="32">
        <v>40460</v>
      </c>
      <c r="L15" s="11">
        <v>40630</v>
      </c>
      <c r="M15" s="11">
        <v>42152</v>
      </c>
      <c r="N15" s="9" t="s">
        <v>170</v>
      </c>
      <c r="O15" s="12" t="s">
        <v>208</v>
      </c>
      <c r="P15" s="12" t="s">
        <v>209</v>
      </c>
      <c r="Q15" s="10">
        <v>601672777</v>
      </c>
      <c r="R15" s="10" t="s">
        <v>210</v>
      </c>
      <c r="S15" s="43" t="s">
        <v>211</v>
      </c>
      <c r="T15" s="10">
        <v>943404489</v>
      </c>
      <c r="U15" s="45">
        <v>37</v>
      </c>
      <c r="V15" s="16"/>
    </row>
    <row r="16" spans="1:22" ht="14.4">
      <c r="A16" s="8">
        <v>15</v>
      </c>
      <c r="B16" s="9" t="s">
        <v>188</v>
      </c>
      <c r="C16" s="9" t="s">
        <v>223</v>
      </c>
      <c r="D16" s="149"/>
      <c r="E16" s="10">
        <v>120</v>
      </c>
      <c r="F16" s="10">
        <v>120</v>
      </c>
      <c r="G16" s="10">
        <v>50</v>
      </c>
      <c r="H16" s="10"/>
      <c r="I16" s="10">
        <v>50</v>
      </c>
      <c r="J16" s="40">
        <v>50</v>
      </c>
      <c r="K16" s="11">
        <v>40530</v>
      </c>
      <c r="L16" s="11">
        <v>40676</v>
      </c>
      <c r="M16" s="11">
        <v>42732</v>
      </c>
      <c r="O16" s="8" t="s">
        <v>224</v>
      </c>
      <c r="P16" s="12" t="s">
        <v>225</v>
      </c>
      <c r="Q16" s="10">
        <v>793258511</v>
      </c>
      <c r="R16" s="10" t="s">
        <v>226</v>
      </c>
      <c r="S16" s="45" t="s">
        <v>227</v>
      </c>
      <c r="T16" s="10">
        <v>413003499</v>
      </c>
      <c r="U16" s="45">
        <v>22</v>
      </c>
      <c r="V16" s="40" t="s">
        <v>200</v>
      </c>
    </row>
    <row r="17" spans="1:22" ht="14.4">
      <c r="A17" s="8">
        <v>16</v>
      </c>
      <c r="B17" s="9" t="s">
        <v>325</v>
      </c>
      <c r="C17" s="9" t="s">
        <v>326</v>
      </c>
      <c r="D17" s="149"/>
      <c r="E17" s="10">
        <v>40</v>
      </c>
      <c r="F17" s="10">
        <v>120</v>
      </c>
      <c r="G17" s="10"/>
      <c r="H17" s="10"/>
      <c r="I17" s="10">
        <v>50</v>
      </c>
      <c r="J17" s="10"/>
      <c r="K17" s="11">
        <v>40800</v>
      </c>
      <c r="L17" s="11">
        <v>40834</v>
      </c>
      <c r="M17" s="11">
        <v>42069</v>
      </c>
      <c r="N17" s="9" t="s">
        <v>575</v>
      </c>
      <c r="O17" s="8" t="s">
        <v>327</v>
      </c>
      <c r="P17" s="12" t="s">
        <v>328</v>
      </c>
      <c r="Q17" s="10" t="s">
        <v>329</v>
      </c>
      <c r="R17" s="10"/>
      <c r="S17" s="45" t="s">
        <v>330</v>
      </c>
      <c r="T17" s="10"/>
      <c r="U17" s="45">
        <v>41</v>
      </c>
      <c r="V17" s="40" t="s">
        <v>200</v>
      </c>
    </row>
    <row r="18" spans="1:22" ht="14.4">
      <c r="A18" s="8">
        <v>17</v>
      </c>
      <c r="B18" s="9" t="s">
        <v>188</v>
      </c>
      <c r="C18" s="9" t="s">
        <v>246</v>
      </c>
      <c r="D18" s="149"/>
      <c r="E18" s="10">
        <v>70</v>
      </c>
      <c r="F18" s="10">
        <v>120</v>
      </c>
      <c r="G18" s="10">
        <v>50</v>
      </c>
      <c r="H18" s="10">
        <v>50</v>
      </c>
      <c r="I18" s="150">
        <v>50</v>
      </c>
      <c r="J18" s="150"/>
      <c r="K18" s="11">
        <v>40737</v>
      </c>
      <c r="L18" s="11">
        <v>40731</v>
      </c>
      <c r="M18" s="99">
        <v>42132</v>
      </c>
      <c r="N18" s="9" t="s">
        <v>170</v>
      </c>
      <c r="O18" s="8" t="s">
        <v>588</v>
      </c>
      <c r="P18" s="12" t="s">
        <v>589</v>
      </c>
      <c r="Q18" s="10" t="s">
        <v>249</v>
      </c>
      <c r="R18" s="10"/>
      <c r="S18" s="45" t="s">
        <v>250</v>
      </c>
      <c r="T18" s="10"/>
      <c r="U18" s="45">
        <v>43</v>
      </c>
      <c r="V18" s="16"/>
    </row>
    <row r="19" spans="1:22" ht="14.4">
      <c r="A19" s="8">
        <v>18</v>
      </c>
      <c r="B19" s="9" t="s">
        <v>194</v>
      </c>
      <c r="C19" s="9" t="s">
        <v>234</v>
      </c>
      <c r="D19" s="149"/>
      <c r="E19" s="10">
        <v>30</v>
      </c>
      <c r="F19" s="10">
        <v>60</v>
      </c>
      <c r="G19" s="10">
        <v>50</v>
      </c>
      <c r="H19" s="10">
        <v>50</v>
      </c>
      <c r="I19" s="10"/>
      <c r="J19" s="10">
        <v>50</v>
      </c>
      <c r="K19" s="11">
        <v>40698</v>
      </c>
      <c r="L19" s="11">
        <v>40707</v>
      </c>
      <c r="M19" s="11">
        <v>42628</v>
      </c>
      <c r="N19" s="9" t="s">
        <v>575</v>
      </c>
      <c r="O19" s="8" t="s">
        <v>235</v>
      </c>
      <c r="P19" s="12" t="s">
        <v>236</v>
      </c>
      <c r="Q19" s="13">
        <v>511509264</v>
      </c>
      <c r="R19" s="10"/>
      <c r="S19" s="45" t="s">
        <v>238</v>
      </c>
      <c r="T19" s="10"/>
      <c r="U19" s="45">
        <v>45</v>
      </c>
      <c r="V19" s="16"/>
    </row>
    <row r="20" spans="1:22" ht="14.4">
      <c r="A20" s="8">
        <v>19</v>
      </c>
      <c r="B20" s="9" t="s">
        <v>268</v>
      </c>
      <c r="C20" s="9" t="s">
        <v>269</v>
      </c>
      <c r="D20" s="149"/>
      <c r="E20" s="10">
        <v>30</v>
      </c>
      <c r="F20" s="10">
        <v>60</v>
      </c>
      <c r="G20" s="10"/>
      <c r="H20" s="10">
        <v>50</v>
      </c>
      <c r="I20" s="10">
        <v>50</v>
      </c>
      <c r="J20" s="10"/>
      <c r="K20" s="11">
        <v>40709</v>
      </c>
      <c r="L20" s="11">
        <v>40767</v>
      </c>
      <c r="M20" s="11">
        <v>42080</v>
      </c>
      <c r="N20" s="9" t="s">
        <v>575</v>
      </c>
      <c r="O20" s="8" t="s">
        <v>270</v>
      </c>
      <c r="P20" s="12" t="s">
        <v>271</v>
      </c>
      <c r="Q20" s="10" t="s">
        <v>272</v>
      </c>
      <c r="R20" s="10"/>
      <c r="S20" s="45" t="s">
        <v>273</v>
      </c>
      <c r="T20" s="10"/>
      <c r="U20" s="45">
        <v>57</v>
      </c>
      <c r="V20" s="16"/>
    </row>
    <row r="21" spans="1:22" ht="15.75" customHeight="1">
      <c r="A21" s="8">
        <v>20</v>
      </c>
      <c r="B21" s="9" t="s">
        <v>217</v>
      </c>
      <c r="C21" s="9" t="s">
        <v>116</v>
      </c>
      <c r="D21" s="149"/>
      <c r="E21" s="10">
        <v>20</v>
      </c>
      <c r="F21" s="10">
        <v>100</v>
      </c>
      <c r="G21" s="10">
        <v>150</v>
      </c>
      <c r="H21" s="10">
        <v>50</v>
      </c>
      <c r="I21" s="10">
        <v>50</v>
      </c>
      <c r="J21" s="10">
        <v>150</v>
      </c>
      <c r="K21" s="11">
        <v>40847</v>
      </c>
      <c r="L21" s="11" t="s">
        <v>331</v>
      </c>
      <c r="M21" s="11">
        <v>42500</v>
      </c>
      <c r="N21" s="9" t="s">
        <v>170</v>
      </c>
      <c r="O21" s="8" t="s">
        <v>332</v>
      </c>
      <c r="P21" s="12" t="s">
        <v>333</v>
      </c>
      <c r="Q21" s="10">
        <v>504377500</v>
      </c>
      <c r="R21" s="10"/>
      <c r="S21" s="45" t="s">
        <v>334</v>
      </c>
      <c r="T21" s="10"/>
      <c r="U21" s="45">
        <v>61</v>
      </c>
      <c r="V21" s="16"/>
    </row>
    <row r="22" spans="1:22" ht="15.75" customHeight="1">
      <c r="A22" s="8">
        <v>21</v>
      </c>
      <c r="B22" s="9" t="s">
        <v>315</v>
      </c>
      <c r="C22" s="9" t="s">
        <v>316</v>
      </c>
      <c r="D22" s="149"/>
      <c r="E22" s="10">
        <v>40</v>
      </c>
      <c r="F22" s="10">
        <v>120</v>
      </c>
      <c r="G22" s="10"/>
      <c r="H22" s="10">
        <v>50</v>
      </c>
      <c r="I22" s="10">
        <v>50</v>
      </c>
      <c r="J22" s="10"/>
      <c r="K22" s="11">
        <v>40812</v>
      </c>
      <c r="L22" s="11">
        <v>40812</v>
      </c>
      <c r="M22" s="11">
        <v>42260</v>
      </c>
      <c r="N22" s="9" t="s">
        <v>170</v>
      </c>
      <c r="O22" s="8" t="s">
        <v>317</v>
      </c>
      <c r="P22" s="12" t="s">
        <v>191</v>
      </c>
      <c r="Q22" s="10">
        <v>886820739</v>
      </c>
      <c r="R22" s="10"/>
      <c r="S22" s="45" t="s">
        <v>318</v>
      </c>
      <c r="T22" s="10"/>
      <c r="U22" s="45">
        <v>63</v>
      </c>
      <c r="V22" s="40" t="s">
        <v>200</v>
      </c>
    </row>
    <row r="23" spans="1:22" ht="15.75" customHeight="1">
      <c r="A23" s="8">
        <v>22</v>
      </c>
      <c r="B23" s="9" t="s">
        <v>228</v>
      </c>
      <c r="C23" s="9" t="s">
        <v>229</v>
      </c>
      <c r="D23" s="149"/>
      <c r="E23" s="10">
        <v>30</v>
      </c>
      <c r="F23" s="10">
        <v>60</v>
      </c>
      <c r="G23" s="10"/>
      <c r="H23" s="10"/>
      <c r="I23" s="143">
        <v>50</v>
      </c>
      <c r="J23" s="143"/>
      <c r="K23" s="11">
        <v>40682</v>
      </c>
      <c r="L23" s="11">
        <v>40694</v>
      </c>
      <c r="M23" s="11">
        <v>42079</v>
      </c>
      <c r="N23" s="9" t="s">
        <v>170</v>
      </c>
      <c r="O23" s="8" t="s">
        <v>591</v>
      </c>
      <c r="P23" s="12" t="s">
        <v>592</v>
      </c>
      <c r="Q23" s="10" t="s">
        <v>232</v>
      </c>
      <c r="R23" s="10"/>
      <c r="S23" s="45" t="s">
        <v>233</v>
      </c>
      <c r="T23" s="10"/>
      <c r="U23" s="45">
        <v>42</v>
      </c>
      <c r="V23" s="16"/>
    </row>
    <row r="24" spans="1:22" ht="15.75" customHeight="1">
      <c r="A24" s="8">
        <v>23</v>
      </c>
      <c r="B24" s="9" t="s">
        <v>340</v>
      </c>
      <c r="C24" s="9" t="s">
        <v>341</v>
      </c>
      <c r="D24" s="149"/>
      <c r="E24" s="149"/>
      <c r="F24" s="10">
        <v>120</v>
      </c>
      <c r="G24" s="10">
        <v>50</v>
      </c>
      <c r="H24" s="10">
        <v>50</v>
      </c>
      <c r="I24" s="10">
        <v>50</v>
      </c>
      <c r="J24" s="10">
        <v>50</v>
      </c>
      <c r="K24" s="11">
        <v>40949</v>
      </c>
      <c r="L24" s="11">
        <v>40953</v>
      </c>
      <c r="M24" s="19">
        <v>42437</v>
      </c>
      <c r="N24" s="28" t="s">
        <v>170</v>
      </c>
      <c r="O24" s="10" t="s">
        <v>342</v>
      </c>
      <c r="P24" s="10" t="s">
        <v>343</v>
      </c>
      <c r="Q24" s="10">
        <v>660749160</v>
      </c>
      <c r="R24" s="55"/>
      <c r="S24" s="54" t="s">
        <v>344</v>
      </c>
      <c r="T24" s="56"/>
      <c r="U24" s="45">
        <v>67</v>
      </c>
      <c r="V24" s="16"/>
    </row>
    <row r="25" spans="1:22" ht="15.75" customHeight="1">
      <c r="A25" s="8">
        <v>24</v>
      </c>
      <c r="B25" s="9" t="s">
        <v>356</v>
      </c>
      <c r="C25" s="9" t="s">
        <v>357</v>
      </c>
      <c r="D25" s="149"/>
      <c r="E25" s="149"/>
      <c r="F25" s="10">
        <v>100</v>
      </c>
      <c r="G25" s="10">
        <v>50</v>
      </c>
      <c r="H25" s="10">
        <v>50</v>
      </c>
      <c r="I25" s="10">
        <v>50</v>
      </c>
      <c r="J25" s="10"/>
      <c r="K25" s="11">
        <v>41145</v>
      </c>
      <c r="L25" s="11">
        <v>40974</v>
      </c>
      <c r="M25" s="19">
        <v>42348</v>
      </c>
      <c r="N25" s="28" t="s">
        <v>170</v>
      </c>
      <c r="O25" s="8" t="s">
        <v>358</v>
      </c>
      <c r="P25" s="108" t="s">
        <v>359</v>
      </c>
      <c r="Q25" s="10">
        <v>698686932</v>
      </c>
      <c r="R25" s="58"/>
      <c r="S25" s="104" t="s">
        <v>360</v>
      </c>
      <c r="T25" s="56"/>
      <c r="U25" s="45">
        <v>62</v>
      </c>
      <c r="V25" s="16"/>
    </row>
    <row r="26" spans="1:22" ht="15.75" customHeight="1">
      <c r="A26" s="8">
        <v>25</v>
      </c>
      <c r="B26" s="104" t="s">
        <v>401</v>
      </c>
      <c r="C26" s="95" t="s">
        <v>402</v>
      </c>
      <c r="D26" s="149"/>
      <c r="E26" s="149"/>
      <c r="F26" s="18">
        <v>25</v>
      </c>
      <c r="G26" s="18">
        <v>50</v>
      </c>
      <c r="H26" s="18">
        <v>50</v>
      </c>
      <c r="I26" s="10">
        <v>50</v>
      </c>
      <c r="J26" s="26">
        <v>50</v>
      </c>
      <c r="K26" s="99">
        <v>41137</v>
      </c>
      <c r="L26" s="99">
        <v>41137</v>
      </c>
      <c r="M26" s="99">
        <v>42432</v>
      </c>
      <c r="N26" s="9" t="s">
        <v>687</v>
      </c>
      <c r="O26" s="91" t="s">
        <v>403</v>
      </c>
      <c r="P26" s="91" t="s">
        <v>404</v>
      </c>
      <c r="Q26" s="18">
        <v>784918776</v>
      </c>
      <c r="R26" s="101" t="s">
        <v>405</v>
      </c>
      <c r="S26" s="104" t="s">
        <v>406</v>
      </c>
      <c r="T26" s="152"/>
      <c r="U26" s="104">
        <v>73</v>
      </c>
      <c r="V26" s="40" t="s">
        <v>200</v>
      </c>
    </row>
    <row r="27" spans="1:22" ht="15.75" customHeight="1">
      <c r="A27" s="8">
        <v>26</v>
      </c>
      <c r="B27" s="90" t="s">
        <v>413</v>
      </c>
      <c r="C27" s="90" t="s">
        <v>414</v>
      </c>
      <c r="D27" s="153"/>
      <c r="E27" s="153"/>
      <c r="F27" s="154"/>
      <c r="G27" s="91">
        <v>120</v>
      </c>
      <c r="H27" s="91">
        <v>50</v>
      </c>
      <c r="I27" s="58">
        <v>50</v>
      </c>
      <c r="J27" s="10"/>
      <c r="K27" s="175">
        <v>41131</v>
      </c>
      <c r="L27" s="92">
        <v>41311</v>
      </c>
      <c r="M27" s="155">
        <v>42138</v>
      </c>
      <c r="N27" s="61" t="s">
        <v>170</v>
      </c>
      <c r="O27" s="91" t="s">
        <v>415</v>
      </c>
      <c r="P27" s="91" t="s">
        <v>416</v>
      </c>
      <c r="Q27" s="91">
        <v>601357602</v>
      </c>
      <c r="R27" s="94"/>
      <c r="S27" s="104" t="s">
        <v>417</v>
      </c>
      <c r="T27" s="96"/>
      <c r="U27" s="156">
        <v>76</v>
      </c>
      <c r="V27" s="97"/>
    </row>
    <row r="28" spans="1:22" ht="15.75" customHeight="1">
      <c r="A28" s="8">
        <v>27</v>
      </c>
      <c r="B28" s="104" t="s">
        <v>429</v>
      </c>
      <c r="C28" s="104" t="s">
        <v>430</v>
      </c>
      <c r="D28" s="154"/>
      <c r="E28" s="154"/>
      <c r="F28" s="154"/>
      <c r="G28" s="18">
        <v>50</v>
      </c>
      <c r="H28" s="18">
        <v>50</v>
      </c>
      <c r="I28" s="58">
        <v>50</v>
      </c>
      <c r="J28" s="10"/>
      <c r="K28" s="176">
        <v>41349</v>
      </c>
      <c r="L28" s="99">
        <v>41354</v>
      </c>
      <c r="M28" s="99">
        <v>42139</v>
      </c>
      <c r="N28" s="9" t="s">
        <v>170</v>
      </c>
      <c r="O28" s="18" t="s">
        <v>595</v>
      </c>
      <c r="P28" s="18" t="s">
        <v>596</v>
      </c>
      <c r="Q28" s="18">
        <v>512180992</v>
      </c>
      <c r="R28" s="105"/>
      <c r="S28" s="104" t="s">
        <v>433</v>
      </c>
      <c r="T28" s="102"/>
      <c r="U28" s="156">
        <v>79</v>
      </c>
      <c r="V28" s="103"/>
    </row>
    <row r="29" spans="1:22" ht="15.75" customHeight="1">
      <c r="A29" s="8">
        <v>28</v>
      </c>
      <c r="B29" s="104" t="s">
        <v>438</v>
      </c>
      <c r="C29" s="104" t="s">
        <v>95</v>
      </c>
      <c r="D29" s="154"/>
      <c r="E29" s="154"/>
      <c r="F29" s="154"/>
      <c r="G29" s="18">
        <v>50</v>
      </c>
      <c r="H29" s="18">
        <v>50</v>
      </c>
      <c r="I29" s="101">
        <v>50</v>
      </c>
      <c r="J29" s="18">
        <v>50</v>
      </c>
      <c r="K29" s="177">
        <v>41352</v>
      </c>
      <c r="L29" s="99">
        <v>41358</v>
      </c>
      <c r="M29" s="157">
        <v>42485</v>
      </c>
      <c r="N29" s="9" t="s">
        <v>170</v>
      </c>
      <c r="O29" s="18" t="s">
        <v>439</v>
      </c>
      <c r="P29" s="18" t="s">
        <v>97</v>
      </c>
      <c r="Q29" s="18">
        <v>510639087</v>
      </c>
      <c r="R29" s="105"/>
      <c r="S29" s="104" t="s">
        <v>440</v>
      </c>
      <c r="T29" s="102"/>
      <c r="U29" s="156">
        <v>82</v>
      </c>
      <c r="V29" s="103"/>
    </row>
    <row r="30" spans="1:22" ht="15.75" customHeight="1">
      <c r="A30" s="8">
        <v>29</v>
      </c>
      <c r="B30" s="104" t="s">
        <v>441</v>
      </c>
      <c r="C30" s="104" t="s">
        <v>442</v>
      </c>
      <c r="D30" s="154"/>
      <c r="E30" s="154"/>
      <c r="F30" s="154"/>
      <c r="G30" s="18">
        <v>50</v>
      </c>
      <c r="H30" s="18">
        <v>50</v>
      </c>
      <c r="I30" s="101">
        <v>50</v>
      </c>
      <c r="J30" s="18">
        <v>100</v>
      </c>
      <c r="K30" s="177">
        <v>41354</v>
      </c>
      <c r="L30" s="99">
        <v>41354</v>
      </c>
      <c r="M30" s="99">
        <v>42408</v>
      </c>
      <c r="N30" s="9" t="s">
        <v>170</v>
      </c>
      <c r="O30" s="18" t="s">
        <v>443</v>
      </c>
      <c r="P30" s="18" t="s">
        <v>444</v>
      </c>
      <c r="Q30" s="18">
        <v>607777011</v>
      </c>
      <c r="R30" s="105"/>
      <c r="S30" s="104" t="s">
        <v>445</v>
      </c>
      <c r="T30" s="102"/>
      <c r="U30" s="156">
        <v>83</v>
      </c>
      <c r="V30" s="40" t="s">
        <v>412</v>
      </c>
    </row>
    <row r="31" spans="1:22" ht="15.75" customHeight="1">
      <c r="A31" s="8">
        <v>30</v>
      </c>
      <c r="B31" s="104" t="s">
        <v>13</v>
      </c>
      <c r="C31" s="104" t="s">
        <v>451</v>
      </c>
      <c r="D31" s="154"/>
      <c r="E31" s="154"/>
      <c r="F31" s="154"/>
      <c r="G31" s="18">
        <v>50</v>
      </c>
      <c r="H31" s="18"/>
      <c r="I31" s="58">
        <v>50</v>
      </c>
      <c r="J31" s="10"/>
      <c r="K31" s="176">
        <v>41361</v>
      </c>
      <c r="L31" s="99">
        <v>41361</v>
      </c>
      <c r="M31" s="99">
        <v>42276</v>
      </c>
      <c r="N31" s="17" t="s">
        <v>170</v>
      </c>
      <c r="O31" s="18" t="s">
        <v>452</v>
      </c>
      <c r="P31" s="18" t="s">
        <v>453</v>
      </c>
      <c r="Q31" s="104"/>
      <c r="R31" s="105"/>
      <c r="S31" s="104" t="s">
        <v>454</v>
      </c>
      <c r="T31" s="102"/>
      <c r="U31" s="156">
        <v>85</v>
      </c>
      <c r="V31" s="103"/>
    </row>
    <row r="32" spans="1:22" ht="15.75" customHeight="1">
      <c r="A32" s="8">
        <v>31</v>
      </c>
      <c r="B32" s="104" t="s">
        <v>134</v>
      </c>
      <c r="C32" s="104" t="s">
        <v>461</v>
      </c>
      <c r="D32" s="159"/>
      <c r="E32" s="159"/>
      <c r="F32" s="159"/>
      <c r="G32" s="18">
        <v>50</v>
      </c>
      <c r="H32" s="18">
        <v>50</v>
      </c>
      <c r="I32" s="101">
        <v>50</v>
      </c>
      <c r="J32" s="18">
        <v>50</v>
      </c>
      <c r="K32" s="176">
        <v>41407</v>
      </c>
      <c r="L32" s="99">
        <v>41404</v>
      </c>
      <c r="M32" s="99">
        <v>42478</v>
      </c>
      <c r="N32" s="9" t="s">
        <v>170</v>
      </c>
      <c r="O32" s="18" t="s">
        <v>462</v>
      </c>
      <c r="P32" s="18" t="s">
        <v>463</v>
      </c>
      <c r="Q32" s="104"/>
      <c r="R32" s="105"/>
      <c r="S32" s="104" t="s">
        <v>464</v>
      </c>
      <c r="T32" s="102"/>
      <c r="U32" s="156">
        <v>88</v>
      </c>
      <c r="V32" s="40" t="s">
        <v>412</v>
      </c>
    </row>
    <row r="33" spans="1:26" ht="15.75" customHeight="1">
      <c r="A33" s="8">
        <v>32</v>
      </c>
      <c r="B33" s="104" t="s">
        <v>465</v>
      </c>
      <c r="C33" s="104" t="s">
        <v>466</v>
      </c>
      <c r="D33" s="159"/>
      <c r="E33" s="159"/>
      <c r="F33" s="159"/>
      <c r="G33" s="18">
        <v>50</v>
      </c>
      <c r="H33" s="18">
        <v>50</v>
      </c>
      <c r="I33" s="58">
        <v>50</v>
      </c>
      <c r="J33" s="10"/>
      <c r="K33" s="176">
        <v>41509</v>
      </c>
      <c r="L33" s="99">
        <v>41509</v>
      </c>
      <c r="M33" s="99">
        <v>42135</v>
      </c>
      <c r="N33" s="9" t="s">
        <v>170</v>
      </c>
      <c r="O33" s="18" t="s">
        <v>597</v>
      </c>
      <c r="P33" s="18" t="s">
        <v>598</v>
      </c>
      <c r="Q33" s="18">
        <v>884308894</v>
      </c>
      <c r="R33" s="101" t="s">
        <v>469</v>
      </c>
      <c r="S33" s="104" t="s">
        <v>470</v>
      </c>
      <c r="T33" s="102"/>
      <c r="U33" s="160">
        <v>90</v>
      </c>
      <c r="V33" s="103"/>
    </row>
    <row r="34" spans="1:26" ht="15.75" customHeight="1">
      <c r="A34" s="8">
        <v>33</v>
      </c>
      <c r="B34" s="104" t="s">
        <v>492</v>
      </c>
      <c r="C34" s="104" t="s">
        <v>493</v>
      </c>
      <c r="D34" s="159"/>
      <c r="E34" s="159"/>
      <c r="F34" s="159"/>
      <c r="G34" s="18">
        <v>50</v>
      </c>
      <c r="H34" s="18">
        <v>50</v>
      </c>
      <c r="I34" s="58">
        <v>50</v>
      </c>
      <c r="J34" s="10">
        <v>50</v>
      </c>
      <c r="K34" s="176">
        <v>41598</v>
      </c>
      <c r="L34" s="99">
        <v>41599</v>
      </c>
      <c r="M34" s="99">
        <v>42405</v>
      </c>
      <c r="N34" s="9" t="s">
        <v>170</v>
      </c>
      <c r="O34" s="112" t="s">
        <v>494</v>
      </c>
      <c r="P34" s="112" t="s">
        <v>495</v>
      </c>
      <c r="Q34" s="112">
        <v>692434393</v>
      </c>
      <c r="R34" s="105"/>
      <c r="S34" s="104" t="s">
        <v>496</v>
      </c>
      <c r="T34" s="102"/>
      <c r="U34" s="162">
        <v>95</v>
      </c>
      <c r="V34" s="103"/>
      <c r="W34" s="87"/>
      <c r="X34" s="87"/>
      <c r="Y34" s="87"/>
      <c r="Z34" s="87"/>
    </row>
    <row r="35" spans="1:26" ht="15.75" customHeight="1">
      <c r="A35" s="8">
        <v>34</v>
      </c>
      <c r="B35" s="104" t="s">
        <v>511</v>
      </c>
      <c r="C35" s="104" t="s">
        <v>512</v>
      </c>
      <c r="D35" s="159"/>
      <c r="E35" s="159"/>
      <c r="F35" s="159"/>
      <c r="G35" s="159"/>
      <c r="H35" s="18">
        <v>50</v>
      </c>
      <c r="I35" s="58">
        <v>50</v>
      </c>
      <c r="J35" s="10">
        <v>50</v>
      </c>
      <c r="K35" s="176">
        <v>41694</v>
      </c>
      <c r="L35" s="99">
        <v>41695</v>
      </c>
      <c r="M35" s="99">
        <v>42485</v>
      </c>
      <c r="N35" s="9" t="s">
        <v>170</v>
      </c>
      <c r="O35" s="18" t="s">
        <v>513</v>
      </c>
      <c r="P35" s="18" t="s">
        <v>404</v>
      </c>
      <c r="Q35" s="18">
        <v>729167760</v>
      </c>
      <c r="R35" s="104"/>
      <c r="S35" s="104" t="s">
        <v>514</v>
      </c>
      <c r="T35" s="104"/>
      <c r="U35" s="162">
        <v>99</v>
      </c>
      <c r="V35" s="103"/>
    </row>
    <row r="36" spans="1:26" ht="15.75" customHeight="1">
      <c r="A36" s="8">
        <v>35</v>
      </c>
      <c r="B36" s="97" t="s">
        <v>188</v>
      </c>
      <c r="C36" s="97" t="s">
        <v>14</v>
      </c>
      <c r="D36" s="163"/>
      <c r="E36" s="163"/>
      <c r="F36" s="163"/>
      <c r="G36" s="91">
        <v>50</v>
      </c>
      <c r="H36" s="91">
        <v>50</v>
      </c>
      <c r="I36" s="101">
        <v>50</v>
      </c>
      <c r="J36" s="18">
        <v>50</v>
      </c>
      <c r="K36" s="175">
        <v>41517</v>
      </c>
      <c r="L36" s="92">
        <v>41738</v>
      </c>
      <c r="M36" s="11">
        <v>42627</v>
      </c>
      <c r="N36" s="9" t="s">
        <v>575</v>
      </c>
      <c r="O36" s="164" t="s">
        <v>16</v>
      </c>
      <c r="P36" s="165" t="s">
        <v>17</v>
      </c>
      <c r="Q36" s="91">
        <v>514575915</v>
      </c>
      <c r="R36" s="97"/>
      <c r="S36" s="87" t="s">
        <v>600</v>
      </c>
      <c r="T36" s="97"/>
      <c r="U36" s="97">
        <v>102</v>
      </c>
      <c r="V36" s="166" t="s">
        <v>200</v>
      </c>
    </row>
    <row r="37" spans="1:26" ht="15.75" customHeight="1">
      <c r="A37" s="8">
        <v>36</v>
      </c>
      <c r="B37" s="104" t="s">
        <v>524</v>
      </c>
      <c r="C37" s="104" t="s">
        <v>525</v>
      </c>
      <c r="D37" s="163"/>
      <c r="E37" s="163"/>
      <c r="F37" s="163"/>
      <c r="G37" s="163"/>
      <c r="H37" s="18">
        <v>50</v>
      </c>
      <c r="I37" s="58">
        <v>50</v>
      </c>
      <c r="J37" s="10"/>
      <c r="K37" s="176">
        <v>41769</v>
      </c>
      <c r="L37" s="99">
        <v>41422</v>
      </c>
      <c r="M37" s="99">
        <v>42132</v>
      </c>
      <c r="N37" s="9" t="s">
        <v>170</v>
      </c>
      <c r="O37" s="18" t="s">
        <v>601</v>
      </c>
      <c r="P37" s="18" t="s">
        <v>602</v>
      </c>
      <c r="Q37" s="18">
        <v>514238814</v>
      </c>
      <c r="R37" s="18" t="s">
        <v>528</v>
      </c>
      <c r="S37" s="104" t="s">
        <v>529</v>
      </c>
      <c r="T37" s="104"/>
      <c r="U37" s="104">
        <v>103</v>
      </c>
      <c r="V37" s="103"/>
    </row>
    <row r="38" spans="1:26" ht="15.75" customHeight="1">
      <c r="A38" s="8">
        <v>37</v>
      </c>
      <c r="B38" s="104" t="s">
        <v>413</v>
      </c>
      <c r="C38" s="104" t="s">
        <v>48</v>
      </c>
      <c r="D38" s="159"/>
      <c r="E38" s="159"/>
      <c r="F38" s="159"/>
      <c r="G38" s="159"/>
      <c r="H38" s="18">
        <v>50</v>
      </c>
      <c r="I38" s="101">
        <v>50</v>
      </c>
      <c r="J38" s="18">
        <v>50</v>
      </c>
      <c r="K38" s="176">
        <v>41829</v>
      </c>
      <c r="L38" s="99">
        <v>41830</v>
      </c>
      <c r="M38" s="99">
        <v>42464</v>
      </c>
      <c r="N38" s="9" t="s">
        <v>170</v>
      </c>
      <c r="O38" s="18" t="s">
        <v>534</v>
      </c>
      <c r="P38" s="18" t="s">
        <v>535</v>
      </c>
      <c r="Q38" s="18">
        <v>601610131</v>
      </c>
      <c r="R38" s="104"/>
      <c r="S38" s="104" t="s">
        <v>536</v>
      </c>
      <c r="T38" s="104"/>
      <c r="U38" s="104">
        <v>105</v>
      </c>
      <c r="V38" s="103"/>
    </row>
    <row r="39" spans="1:26" ht="15.75" customHeight="1">
      <c r="A39" s="8">
        <v>38</v>
      </c>
      <c r="B39" s="104" t="s">
        <v>543</v>
      </c>
      <c r="C39" s="104" t="s">
        <v>544</v>
      </c>
      <c r="D39" s="159"/>
      <c r="E39" s="159"/>
      <c r="F39" s="159"/>
      <c r="G39" s="159"/>
      <c r="H39" s="18">
        <v>50</v>
      </c>
      <c r="I39" s="58">
        <v>50</v>
      </c>
      <c r="J39" s="10"/>
      <c r="K39" s="176">
        <v>41871</v>
      </c>
      <c r="L39" s="99">
        <v>41871</v>
      </c>
      <c r="M39" s="99">
        <v>42233</v>
      </c>
      <c r="N39" s="9" t="s">
        <v>170</v>
      </c>
      <c r="O39" s="39" t="s">
        <v>605</v>
      </c>
      <c r="P39" s="39" t="s">
        <v>606</v>
      </c>
      <c r="Q39" s="18">
        <v>604254331</v>
      </c>
      <c r="R39" s="39" t="s">
        <v>607</v>
      </c>
      <c r="S39" s="104" t="s">
        <v>547</v>
      </c>
      <c r="T39" s="104"/>
      <c r="U39" s="104">
        <v>107</v>
      </c>
      <c r="V39" s="103"/>
    </row>
    <row r="40" spans="1:26" ht="15.75" customHeight="1">
      <c r="A40" s="8">
        <v>39</v>
      </c>
      <c r="B40" s="104" t="s">
        <v>194</v>
      </c>
      <c r="C40" s="104" t="s">
        <v>548</v>
      </c>
      <c r="D40" s="159"/>
      <c r="E40" s="159"/>
      <c r="F40" s="159"/>
      <c r="G40" s="159"/>
      <c r="H40" s="18">
        <v>50</v>
      </c>
      <c r="I40" s="101">
        <v>50</v>
      </c>
      <c r="J40" s="18">
        <v>50</v>
      </c>
      <c r="K40" s="176">
        <v>41896</v>
      </c>
      <c r="L40" s="99">
        <v>41899</v>
      </c>
      <c r="M40" s="99">
        <v>42438</v>
      </c>
      <c r="N40" s="9" t="s">
        <v>170</v>
      </c>
      <c r="O40" s="18" t="s">
        <v>549</v>
      </c>
      <c r="P40" s="18" t="s">
        <v>550</v>
      </c>
      <c r="Q40" s="108">
        <v>604235534</v>
      </c>
      <c r="R40" s="104"/>
      <c r="S40" s="104" t="s">
        <v>551</v>
      </c>
      <c r="T40" s="104"/>
      <c r="U40" s="104">
        <v>108</v>
      </c>
      <c r="V40" s="103"/>
    </row>
    <row r="41" spans="1:26" ht="15.75" customHeight="1">
      <c r="A41" s="8">
        <v>40</v>
      </c>
      <c r="B41" s="104" t="s">
        <v>388</v>
      </c>
      <c r="C41" s="104" t="s">
        <v>552</v>
      </c>
      <c r="D41" s="159"/>
      <c r="E41" s="159"/>
      <c r="F41" s="159"/>
      <c r="G41" s="159"/>
      <c r="H41" s="18">
        <v>50</v>
      </c>
      <c r="I41" s="101">
        <v>50</v>
      </c>
      <c r="J41" s="18"/>
      <c r="K41" s="176">
        <v>41922</v>
      </c>
      <c r="L41" s="99">
        <v>41918</v>
      </c>
      <c r="M41" s="99">
        <v>42254</v>
      </c>
      <c r="N41" s="18" t="s">
        <v>378</v>
      </c>
      <c r="O41" s="167" t="s">
        <v>553</v>
      </c>
      <c r="P41" s="108" t="s">
        <v>554</v>
      </c>
      <c r="Q41" s="18">
        <v>698418581</v>
      </c>
      <c r="R41" s="104"/>
      <c r="S41" s="7" t="s">
        <v>555</v>
      </c>
      <c r="T41" s="104"/>
      <c r="U41" s="104">
        <v>109</v>
      </c>
      <c r="V41" s="103"/>
    </row>
    <row r="42" spans="1:26" ht="15.75" customHeight="1">
      <c r="A42" s="8">
        <v>41</v>
      </c>
      <c r="B42" s="104" t="s">
        <v>559</v>
      </c>
      <c r="C42" s="104" t="s">
        <v>560</v>
      </c>
      <c r="D42" s="159"/>
      <c r="E42" s="159"/>
      <c r="F42" s="159"/>
      <c r="G42" s="159"/>
      <c r="H42" s="18">
        <v>50</v>
      </c>
      <c r="I42" s="101">
        <v>50</v>
      </c>
      <c r="J42" s="170">
        <v>50</v>
      </c>
      <c r="K42" s="177">
        <v>41983</v>
      </c>
      <c r="L42" s="106">
        <v>41984</v>
      </c>
      <c r="M42" s="106">
        <v>42732</v>
      </c>
      <c r="N42" s="18" t="s">
        <v>378</v>
      </c>
      <c r="O42" s="18" t="s">
        <v>561</v>
      </c>
      <c r="P42" s="18" t="s">
        <v>562</v>
      </c>
      <c r="Q42" s="18">
        <v>663946803</v>
      </c>
      <c r="R42" s="104"/>
      <c r="S42" s="104" t="s">
        <v>563</v>
      </c>
      <c r="T42" s="104"/>
      <c r="U42" s="104">
        <v>111</v>
      </c>
      <c r="V42" s="103"/>
    </row>
    <row r="43" spans="1:26" ht="15.75" customHeight="1">
      <c r="A43" s="8">
        <v>42</v>
      </c>
      <c r="B43" s="104" t="s">
        <v>429</v>
      </c>
      <c r="C43" s="104" t="s">
        <v>564</v>
      </c>
      <c r="D43" s="159"/>
      <c r="E43" s="159"/>
      <c r="F43" s="159"/>
      <c r="G43" s="159"/>
      <c r="H43" s="18">
        <v>50</v>
      </c>
      <c r="I43" s="101">
        <v>50</v>
      </c>
      <c r="J43" s="18">
        <v>50</v>
      </c>
      <c r="K43" s="177">
        <v>41984</v>
      </c>
      <c r="L43" s="106">
        <v>41984</v>
      </c>
      <c r="M43" s="106">
        <v>42464</v>
      </c>
      <c r="N43" s="9" t="s">
        <v>170</v>
      </c>
      <c r="O43" s="18" t="s">
        <v>565</v>
      </c>
      <c r="P43" s="18" t="s">
        <v>566</v>
      </c>
      <c r="Q43" s="104"/>
      <c r="R43" s="104"/>
      <c r="S43" s="104" t="s">
        <v>567</v>
      </c>
      <c r="T43" s="104"/>
      <c r="U43" s="104">
        <v>112</v>
      </c>
      <c r="V43" s="103"/>
    </row>
    <row r="44" spans="1:26" ht="15.75" customHeight="1">
      <c r="A44" s="8">
        <v>43</v>
      </c>
      <c r="B44" s="104" t="s">
        <v>688</v>
      </c>
      <c r="C44" s="104" t="s">
        <v>569</v>
      </c>
      <c r="D44" s="159"/>
      <c r="E44" s="159"/>
      <c r="F44" s="159"/>
      <c r="G44" s="159"/>
      <c r="H44" s="18">
        <v>50</v>
      </c>
      <c r="I44" s="101">
        <v>50</v>
      </c>
      <c r="J44" s="18">
        <v>50</v>
      </c>
      <c r="K44" s="176">
        <v>41982</v>
      </c>
      <c r="L44" s="99">
        <v>41997</v>
      </c>
      <c r="M44" s="99">
        <v>42453</v>
      </c>
      <c r="N44" s="18" t="s">
        <v>689</v>
      </c>
      <c r="O44" s="18" t="s">
        <v>570</v>
      </c>
      <c r="P44" s="18" t="s">
        <v>571</v>
      </c>
      <c r="Q44" s="18">
        <v>783419327</v>
      </c>
      <c r="R44" s="104"/>
      <c r="S44" s="7" t="s">
        <v>572</v>
      </c>
      <c r="T44" s="104"/>
      <c r="U44" s="104">
        <v>113</v>
      </c>
      <c r="V44" s="103"/>
    </row>
    <row r="45" spans="1:26" ht="15.75" customHeight="1">
      <c r="A45" s="8">
        <v>44</v>
      </c>
      <c r="B45" s="104" t="s">
        <v>42</v>
      </c>
      <c r="C45" s="104" t="s">
        <v>609</v>
      </c>
      <c r="D45" s="159"/>
      <c r="E45" s="159"/>
      <c r="F45" s="159"/>
      <c r="G45" s="159"/>
      <c r="H45" s="159"/>
      <c r="I45" s="101">
        <v>50</v>
      </c>
      <c r="J45" s="18"/>
      <c r="K45" s="176">
        <v>42007</v>
      </c>
      <c r="L45" s="99">
        <v>42009</v>
      </c>
      <c r="M45" s="99">
        <v>42009</v>
      </c>
      <c r="N45" s="9" t="s">
        <v>170</v>
      </c>
      <c r="O45" s="167" t="s">
        <v>610</v>
      </c>
      <c r="P45" s="18" t="s">
        <v>611</v>
      </c>
      <c r="Q45" s="108">
        <v>787775417</v>
      </c>
      <c r="R45" s="104"/>
      <c r="S45" s="104" t="s">
        <v>612</v>
      </c>
      <c r="T45" s="104"/>
      <c r="U45" s="104">
        <v>114</v>
      </c>
      <c r="V45" s="103"/>
    </row>
    <row r="46" spans="1:26" ht="15.75" customHeight="1">
      <c r="A46" s="8">
        <v>45</v>
      </c>
      <c r="B46" s="104" t="s">
        <v>481</v>
      </c>
      <c r="C46" s="104" t="s">
        <v>613</v>
      </c>
      <c r="D46" s="159"/>
      <c r="E46" s="159"/>
      <c r="F46" s="159"/>
      <c r="G46" s="159"/>
      <c r="H46" s="159"/>
      <c r="I46" s="101">
        <v>50</v>
      </c>
      <c r="J46" s="18">
        <v>100</v>
      </c>
      <c r="K46" s="176">
        <v>42024</v>
      </c>
      <c r="L46" s="99">
        <v>42024</v>
      </c>
      <c r="M46" s="99">
        <v>42500</v>
      </c>
      <c r="N46" s="9" t="s">
        <v>170</v>
      </c>
      <c r="O46" s="167" t="s">
        <v>614</v>
      </c>
      <c r="P46" s="18" t="s">
        <v>615</v>
      </c>
      <c r="Q46" s="18">
        <v>698088272</v>
      </c>
      <c r="R46" s="104" t="s">
        <v>616</v>
      </c>
      <c r="S46" s="104" t="s">
        <v>617</v>
      </c>
      <c r="T46" s="104"/>
      <c r="U46" s="104">
        <v>115</v>
      </c>
      <c r="V46" s="103"/>
    </row>
    <row r="47" spans="1:26" ht="15.75" customHeight="1">
      <c r="A47" s="8">
        <v>46</v>
      </c>
      <c r="B47" s="104" t="s">
        <v>618</v>
      </c>
      <c r="C47" s="104" t="s">
        <v>619</v>
      </c>
      <c r="D47" s="159"/>
      <c r="E47" s="159"/>
      <c r="F47" s="159"/>
      <c r="G47" s="159"/>
      <c r="H47" s="159"/>
      <c r="I47" s="101">
        <v>50</v>
      </c>
      <c r="J47" s="18"/>
      <c r="K47" s="176">
        <v>42058</v>
      </c>
      <c r="L47" s="99">
        <v>42059</v>
      </c>
      <c r="M47" s="99">
        <v>42059</v>
      </c>
      <c r="N47" s="9" t="s">
        <v>170</v>
      </c>
      <c r="O47" s="18" t="s">
        <v>620</v>
      </c>
      <c r="P47" s="18" t="s">
        <v>621</v>
      </c>
      <c r="Q47" s="18">
        <v>668525192</v>
      </c>
      <c r="R47" s="104"/>
      <c r="S47" s="20" t="s">
        <v>622</v>
      </c>
      <c r="T47" s="104"/>
      <c r="U47" s="104">
        <v>116</v>
      </c>
      <c r="V47" s="103"/>
    </row>
    <row r="48" spans="1:26" ht="15.75" customHeight="1">
      <c r="A48" s="8">
        <v>47</v>
      </c>
      <c r="B48" s="104" t="s">
        <v>134</v>
      </c>
      <c r="C48" s="104" t="s">
        <v>623</v>
      </c>
      <c r="D48" s="159"/>
      <c r="E48" s="159"/>
      <c r="F48" s="159"/>
      <c r="G48" s="159"/>
      <c r="H48" s="159"/>
      <c r="I48" s="101">
        <v>50</v>
      </c>
      <c r="J48" s="18"/>
      <c r="K48" s="176">
        <v>42065</v>
      </c>
      <c r="L48" s="99">
        <v>42065</v>
      </c>
      <c r="M48" s="99">
        <v>42065</v>
      </c>
      <c r="N48" s="9" t="s">
        <v>170</v>
      </c>
      <c r="O48" s="18" t="s">
        <v>624</v>
      </c>
      <c r="P48" s="18" t="s">
        <v>625</v>
      </c>
      <c r="Q48" s="18">
        <v>606228966</v>
      </c>
      <c r="R48" s="104"/>
      <c r="S48" s="20" t="s">
        <v>626</v>
      </c>
      <c r="T48" s="104"/>
      <c r="U48" s="104">
        <v>117</v>
      </c>
      <c r="V48" s="103"/>
    </row>
    <row r="49" spans="1:22" ht="15.75" customHeight="1">
      <c r="A49" s="8">
        <v>48</v>
      </c>
      <c r="B49" s="104" t="s">
        <v>637</v>
      </c>
      <c r="C49" s="104" t="s">
        <v>638</v>
      </c>
      <c r="D49" s="159"/>
      <c r="E49" s="159"/>
      <c r="F49" s="159"/>
      <c r="G49" s="159"/>
      <c r="H49" s="159"/>
      <c r="I49" s="101">
        <v>50</v>
      </c>
      <c r="J49" s="18"/>
      <c r="K49" s="178">
        <v>42144</v>
      </c>
      <c r="L49" s="169">
        <v>42144</v>
      </c>
      <c r="M49" s="169">
        <v>42144</v>
      </c>
      <c r="N49" s="9" t="s">
        <v>64</v>
      </c>
      <c r="O49" s="167" t="s">
        <v>639</v>
      </c>
      <c r="P49" s="167" t="s">
        <v>640</v>
      </c>
      <c r="Q49" s="167">
        <v>794751415</v>
      </c>
      <c r="R49" s="20" t="s">
        <v>641</v>
      </c>
      <c r="S49" s="20" t="s">
        <v>642</v>
      </c>
      <c r="T49" s="20"/>
      <c r="U49" s="20">
        <v>118</v>
      </c>
      <c r="V49" s="20"/>
    </row>
    <row r="50" spans="1:22" ht="15.75" customHeight="1">
      <c r="A50" s="8">
        <v>49</v>
      </c>
      <c r="B50" s="104" t="s">
        <v>108</v>
      </c>
      <c r="C50" s="104" t="s">
        <v>544</v>
      </c>
      <c r="D50" s="159"/>
      <c r="E50" s="159"/>
      <c r="F50" s="159"/>
      <c r="G50" s="159"/>
      <c r="H50" s="159"/>
      <c r="I50" s="101">
        <v>50</v>
      </c>
      <c r="J50" s="18">
        <v>50</v>
      </c>
      <c r="K50" s="179"/>
      <c r="L50" s="169">
        <v>42165</v>
      </c>
      <c r="M50" s="169">
        <v>42576</v>
      </c>
      <c r="N50" s="9" t="s">
        <v>170</v>
      </c>
      <c r="O50" s="167" t="s">
        <v>643</v>
      </c>
      <c r="P50" s="18" t="s">
        <v>644</v>
      </c>
      <c r="Q50" s="20"/>
      <c r="R50" s="20"/>
      <c r="S50" s="20"/>
      <c r="T50" s="20"/>
      <c r="U50" s="20">
        <v>119</v>
      </c>
      <c r="V50" s="20"/>
    </row>
    <row r="51" spans="1:22" ht="15.75" customHeight="1">
      <c r="A51" s="8">
        <v>50</v>
      </c>
      <c r="B51" s="104" t="s">
        <v>645</v>
      </c>
      <c r="C51" s="104" t="s">
        <v>646</v>
      </c>
      <c r="D51" s="159"/>
      <c r="E51" s="159"/>
      <c r="F51" s="159"/>
      <c r="G51" s="159"/>
      <c r="H51" s="159"/>
      <c r="I51" s="101">
        <v>50</v>
      </c>
      <c r="J51" s="18"/>
      <c r="K51" s="178">
        <v>42165</v>
      </c>
      <c r="L51" s="169">
        <v>42188</v>
      </c>
      <c r="M51" s="169">
        <v>42188</v>
      </c>
      <c r="N51" s="9" t="s">
        <v>170</v>
      </c>
      <c r="O51" s="167" t="s">
        <v>647</v>
      </c>
      <c r="P51" s="167" t="s">
        <v>648</v>
      </c>
      <c r="Q51" s="167">
        <v>512480376</v>
      </c>
      <c r="R51" s="20"/>
      <c r="S51" s="20" t="s">
        <v>649</v>
      </c>
      <c r="T51" s="20"/>
      <c r="U51" s="20">
        <v>120</v>
      </c>
      <c r="V51" s="20"/>
    </row>
    <row r="52" spans="1:22" ht="15.75" customHeight="1">
      <c r="A52" s="8">
        <v>51</v>
      </c>
      <c r="B52" s="104" t="s">
        <v>134</v>
      </c>
      <c r="C52" s="104" t="s">
        <v>650</v>
      </c>
      <c r="D52" s="159"/>
      <c r="E52" s="159"/>
      <c r="F52" s="159"/>
      <c r="G52" s="159"/>
      <c r="H52" s="159"/>
      <c r="I52" s="101">
        <v>50</v>
      </c>
      <c r="J52" s="18"/>
      <c r="K52" s="178">
        <v>42268</v>
      </c>
      <c r="L52" s="169">
        <v>42268</v>
      </c>
      <c r="M52" s="169">
        <v>42268</v>
      </c>
      <c r="N52" s="9" t="s">
        <v>170</v>
      </c>
      <c r="O52" s="167" t="s">
        <v>651</v>
      </c>
      <c r="P52" s="167" t="s">
        <v>652</v>
      </c>
      <c r="Q52" s="167">
        <v>791115340</v>
      </c>
      <c r="R52" s="20"/>
      <c r="S52" s="20" t="s">
        <v>653</v>
      </c>
      <c r="T52" s="20">
        <v>226491904</v>
      </c>
      <c r="U52" s="20">
        <v>121</v>
      </c>
      <c r="V52" s="20"/>
    </row>
    <row r="53" spans="1:22" ht="15.75" customHeight="1">
      <c r="A53" s="8">
        <v>52</v>
      </c>
      <c r="B53" s="104" t="s">
        <v>268</v>
      </c>
      <c r="C53" s="104" t="s">
        <v>654</v>
      </c>
      <c r="D53" s="159"/>
      <c r="E53" s="159"/>
      <c r="F53" s="159"/>
      <c r="G53" s="159"/>
      <c r="H53" s="159"/>
      <c r="I53" s="101">
        <v>50</v>
      </c>
      <c r="J53" s="18"/>
      <c r="K53" s="178">
        <v>42263</v>
      </c>
      <c r="L53" s="169">
        <v>42289</v>
      </c>
      <c r="M53" s="169">
        <v>42289</v>
      </c>
      <c r="N53" s="9" t="s">
        <v>170</v>
      </c>
      <c r="O53" s="167" t="s">
        <v>655</v>
      </c>
      <c r="P53" s="167" t="s">
        <v>656</v>
      </c>
      <c r="Q53" s="167" t="s">
        <v>657</v>
      </c>
      <c r="R53" s="20"/>
      <c r="S53" s="20" t="s">
        <v>658</v>
      </c>
      <c r="T53" s="20"/>
      <c r="U53" s="20">
        <v>122</v>
      </c>
      <c r="V53" s="20"/>
    </row>
    <row r="54" spans="1:22" ht="15.75" customHeight="1">
      <c r="A54" s="8">
        <v>53</v>
      </c>
      <c r="B54" s="104" t="s">
        <v>663</v>
      </c>
      <c r="C54" s="104" t="s">
        <v>664</v>
      </c>
      <c r="D54" s="159"/>
      <c r="E54" s="159"/>
      <c r="F54" s="159"/>
      <c r="G54" s="159"/>
      <c r="H54" s="159"/>
      <c r="I54" s="101">
        <v>50</v>
      </c>
      <c r="J54" s="18"/>
      <c r="K54" s="178">
        <v>42289</v>
      </c>
      <c r="L54" s="169">
        <v>42289</v>
      </c>
      <c r="M54" s="169">
        <v>42289</v>
      </c>
      <c r="N54" s="9" t="s">
        <v>170</v>
      </c>
      <c r="O54" s="167" t="s">
        <v>665</v>
      </c>
      <c r="P54" s="167" t="s">
        <v>259</v>
      </c>
      <c r="Q54" s="167">
        <v>508381500</v>
      </c>
      <c r="R54" s="20"/>
      <c r="S54" s="20" t="s">
        <v>666</v>
      </c>
      <c r="T54" s="20"/>
      <c r="U54" s="20">
        <v>124</v>
      </c>
      <c r="V54" s="20"/>
    </row>
    <row r="55" spans="1:22" ht="15.75" customHeight="1">
      <c r="A55" s="8">
        <v>54</v>
      </c>
      <c r="B55" s="104" t="s">
        <v>13</v>
      </c>
      <c r="C55" s="104" t="s">
        <v>667</v>
      </c>
      <c r="D55" s="159"/>
      <c r="E55" s="159"/>
      <c r="F55" s="159"/>
      <c r="G55" s="159"/>
      <c r="H55" s="159"/>
      <c r="I55" s="101">
        <v>50</v>
      </c>
      <c r="J55" s="18">
        <v>50</v>
      </c>
      <c r="K55" s="178">
        <v>42311</v>
      </c>
      <c r="L55" s="169">
        <v>42312</v>
      </c>
      <c r="M55" s="169">
        <v>42695</v>
      </c>
      <c r="N55" s="9" t="s">
        <v>170</v>
      </c>
      <c r="O55" s="167" t="s">
        <v>668</v>
      </c>
      <c r="P55" s="167" t="s">
        <v>669</v>
      </c>
      <c r="Q55" s="167">
        <v>792423168</v>
      </c>
      <c r="R55" s="20"/>
      <c r="S55" s="20" t="s">
        <v>670</v>
      </c>
      <c r="T55" s="20"/>
      <c r="U55" s="20">
        <v>125</v>
      </c>
      <c r="V55" s="166" t="s">
        <v>200</v>
      </c>
    </row>
    <row r="56" spans="1:22" ht="15.75" customHeight="1">
      <c r="A56" s="8">
        <v>55</v>
      </c>
      <c r="B56" s="20" t="s">
        <v>673</v>
      </c>
      <c r="C56" s="104" t="s">
        <v>674</v>
      </c>
      <c r="D56" s="159"/>
      <c r="E56" s="159"/>
      <c r="F56" s="159"/>
      <c r="G56" s="159"/>
      <c r="H56" s="159"/>
      <c r="I56" s="101">
        <v>50</v>
      </c>
      <c r="J56" s="18"/>
      <c r="K56" s="178">
        <v>42334</v>
      </c>
      <c r="L56" s="169">
        <v>42335</v>
      </c>
      <c r="M56" s="169">
        <v>42335</v>
      </c>
      <c r="N56" s="9" t="s">
        <v>170</v>
      </c>
      <c r="O56" s="167" t="s">
        <v>675</v>
      </c>
      <c r="P56" s="167" t="s">
        <v>676</v>
      </c>
      <c r="Q56" s="167">
        <v>509828512</v>
      </c>
      <c r="R56" s="20"/>
      <c r="S56" s="20" t="s">
        <v>677</v>
      </c>
      <c r="T56" s="20"/>
      <c r="U56" s="20">
        <v>126</v>
      </c>
      <c r="V56" s="20"/>
    </row>
    <row r="57" spans="1:22" ht="15.75" customHeight="1">
      <c r="A57" s="8">
        <v>56</v>
      </c>
      <c r="B57" s="104" t="s">
        <v>678</v>
      </c>
      <c r="C57" s="104" t="s">
        <v>679</v>
      </c>
      <c r="D57" s="159"/>
      <c r="E57" s="159"/>
      <c r="F57" s="159"/>
      <c r="G57" s="159"/>
      <c r="H57" s="159"/>
      <c r="I57" s="101">
        <v>50</v>
      </c>
      <c r="J57" s="18"/>
      <c r="K57" s="178">
        <v>42358</v>
      </c>
      <c r="L57" s="169">
        <v>42359</v>
      </c>
      <c r="M57" s="169">
        <v>42359</v>
      </c>
      <c r="N57" s="9" t="s">
        <v>170</v>
      </c>
      <c r="O57" s="167" t="s">
        <v>680</v>
      </c>
      <c r="P57" s="167" t="s">
        <v>681</v>
      </c>
      <c r="Q57" s="167">
        <v>791620676</v>
      </c>
      <c r="R57" s="20"/>
      <c r="S57" s="20" t="s">
        <v>682</v>
      </c>
      <c r="T57" s="20"/>
      <c r="U57" s="20">
        <v>127</v>
      </c>
      <c r="V57" s="20"/>
    </row>
    <row r="58" spans="1:22" ht="15.75" customHeight="1">
      <c r="A58" s="8">
        <v>57</v>
      </c>
      <c r="B58" s="104" t="s">
        <v>690</v>
      </c>
      <c r="C58" s="104" t="s">
        <v>691</v>
      </c>
      <c r="D58" s="159"/>
      <c r="E58" s="159"/>
      <c r="F58" s="159"/>
      <c r="G58" s="159"/>
      <c r="H58" s="159"/>
      <c r="I58" s="159"/>
      <c r="J58" s="18">
        <v>50</v>
      </c>
      <c r="K58" s="169">
        <v>42396</v>
      </c>
      <c r="L58" s="169">
        <v>42397</v>
      </c>
      <c r="M58" s="169">
        <v>42397</v>
      </c>
      <c r="N58" s="20" t="s">
        <v>170</v>
      </c>
      <c r="O58" s="167" t="s">
        <v>692</v>
      </c>
      <c r="P58" s="167" t="s">
        <v>693</v>
      </c>
      <c r="Q58" s="167">
        <v>604108116</v>
      </c>
      <c r="R58" s="20" t="s">
        <v>694</v>
      </c>
      <c r="S58" s="20" t="s">
        <v>695</v>
      </c>
      <c r="T58" s="20"/>
      <c r="U58" s="20">
        <v>128</v>
      </c>
      <c r="V58" s="20"/>
    </row>
    <row r="59" spans="1:22" ht="15.75" customHeight="1">
      <c r="A59" s="8">
        <v>58</v>
      </c>
      <c r="B59" s="180" t="s">
        <v>696</v>
      </c>
      <c r="C59" s="104" t="s">
        <v>697</v>
      </c>
      <c r="D59" s="159"/>
      <c r="E59" s="159"/>
      <c r="F59" s="159"/>
      <c r="G59" s="159"/>
      <c r="H59" s="159"/>
      <c r="I59" s="159"/>
      <c r="J59" s="18">
        <v>50</v>
      </c>
      <c r="K59" s="169">
        <v>42422</v>
      </c>
      <c r="L59" s="169">
        <v>42424</v>
      </c>
      <c r="M59" s="169">
        <v>42424</v>
      </c>
      <c r="N59" s="20" t="s">
        <v>170</v>
      </c>
      <c r="O59" s="181" t="s">
        <v>698</v>
      </c>
      <c r="P59" s="181" t="s">
        <v>699</v>
      </c>
      <c r="Q59" s="181">
        <v>792654967</v>
      </c>
      <c r="R59" s="20"/>
      <c r="S59" s="20" t="s">
        <v>700</v>
      </c>
      <c r="T59" s="20"/>
      <c r="U59" s="20">
        <v>129</v>
      </c>
      <c r="V59" s="20"/>
    </row>
    <row r="60" spans="1:22" ht="15.75" customHeight="1">
      <c r="A60" s="8">
        <v>59</v>
      </c>
      <c r="B60" s="104" t="s">
        <v>701</v>
      </c>
      <c r="C60" s="104" t="s">
        <v>702</v>
      </c>
      <c r="D60" s="159"/>
      <c r="E60" s="159"/>
      <c r="F60" s="159"/>
      <c r="G60" s="159"/>
      <c r="H60" s="159"/>
      <c r="I60" s="159"/>
      <c r="J60" s="18">
        <v>50</v>
      </c>
      <c r="K60" s="169">
        <v>42429</v>
      </c>
      <c r="L60" s="169">
        <v>42429</v>
      </c>
      <c r="M60" s="169">
        <v>42429</v>
      </c>
      <c r="N60" s="20" t="s">
        <v>170</v>
      </c>
      <c r="O60" s="181" t="s">
        <v>703</v>
      </c>
      <c r="P60" s="181" t="s">
        <v>704</v>
      </c>
      <c r="Q60" s="181">
        <v>600294958</v>
      </c>
      <c r="R60" s="20"/>
      <c r="S60" s="20" t="s">
        <v>705</v>
      </c>
      <c r="T60" s="20"/>
      <c r="U60" s="20">
        <v>130</v>
      </c>
      <c r="V60" s="20"/>
    </row>
    <row r="61" spans="1:22" ht="15.75" customHeight="1">
      <c r="A61" s="8">
        <v>60</v>
      </c>
      <c r="B61" s="104" t="s">
        <v>506</v>
      </c>
      <c r="C61" s="104" t="s">
        <v>706</v>
      </c>
      <c r="D61" s="159"/>
      <c r="E61" s="159"/>
      <c r="F61" s="159"/>
      <c r="G61" s="159"/>
      <c r="H61" s="159"/>
      <c r="I61" s="159"/>
      <c r="J61" s="18">
        <v>50</v>
      </c>
      <c r="K61" s="169">
        <v>42441</v>
      </c>
      <c r="L61" s="169">
        <v>42450</v>
      </c>
      <c r="M61" s="169">
        <v>42450</v>
      </c>
      <c r="N61" s="18" t="s">
        <v>689</v>
      </c>
      <c r="O61" s="181" t="s">
        <v>707</v>
      </c>
      <c r="P61" s="181" t="s">
        <v>708</v>
      </c>
      <c r="Q61" s="181">
        <v>501174592</v>
      </c>
      <c r="R61" s="20"/>
      <c r="S61" s="20" t="s">
        <v>709</v>
      </c>
      <c r="T61" s="20"/>
      <c r="U61" s="20">
        <v>131</v>
      </c>
      <c r="V61" s="20"/>
    </row>
    <row r="62" spans="1:22" ht="15.75" customHeight="1">
      <c r="A62" s="8">
        <v>61</v>
      </c>
      <c r="B62" s="97" t="s">
        <v>194</v>
      </c>
      <c r="C62" s="97" t="s">
        <v>710</v>
      </c>
      <c r="D62" s="163"/>
      <c r="E62" s="163"/>
      <c r="F62" s="163"/>
      <c r="G62" s="163"/>
      <c r="H62" s="163"/>
      <c r="I62" s="163"/>
      <c r="J62" s="91">
        <v>50</v>
      </c>
      <c r="K62" s="182">
        <v>42510</v>
      </c>
      <c r="L62" s="182">
        <v>42510</v>
      </c>
      <c r="M62" s="182">
        <v>42510</v>
      </c>
      <c r="N62" s="183" t="s">
        <v>170</v>
      </c>
      <c r="O62" s="184" t="s">
        <v>711</v>
      </c>
      <c r="P62" s="184" t="s">
        <v>712</v>
      </c>
      <c r="Q62" s="185">
        <v>605206191</v>
      </c>
      <c r="R62" s="183"/>
      <c r="S62" s="183" t="s">
        <v>713</v>
      </c>
      <c r="T62" s="20"/>
      <c r="U62" s="183">
        <v>132</v>
      </c>
      <c r="V62" s="183"/>
    </row>
    <row r="63" spans="1:22" ht="15.75" customHeight="1">
      <c r="A63" s="8">
        <v>62</v>
      </c>
      <c r="B63" s="97" t="s">
        <v>13</v>
      </c>
      <c r="C63" s="97" t="s">
        <v>714</v>
      </c>
      <c r="D63" s="163"/>
      <c r="E63" s="163"/>
      <c r="F63" s="163"/>
      <c r="G63" s="163"/>
      <c r="H63" s="163"/>
      <c r="I63" s="163"/>
      <c r="J63" s="91">
        <v>50</v>
      </c>
      <c r="K63" s="182">
        <v>42604</v>
      </c>
      <c r="L63" s="182">
        <v>42605</v>
      </c>
      <c r="M63" s="182">
        <v>42605</v>
      </c>
      <c r="N63" s="183" t="s">
        <v>170</v>
      </c>
      <c r="O63" s="184" t="s">
        <v>715</v>
      </c>
      <c r="P63" s="184" t="s">
        <v>716</v>
      </c>
      <c r="Q63" s="184">
        <v>500854716</v>
      </c>
      <c r="R63" s="183"/>
      <c r="S63" s="183" t="s">
        <v>717</v>
      </c>
      <c r="U63" s="183">
        <v>133</v>
      </c>
      <c r="V63" s="183"/>
    </row>
    <row r="64" spans="1:22" ht="15.75" customHeight="1">
      <c r="A64" s="8">
        <v>63</v>
      </c>
      <c r="B64" s="104" t="s">
        <v>718</v>
      </c>
      <c r="C64" s="104" t="s">
        <v>719</v>
      </c>
      <c r="D64" s="159"/>
      <c r="E64" s="159"/>
      <c r="F64" s="159"/>
      <c r="G64" s="159"/>
      <c r="H64" s="159"/>
      <c r="I64" s="159"/>
      <c r="J64" s="18">
        <v>50</v>
      </c>
      <c r="K64" s="169"/>
      <c r="L64" s="169">
        <v>42628</v>
      </c>
      <c r="M64" s="169">
        <v>42628</v>
      </c>
      <c r="N64" s="20" t="s">
        <v>170</v>
      </c>
      <c r="O64" s="167" t="s">
        <v>720</v>
      </c>
      <c r="P64" s="167" t="s">
        <v>721</v>
      </c>
      <c r="Q64" s="186">
        <v>660415314</v>
      </c>
      <c r="R64" s="180"/>
      <c r="S64" s="20"/>
      <c r="T64" s="180"/>
      <c r="U64" s="20">
        <v>135</v>
      </c>
      <c r="V64" s="20"/>
    </row>
    <row r="65" spans="1:22" ht="15.75" customHeight="1">
      <c r="A65" s="8">
        <v>64</v>
      </c>
      <c r="B65" s="104" t="s">
        <v>618</v>
      </c>
      <c r="C65" s="104" t="s">
        <v>722</v>
      </c>
      <c r="D65" s="159"/>
      <c r="E65" s="159"/>
      <c r="F65" s="159"/>
      <c r="G65" s="159"/>
      <c r="H65" s="159"/>
      <c r="I65" s="159"/>
      <c r="J65" s="18">
        <v>50</v>
      </c>
      <c r="K65" s="169">
        <v>42633</v>
      </c>
      <c r="L65" s="169">
        <v>42636</v>
      </c>
      <c r="M65" s="169">
        <v>42636</v>
      </c>
      <c r="N65" s="20" t="s">
        <v>170</v>
      </c>
      <c r="O65" s="167" t="s">
        <v>723</v>
      </c>
      <c r="P65" s="12" t="s">
        <v>724</v>
      </c>
      <c r="Q65" s="187">
        <v>512612938</v>
      </c>
      <c r="R65" s="180"/>
      <c r="S65" s="20" t="s">
        <v>725</v>
      </c>
      <c r="T65" s="180"/>
      <c r="U65" s="20">
        <v>136</v>
      </c>
      <c r="V65" s="20"/>
    </row>
    <row r="66" spans="1:22" ht="15.75" customHeight="1">
      <c r="A66" s="8">
        <v>65</v>
      </c>
      <c r="B66" s="104" t="s">
        <v>631</v>
      </c>
      <c r="C66" s="104" t="s">
        <v>726</v>
      </c>
      <c r="D66" s="159"/>
      <c r="E66" s="159"/>
      <c r="F66" s="159"/>
      <c r="G66" s="159"/>
      <c r="H66" s="159"/>
      <c r="I66" s="159"/>
      <c r="J66" s="18">
        <v>50</v>
      </c>
      <c r="K66" s="169">
        <v>42661</v>
      </c>
      <c r="L66" s="169">
        <v>42661</v>
      </c>
      <c r="M66" s="169">
        <v>42661</v>
      </c>
      <c r="N66" s="20" t="s">
        <v>170</v>
      </c>
      <c r="O66" s="167" t="s">
        <v>727</v>
      </c>
      <c r="P66" s="12" t="s">
        <v>728</v>
      </c>
      <c r="Q66" s="167">
        <v>691464629</v>
      </c>
      <c r="R66" s="180"/>
      <c r="S66" s="20" t="s">
        <v>729</v>
      </c>
      <c r="T66" s="180"/>
      <c r="U66" s="20">
        <v>137</v>
      </c>
      <c r="V66" s="20"/>
    </row>
    <row r="67" spans="1:22" ht="15.75" customHeight="1">
      <c r="A67" s="8">
        <v>66</v>
      </c>
      <c r="B67" s="104" t="s">
        <v>441</v>
      </c>
      <c r="C67" s="104" t="s">
        <v>730</v>
      </c>
      <c r="D67" s="159"/>
      <c r="E67" s="159"/>
      <c r="F67" s="159"/>
      <c r="G67" s="159"/>
      <c r="H67" s="159"/>
      <c r="I67" s="159"/>
      <c r="J67" s="18">
        <v>100</v>
      </c>
      <c r="K67" s="169">
        <v>42674</v>
      </c>
      <c r="L67" s="169">
        <v>42674</v>
      </c>
      <c r="M67" s="169">
        <v>42674</v>
      </c>
      <c r="N67" s="20" t="s">
        <v>170</v>
      </c>
      <c r="O67" s="167" t="s">
        <v>731</v>
      </c>
      <c r="P67" s="12" t="s">
        <v>732</v>
      </c>
      <c r="Q67" s="186">
        <v>793604908</v>
      </c>
      <c r="R67" s="180"/>
      <c r="S67" s="20" t="s">
        <v>733</v>
      </c>
      <c r="T67" s="180"/>
      <c r="U67" s="20">
        <v>138</v>
      </c>
      <c r="V67" s="20"/>
    </row>
    <row r="68" spans="1:22" ht="15.75" customHeight="1">
      <c r="A68" s="8">
        <v>67</v>
      </c>
      <c r="B68" s="104" t="s">
        <v>194</v>
      </c>
      <c r="C68" s="104" t="s">
        <v>734</v>
      </c>
      <c r="D68" s="159"/>
      <c r="E68" s="159"/>
      <c r="F68" s="159"/>
      <c r="G68" s="159"/>
      <c r="H68" s="159"/>
      <c r="I68" s="159"/>
      <c r="J68" s="18">
        <v>50</v>
      </c>
      <c r="K68" s="169">
        <v>42716</v>
      </c>
      <c r="L68" s="169">
        <v>42716</v>
      </c>
      <c r="M68" s="169">
        <v>42716</v>
      </c>
      <c r="N68" s="20" t="s">
        <v>170</v>
      </c>
      <c r="O68" s="167" t="s">
        <v>735</v>
      </c>
      <c r="P68" s="167" t="s">
        <v>736</v>
      </c>
      <c r="Q68" s="167">
        <v>797482882</v>
      </c>
      <c r="R68" s="180"/>
      <c r="S68" s="20" t="s">
        <v>737</v>
      </c>
      <c r="T68" s="180"/>
      <c r="U68" s="20">
        <v>139</v>
      </c>
      <c r="V68" s="20"/>
    </row>
    <row r="69" spans="1:22" ht="15.75" customHeight="1">
      <c r="A69" s="8">
        <v>68</v>
      </c>
      <c r="B69" s="104" t="s">
        <v>738</v>
      </c>
      <c r="C69" s="104" t="s">
        <v>739</v>
      </c>
      <c r="D69" s="159"/>
      <c r="E69" s="159"/>
      <c r="F69" s="159"/>
      <c r="G69" s="159"/>
      <c r="H69" s="159"/>
      <c r="I69" s="159"/>
      <c r="J69" s="170">
        <v>50</v>
      </c>
      <c r="K69" s="169"/>
      <c r="L69" s="169"/>
      <c r="M69" s="169">
        <v>42732</v>
      </c>
      <c r="N69" s="20"/>
      <c r="O69" s="167"/>
      <c r="P69" s="167"/>
      <c r="Q69" s="167"/>
      <c r="R69" s="180"/>
      <c r="S69" s="20"/>
      <c r="T69" s="180"/>
      <c r="U69" s="20"/>
      <c r="V69" s="20"/>
    </row>
    <row r="70" spans="1:22" ht="15.75" customHeight="1">
      <c r="A70" s="22"/>
      <c r="B70" s="7"/>
      <c r="C70" s="7"/>
      <c r="D70" s="7"/>
      <c r="E70" s="7"/>
      <c r="F70" s="7"/>
      <c r="G70" s="7"/>
      <c r="H70" s="7"/>
      <c r="I70" s="7"/>
      <c r="J70" s="108"/>
      <c r="K70" s="171"/>
      <c r="L70" s="171"/>
      <c r="M70" s="171"/>
      <c r="N70" s="87"/>
      <c r="O70" s="39"/>
      <c r="P70" s="39"/>
      <c r="Q70" s="39"/>
      <c r="R70" s="188"/>
      <c r="S70" s="87"/>
      <c r="T70" s="188"/>
      <c r="U70" s="87"/>
      <c r="V70" s="87"/>
    </row>
    <row r="71" spans="1:22" ht="15.75" customHeight="1">
      <c r="A71" s="22"/>
      <c r="C71" s="7"/>
      <c r="K71" s="171"/>
      <c r="Q71" s="87"/>
    </row>
    <row r="72" spans="1:22" ht="15.75" customHeight="1">
      <c r="A72" s="172"/>
      <c r="B72" s="7" t="s">
        <v>683</v>
      </c>
      <c r="I72" s="141">
        <f t="shared" ref="I72:J72" si="0">SUM(I2:I69)</f>
        <v>3000</v>
      </c>
      <c r="J72" s="141">
        <f t="shared" si="0"/>
        <v>2600</v>
      </c>
      <c r="K72" s="39"/>
      <c r="Q72" s="87"/>
    </row>
    <row r="73" spans="1:22" ht="15.75" customHeight="1">
      <c r="B73" s="173" t="s">
        <v>684</v>
      </c>
      <c r="Q73" s="87"/>
    </row>
    <row r="74" spans="1:22" ht="15.75" customHeight="1">
      <c r="A74" s="174"/>
      <c r="B74" s="141" t="s">
        <v>685</v>
      </c>
      <c r="Q74" s="87"/>
    </row>
    <row r="75" spans="1:22" ht="15.75" customHeight="1">
      <c r="Q75" s="87"/>
    </row>
    <row r="76" spans="1:22" ht="15.75" customHeight="1">
      <c r="Q76" s="87"/>
    </row>
    <row r="77" spans="1:22" ht="15.75" customHeight="1">
      <c r="Q77" s="87"/>
    </row>
    <row r="78" spans="1:22" ht="15.75" customHeight="1">
      <c r="Q78" s="87"/>
    </row>
    <row r="79" spans="1:22" ht="15.75" customHeight="1">
      <c r="Q79" s="87"/>
    </row>
    <row r="80" spans="1:22" ht="15.75" customHeight="1">
      <c r="Q80" s="87"/>
    </row>
    <row r="81" spans="17:17" ht="15.75" customHeight="1">
      <c r="Q81" s="87"/>
    </row>
    <row r="82" spans="17:17" ht="15.75" customHeight="1">
      <c r="Q82" s="87"/>
    </row>
    <row r="83" spans="17:17" ht="15.75" customHeight="1">
      <c r="Q83" s="87"/>
    </row>
    <row r="84" spans="17:17" ht="15.75" customHeight="1">
      <c r="Q84" s="87"/>
    </row>
    <row r="85" spans="17:17" ht="15.75" customHeight="1">
      <c r="Q85" s="87"/>
    </row>
    <row r="86" spans="17:17" ht="15.75" customHeight="1">
      <c r="Q86" s="87"/>
    </row>
    <row r="87" spans="17:17" ht="15.75" customHeight="1">
      <c r="Q87" s="87"/>
    </row>
    <row r="88" spans="17:17" ht="15.75" customHeight="1">
      <c r="Q88" s="87"/>
    </row>
    <row r="89" spans="17:17" ht="15.75" customHeight="1">
      <c r="Q89" s="87"/>
    </row>
    <row r="90" spans="17:17" ht="15.75" customHeight="1">
      <c r="Q90" s="87"/>
    </row>
    <row r="91" spans="17:17" ht="15.75" customHeight="1">
      <c r="Q91" s="87"/>
    </row>
    <row r="92" spans="17:17" ht="15.75" customHeight="1">
      <c r="Q92" s="87"/>
    </row>
    <row r="93" spans="17:17" ht="15.75" customHeight="1">
      <c r="Q93" s="87"/>
    </row>
    <row r="94" spans="17:17" ht="15.75" customHeight="1">
      <c r="Q94" s="87"/>
    </row>
    <row r="95" spans="17:17" ht="15.75" customHeight="1">
      <c r="Q95" s="87"/>
    </row>
    <row r="96" spans="17:17" ht="15.75" customHeight="1">
      <c r="Q96" s="87"/>
    </row>
    <row r="97" spans="17:17" ht="15.75" customHeight="1">
      <c r="Q97" s="87"/>
    </row>
    <row r="98" spans="17:17" ht="15.75" customHeight="1">
      <c r="Q98" s="87"/>
    </row>
    <row r="99" spans="17:17" ht="15.75" customHeight="1">
      <c r="Q99" s="87"/>
    </row>
    <row r="100" spans="17:17" ht="15.75" customHeight="1">
      <c r="Q100" s="87"/>
    </row>
    <row r="101" spans="17:17" ht="15.75" customHeight="1">
      <c r="Q101" s="87"/>
    </row>
    <row r="102" spans="17:17" ht="15.75" customHeight="1">
      <c r="Q102" s="87"/>
    </row>
    <row r="103" spans="17:17" ht="15.75" customHeight="1">
      <c r="Q103" s="87"/>
    </row>
    <row r="104" spans="17:17" ht="15.75" customHeight="1">
      <c r="Q104" s="87"/>
    </row>
    <row r="105" spans="17:17" ht="15.75" customHeight="1">
      <c r="Q105" s="87"/>
    </row>
    <row r="106" spans="17:17" ht="15.75" customHeight="1">
      <c r="Q106" s="87"/>
    </row>
    <row r="107" spans="17:17" ht="15.75" customHeight="1">
      <c r="Q107" s="87"/>
    </row>
    <row r="108" spans="17:17" ht="15.75" customHeight="1">
      <c r="Q108" s="87"/>
    </row>
    <row r="109" spans="17:17" ht="15.75" customHeight="1">
      <c r="Q109" s="87"/>
    </row>
    <row r="110" spans="17:17" ht="15.75" customHeight="1">
      <c r="Q110" s="87"/>
    </row>
    <row r="111" spans="17:17" ht="15.75" customHeight="1">
      <c r="Q111" s="87"/>
    </row>
    <row r="112" spans="17:17" ht="15.75" customHeight="1">
      <c r="Q112" s="87"/>
    </row>
    <row r="113" spans="17:17" ht="15.75" customHeight="1">
      <c r="Q113" s="87"/>
    </row>
    <row r="114" spans="17:17" ht="15.75" customHeight="1">
      <c r="Q114" s="87"/>
    </row>
    <row r="115" spans="17:17" ht="15.75" customHeight="1">
      <c r="Q115" s="87"/>
    </row>
    <row r="116" spans="17:17" ht="15.75" customHeight="1">
      <c r="Q116" s="87"/>
    </row>
    <row r="117" spans="17:17" ht="15.75" customHeight="1">
      <c r="Q117" s="87"/>
    </row>
    <row r="118" spans="17:17" ht="15.75" customHeight="1">
      <c r="Q118" s="87"/>
    </row>
    <row r="119" spans="17:17" ht="15.75" customHeight="1">
      <c r="Q119" s="87"/>
    </row>
    <row r="120" spans="17:17" ht="15.75" customHeight="1">
      <c r="Q120" s="87"/>
    </row>
    <row r="121" spans="17:17" ht="15.75" customHeight="1">
      <c r="Q121" s="87"/>
    </row>
    <row r="122" spans="17:17" ht="15.75" customHeight="1">
      <c r="Q122" s="87"/>
    </row>
    <row r="123" spans="17:17" ht="15.75" customHeight="1">
      <c r="Q123" s="87"/>
    </row>
    <row r="124" spans="17:17" ht="15.75" customHeight="1">
      <c r="Q124" s="87"/>
    </row>
    <row r="125" spans="17:17" ht="15.75" customHeight="1">
      <c r="Q125" s="87"/>
    </row>
    <row r="126" spans="17:17" ht="15.75" customHeight="1">
      <c r="Q126" s="87"/>
    </row>
    <row r="127" spans="17:17" ht="15.75" customHeight="1">
      <c r="Q127" s="87"/>
    </row>
    <row r="128" spans="17:17" ht="15.75" customHeight="1">
      <c r="Q128" s="87"/>
    </row>
    <row r="129" spans="17:17" ht="15.75" customHeight="1">
      <c r="Q129" s="87"/>
    </row>
    <row r="130" spans="17:17" ht="15.75" customHeight="1">
      <c r="Q130" s="87"/>
    </row>
    <row r="131" spans="17:17" ht="15.75" customHeight="1">
      <c r="Q131" s="87"/>
    </row>
    <row r="132" spans="17:17" ht="15.75" customHeight="1">
      <c r="Q132" s="87"/>
    </row>
    <row r="133" spans="17:17" ht="15.75" customHeight="1">
      <c r="Q133" s="87"/>
    </row>
    <row r="134" spans="17:17" ht="15.75" customHeight="1">
      <c r="Q134" s="87"/>
    </row>
    <row r="135" spans="17:17" ht="15.75" customHeight="1">
      <c r="Q135" s="87"/>
    </row>
    <row r="136" spans="17:17" ht="15.75" customHeight="1">
      <c r="Q136" s="87"/>
    </row>
    <row r="137" spans="17:17" ht="15.75" customHeight="1">
      <c r="Q137" s="87"/>
    </row>
    <row r="138" spans="17:17" ht="15.75" customHeight="1">
      <c r="Q138" s="87"/>
    </row>
    <row r="139" spans="17:17" ht="15.75" customHeight="1">
      <c r="Q139" s="87"/>
    </row>
    <row r="140" spans="17:17" ht="15.75" customHeight="1">
      <c r="Q140" s="87"/>
    </row>
    <row r="141" spans="17:17" ht="15.75" customHeight="1">
      <c r="Q141" s="87"/>
    </row>
    <row r="142" spans="17:17" ht="15.75" customHeight="1">
      <c r="Q142" s="87"/>
    </row>
    <row r="143" spans="17:17" ht="15.75" customHeight="1">
      <c r="Q143" s="87"/>
    </row>
    <row r="144" spans="17:17" ht="15.75" customHeight="1">
      <c r="Q144" s="87"/>
    </row>
    <row r="145" spans="17:17" ht="15.75" customHeight="1">
      <c r="Q145" s="87"/>
    </row>
    <row r="146" spans="17:17" ht="15.75" customHeight="1">
      <c r="Q146" s="87"/>
    </row>
    <row r="147" spans="17:17" ht="15.75" customHeight="1">
      <c r="Q147" s="87"/>
    </row>
    <row r="148" spans="17:17" ht="15.75" customHeight="1">
      <c r="Q148" s="87"/>
    </row>
    <row r="149" spans="17:17" ht="15.75" customHeight="1">
      <c r="Q149" s="87"/>
    </row>
    <row r="150" spans="17:17" ht="15.75" customHeight="1">
      <c r="Q150" s="87"/>
    </row>
    <row r="151" spans="17:17" ht="15.75" customHeight="1">
      <c r="Q151" s="87"/>
    </row>
    <row r="152" spans="17:17" ht="15.75" customHeight="1">
      <c r="Q152" s="87"/>
    </row>
    <row r="153" spans="17:17" ht="15.75" customHeight="1">
      <c r="Q153" s="87"/>
    </row>
    <row r="154" spans="17:17" ht="15.75" customHeight="1">
      <c r="Q154" s="87"/>
    </row>
    <row r="155" spans="17:17" ht="15.75" customHeight="1">
      <c r="Q155" s="87"/>
    </row>
    <row r="156" spans="17:17" ht="15.75" customHeight="1">
      <c r="Q156" s="87"/>
    </row>
    <row r="157" spans="17:17" ht="15.75" customHeight="1">
      <c r="Q157" s="87"/>
    </row>
    <row r="158" spans="17:17" ht="15.75" customHeight="1">
      <c r="Q158" s="87"/>
    </row>
    <row r="159" spans="17:17" ht="15.75" customHeight="1">
      <c r="Q159" s="87"/>
    </row>
    <row r="160" spans="17:17" ht="15.75" customHeight="1">
      <c r="Q160" s="87"/>
    </row>
    <row r="161" spans="17:17" ht="15.75" customHeight="1">
      <c r="Q161" s="87"/>
    </row>
    <row r="162" spans="17:17" ht="15.75" customHeight="1">
      <c r="Q162" s="87"/>
    </row>
    <row r="163" spans="17:17" ht="15.75" customHeight="1">
      <c r="Q163" s="87"/>
    </row>
    <row r="164" spans="17:17" ht="15.75" customHeight="1">
      <c r="Q164" s="87"/>
    </row>
    <row r="165" spans="17:17" ht="15.75" customHeight="1">
      <c r="Q165" s="87"/>
    </row>
    <row r="166" spans="17:17" ht="15.75" customHeight="1">
      <c r="Q166" s="87"/>
    </row>
    <row r="167" spans="17:17" ht="15.75" customHeight="1">
      <c r="Q167" s="87"/>
    </row>
    <row r="168" spans="17:17" ht="15.75" customHeight="1">
      <c r="Q168" s="87"/>
    </row>
    <row r="169" spans="17:17" ht="15.75" customHeight="1">
      <c r="Q169" s="87"/>
    </row>
    <row r="170" spans="17:17" ht="15.75" customHeight="1">
      <c r="Q170" s="87"/>
    </row>
    <row r="171" spans="17:17" ht="15.75" customHeight="1">
      <c r="Q171" s="87"/>
    </row>
    <row r="172" spans="17:17" ht="15.75" customHeight="1">
      <c r="Q172" s="87"/>
    </row>
    <row r="173" spans="17:17" ht="15.75" customHeight="1">
      <c r="Q173" s="87"/>
    </row>
    <row r="174" spans="17:17" ht="15.75" customHeight="1">
      <c r="Q174" s="87"/>
    </row>
    <row r="175" spans="17:17" ht="15.75" customHeight="1">
      <c r="Q175" s="87"/>
    </row>
    <row r="176" spans="17:17" ht="15.75" customHeight="1">
      <c r="Q176" s="87"/>
    </row>
    <row r="177" spans="17:17" ht="15.75" customHeight="1">
      <c r="Q177" s="87"/>
    </row>
    <row r="178" spans="17:17" ht="15.75" customHeight="1">
      <c r="Q178" s="87"/>
    </row>
    <row r="179" spans="17:17" ht="15.75" customHeight="1">
      <c r="Q179" s="87"/>
    </row>
    <row r="180" spans="17:17" ht="15.75" customHeight="1">
      <c r="Q180" s="87"/>
    </row>
    <row r="181" spans="17:17" ht="15.75" customHeight="1">
      <c r="Q181" s="87"/>
    </row>
    <row r="182" spans="17:17" ht="15.75" customHeight="1">
      <c r="Q182" s="87"/>
    </row>
    <row r="183" spans="17:17" ht="15.75" customHeight="1">
      <c r="Q183" s="87"/>
    </row>
    <row r="184" spans="17:17" ht="15.75" customHeight="1">
      <c r="Q184" s="87"/>
    </row>
    <row r="185" spans="17:17" ht="15.75" customHeight="1">
      <c r="Q185" s="87"/>
    </row>
    <row r="186" spans="17:17" ht="15.75" customHeight="1">
      <c r="Q186" s="87"/>
    </row>
    <row r="187" spans="17:17" ht="15.75" customHeight="1">
      <c r="Q187" s="87"/>
    </row>
    <row r="188" spans="17:17" ht="15.75" customHeight="1">
      <c r="Q188" s="87"/>
    </row>
    <row r="189" spans="17:17" ht="15.75" customHeight="1">
      <c r="Q189" s="87"/>
    </row>
    <row r="190" spans="17:17" ht="15.75" customHeight="1">
      <c r="Q190" s="87"/>
    </row>
    <row r="191" spans="17:17" ht="15.75" customHeight="1">
      <c r="Q191" s="87"/>
    </row>
    <row r="192" spans="17:17" ht="15.75" customHeight="1">
      <c r="Q192" s="87"/>
    </row>
    <row r="193" spans="17:17" ht="15.75" customHeight="1">
      <c r="Q193" s="87"/>
    </row>
    <row r="194" spans="17:17" ht="15.75" customHeight="1">
      <c r="Q194" s="87"/>
    </row>
    <row r="195" spans="17:17" ht="15.75" customHeight="1">
      <c r="Q195" s="87"/>
    </row>
    <row r="196" spans="17:17" ht="15.75" customHeight="1">
      <c r="Q196" s="87"/>
    </row>
    <row r="197" spans="17:17" ht="15.75" customHeight="1">
      <c r="Q197" s="87"/>
    </row>
    <row r="198" spans="17:17" ht="15.75" customHeight="1">
      <c r="Q198" s="87"/>
    </row>
    <row r="199" spans="17:17" ht="15.75" customHeight="1">
      <c r="Q199" s="87"/>
    </row>
    <row r="200" spans="17:17" ht="15.75" customHeight="1">
      <c r="Q200" s="87"/>
    </row>
    <row r="201" spans="17:17" ht="15.75" customHeight="1">
      <c r="Q201" s="87"/>
    </row>
    <row r="202" spans="17:17" ht="15.75" customHeight="1">
      <c r="Q202" s="87"/>
    </row>
    <row r="203" spans="17:17" ht="15.75" customHeight="1">
      <c r="Q203" s="87"/>
    </row>
    <row r="204" spans="17:17" ht="15.75" customHeight="1">
      <c r="Q204" s="87"/>
    </row>
    <row r="205" spans="17:17" ht="15.75" customHeight="1">
      <c r="Q205" s="87"/>
    </row>
    <row r="206" spans="17:17" ht="15.75" customHeight="1">
      <c r="Q206" s="87"/>
    </row>
    <row r="207" spans="17:17" ht="15.75" customHeight="1">
      <c r="Q207" s="87"/>
    </row>
    <row r="208" spans="17:17" ht="15.75" customHeight="1">
      <c r="Q208" s="87"/>
    </row>
    <row r="209" spans="17:17" ht="15.75" customHeight="1">
      <c r="Q209" s="87"/>
    </row>
    <row r="210" spans="17:17" ht="15.75" customHeight="1">
      <c r="Q210" s="87"/>
    </row>
    <row r="211" spans="17:17" ht="15.75" customHeight="1">
      <c r="Q211" s="87"/>
    </row>
    <row r="212" spans="17:17" ht="15.75" customHeight="1">
      <c r="Q212" s="87"/>
    </row>
    <row r="213" spans="17:17" ht="15.75" customHeight="1">
      <c r="Q213" s="87"/>
    </row>
    <row r="214" spans="17:17" ht="15.75" customHeight="1">
      <c r="Q214" s="87"/>
    </row>
    <row r="215" spans="17:17" ht="15.75" customHeight="1">
      <c r="Q215" s="87"/>
    </row>
    <row r="216" spans="17:17" ht="15.75" customHeight="1">
      <c r="Q216" s="87"/>
    </row>
    <row r="217" spans="17:17" ht="15.75" customHeight="1">
      <c r="Q217" s="87"/>
    </row>
    <row r="218" spans="17:17" ht="15.75" customHeight="1">
      <c r="Q218" s="87"/>
    </row>
    <row r="219" spans="17:17" ht="15.75" customHeight="1">
      <c r="Q219" s="87"/>
    </row>
    <row r="220" spans="17:17" ht="15.75" customHeight="1">
      <c r="Q220" s="87"/>
    </row>
    <row r="221" spans="17:17" ht="15.75" customHeight="1">
      <c r="Q221" s="87"/>
    </row>
    <row r="222" spans="17:17" ht="15.75" customHeight="1">
      <c r="Q222" s="87"/>
    </row>
    <row r="223" spans="17:17" ht="15.75" customHeight="1">
      <c r="Q223" s="87"/>
    </row>
    <row r="224" spans="17:17" ht="15.75" customHeight="1">
      <c r="Q224" s="87"/>
    </row>
    <row r="225" spans="17:17" ht="15.75" customHeight="1">
      <c r="Q225" s="87"/>
    </row>
    <row r="226" spans="17:17" ht="15.75" customHeight="1">
      <c r="Q226" s="87"/>
    </row>
    <row r="227" spans="17:17" ht="15.75" customHeight="1">
      <c r="Q227" s="87"/>
    </row>
    <row r="228" spans="17:17" ht="15.75" customHeight="1">
      <c r="Q228" s="87"/>
    </row>
    <row r="229" spans="17:17" ht="15.75" customHeight="1">
      <c r="Q229" s="87"/>
    </row>
    <row r="230" spans="17:17" ht="15.75" customHeight="1">
      <c r="Q230" s="87"/>
    </row>
    <row r="231" spans="17:17" ht="15.75" customHeight="1">
      <c r="Q231" s="87"/>
    </row>
    <row r="232" spans="17:17" ht="15.75" customHeight="1">
      <c r="Q232" s="87"/>
    </row>
    <row r="233" spans="17:17" ht="15.75" customHeight="1">
      <c r="Q233" s="87"/>
    </row>
    <row r="234" spans="17:17" ht="15.75" customHeight="1">
      <c r="Q234" s="87"/>
    </row>
    <row r="235" spans="17:17" ht="15.75" customHeight="1">
      <c r="Q235" s="87"/>
    </row>
    <row r="236" spans="17:17" ht="15.75" customHeight="1">
      <c r="Q236" s="87"/>
    </row>
    <row r="237" spans="17:17" ht="15.75" customHeight="1">
      <c r="Q237" s="87"/>
    </row>
    <row r="238" spans="17:17" ht="15.75" customHeight="1">
      <c r="Q238" s="87"/>
    </row>
    <row r="239" spans="17:17" ht="15.75" customHeight="1">
      <c r="Q239" s="87"/>
    </row>
    <row r="240" spans="17:17" ht="15.75" customHeight="1">
      <c r="Q240" s="87"/>
    </row>
    <row r="241" spans="17:17" ht="15.75" customHeight="1">
      <c r="Q241" s="87"/>
    </row>
    <row r="242" spans="17:17" ht="15.75" customHeight="1">
      <c r="Q242" s="87"/>
    </row>
    <row r="243" spans="17:17" ht="15.75" customHeight="1">
      <c r="Q243" s="87"/>
    </row>
    <row r="244" spans="17:17" ht="15.75" customHeight="1">
      <c r="Q244" s="87"/>
    </row>
    <row r="245" spans="17:17" ht="15.75" customHeight="1">
      <c r="Q245" s="87"/>
    </row>
    <row r="246" spans="17:17" ht="15.75" customHeight="1">
      <c r="Q246" s="87"/>
    </row>
    <row r="247" spans="17:17" ht="15.75" customHeight="1">
      <c r="Q247" s="87"/>
    </row>
    <row r="248" spans="17:17" ht="15.75" customHeight="1">
      <c r="Q248" s="87"/>
    </row>
    <row r="249" spans="17:17" ht="15.75" customHeight="1">
      <c r="Q249" s="87"/>
    </row>
    <row r="250" spans="17:17" ht="15.75" customHeight="1">
      <c r="Q250" s="87"/>
    </row>
    <row r="251" spans="17:17" ht="15.75" customHeight="1">
      <c r="Q251" s="87"/>
    </row>
    <row r="252" spans="17:17" ht="15.75" customHeight="1">
      <c r="Q252" s="87"/>
    </row>
    <row r="253" spans="17:17" ht="15.75" customHeight="1">
      <c r="Q253" s="87"/>
    </row>
    <row r="254" spans="17:17" ht="15.75" customHeight="1">
      <c r="Q254" s="87"/>
    </row>
    <row r="255" spans="17:17" ht="15.75" customHeight="1">
      <c r="Q255" s="87"/>
    </row>
    <row r="256" spans="17:17" ht="15.75" customHeight="1">
      <c r="Q256" s="87"/>
    </row>
    <row r="257" spans="17:17" ht="15.75" customHeight="1">
      <c r="Q257" s="87"/>
    </row>
    <row r="258" spans="17:17" ht="15.75" customHeight="1">
      <c r="Q258" s="87"/>
    </row>
    <row r="259" spans="17:17" ht="15.75" customHeight="1">
      <c r="Q259" s="87"/>
    </row>
    <row r="260" spans="17:17" ht="15.75" customHeight="1">
      <c r="Q260" s="87"/>
    </row>
    <row r="261" spans="17:17" ht="15.75" customHeight="1">
      <c r="Q261" s="87"/>
    </row>
    <row r="262" spans="17:17" ht="15.75" customHeight="1">
      <c r="Q262" s="87"/>
    </row>
    <row r="263" spans="17:17" ht="15.75" customHeight="1">
      <c r="Q263" s="87"/>
    </row>
    <row r="264" spans="17:17" ht="15.75" customHeight="1">
      <c r="Q264" s="87"/>
    </row>
    <row r="265" spans="17:17" ht="15.75" customHeight="1">
      <c r="Q265" s="87"/>
    </row>
    <row r="266" spans="17:17" ht="15.75" customHeight="1">
      <c r="Q266" s="87"/>
    </row>
    <row r="267" spans="17:17" ht="15.75" customHeight="1">
      <c r="Q267" s="87"/>
    </row>
    <row r="268" spans="17:17" ht="15.75" customHeight="1">
      <c r="Q268" s="87"/>
    </row>
    <row r="269" spans="17:17" ht="15.75" customHeight="1">
      <c r="Q269" s="87"/>
    </row>
    <row r="270" spans="17:17" ht="15.75" customHeight="1">
      <c r="Q270" s="87"/>
    </row>
    <row r="271" spans="17:17" ht="15.75" customHeight="1">
      <c r="Q271" s="87"/>
    </row>
    <row r="272" spans="17:17" ht="15.75" customHeight="1">
      <c r="Q272" s="87"/>
    </row>
    <row r="273" spans="17:17" ht="15.75" customHeight="1">
      <c r="Q273" s="87"/>
    </row>
    <row r="274" spans="17:17" ht="15.75" customHeight="1">
      <c r="Q274" s="87"/>
    </row>
    <row r="275" spans="17:17" ht="15.75" customHeight="1">
      <c r="Q275" s="87"/>
    </row>
    <row r="276" spans="17:17" ht="15.75" customHeight="1">
      <c r="Q276" s="87"/>
    </row>
    <row r="277" spans="17:17" ht="15.75" customHeight="1">
      <c r="Q277" s="87"/>
    </row>
    <row r="278" spans="17:17" ht="15.75" customHeight="1">
      <c r="Q278" s="87"/>
    </row>
    <row r="279" spans="17:17" ht="15.75" customHeight="1">
      <c r="Q279" s="87"/>
    </row>
    <row r="280" spans="17:17" ht="15.75" customHeight="1">
      <c r="Q280" s="87"/>
    </row>
    <row r="281" spans="17:17" ht="15.75" customHeight="1">
      <c r="Q281" s="87"/>
    </row>
    <row r="282" spans="17:17" ht="15.75" customHeight="1">
      <c r="Q282" s="87"/>
    </row>
    <row r="283" spans="17:17" ht="15.75" customHeight="1">
      <c r="Q283" s="87"/>
    </row>
    <row r="284" spans="17:17" ht="15.75" customHeight="1">
      <c r="Q284" s="87"/>
    </row>
    <row r="285" spans="17:17" ht="15.75" customHeight="1">
      <c r="Q285" s="87"/>
    </row>
    <row r="286" spans="17:17" ht="15.75" customHeight="1">
      <c r="Q286" s="87"/>
    </row>
    <row r="287" spans="17:17" ht="15.75" customHeight="1">
      <c r="Q287" s="87"/>
    </row>
    <row r="288" spans="17:17" ht="15.75" customHeight="1">
      <c r="Q288" s="87"/>
    </row>
    <row r="289" spans="17:17" ht="15.75" customHeight="1">
      <c r="Q289" s="87"/>
    </row>
    <row r="290" spans="17:17" ht="15.75" customHeight="1">
      <c r="Q290" s="87"/>
    </row>
    <row r="291" spans="17:17" ht="15.75" customHeight="1">
      <c r="Q291" s="87"/>
    </row>
    <row r="292" spans="17:17" ht="15.75" customHeight="1">
      <c r="Q292" s="87"/>
    </row>
    <row r="293" spans="17:17" ht="15.75" customHeight="1">
      <c r="Q293" s="87"/>
    </row>
    <row r="294" spans="17:17" ht="15.75" customHeight="1">
      <c r="Q294" s="87"/>
    </row>
    <row r="295" spans="17:17" ht="15.75" customHeight="1">
      <c r="Q295" s="87"/>
    </row>
    <row r="296" spans="17:17" ht="15.75" customHeight="1">
      <c r="Q296" s="87"/>
    </row>
    <row r="297" spans="17:17" ht="15.75" customHeight="1">
      <c r="Q297" s="87"/>
    </row>
    <row r="298" spans="17:17" ht="15.75" customHeight="1">
      <c r="Q298" s="87"/>
    </row>
    <row r="299" spans="17:17" ht="15.75" customHeight="1">
      <c r="Q299" s="87"/>
    </row>
    <row r="300" spans="17:17" ht="15.75" customHeight="1">
      <c r="Q300" s="87"/>
    </row>
    <row r="301" spans="17:17" ht="15.75" customHeight="1">
      <c r="Q301" s="87"/>
    </row>
    <row r="302" spans="17:17" ht="15.75" customHeight="1">
      <c r="Q302" s="87"/>
    </row>
    <row r="303" spans="17:17" ht="15.75" customHeight="1">
      <c r="Q303" s="87"/>
    </row>
    <row r="304" spans="17:17" ht="15.75" customHeight="1">
      <c r="Q304" s="87"/>
    </row>
    <row r="305" spans="17:17" ht="15.75" customHeight="1">
      <c r="Q305" s="87"/>
    </row>
    <row r="306" spans="17:17" ht="15.75" customHeight="1">
      <c r="Q306" s="87"/>
    </row>
    <row r="307" spans="17:17" ht="15.75" customHeight="1">
      <c r="Q307" s="87"/>
    </row>
    <row r="308" spans="17:17" ht="15.75" customHeight="1">
      <c r="Q308" s="87"/>
    </row>
    <row r="309" spans="17:17" ht="15.75" customHeight="1">
      <c r="Q309" s="87"/>
    </row>
    <row r="310" spans="17:17" ht="15.75" customHeight="1">
      <c r="Q310" s="87"/>
    </row>
    <row r="311" spans="17:17" ht="15.75" customHeight="1">
      <c r="Q311" s="87"/>
    </row>
    <row r="312" spans="17:17" ht="15.75" customHeight="1">
      <c r="Q312" s="87"/>
    </row>
    <row r="313" spans="17:17" ht="15.75" customHeight="1">
      <c r="Q313" s="87"/>
    </row>
    <row r="314" spans="17:17" ht="15.75" customHeight="1">
      <c r="Q314" s="87"/>
    </row>
    <row r="315" spans="17:17" ht="15.75" customHeight="1">
      <c r="Q315" s="87"/>
    </row>
    <row r="316" spans="17:17" ht="15.75" customHeight="1">
      <c r="Q316" s="87"/>
    </row>
    <row r="317" spans="17:17" ht="15.75" customHeight="1">
      <c r="Q317" s="87"/>
    </row>
    <row r="318" spans="17:17" ht="15.75" customHeight="1">
      <c r="Q318" s="87"/>
    </row>
    <row r="319" spans="17:17" ht="15.75" customHeight="1">
      <c r="Q319" s="87"/>
    </row>
    <row r="320" spans="17:17" ht="15.75" customHeight="1">
      <c r="Q320" s="87"/>
    </row>
    <row r="321" spans="17:17" ht="15.75" customHeight="1">
      <c r="Q321" s="87"/>
    </row>
    <row r="322" spans="17:17" ht="15.75" customHeight="1">
      <c r="Q322" s="87"/>
    </row>
    <row r="323" spans="17:17" ht="15.75" customHeight="1">
      <c r="Q323" s="87"/>
    </row>
    <row r="324" spans="17:17" ht="15.75" customHeight="1">
      <c r="Q324" s="87"/>
    </row>
    <row r="325" spans="17:17" ht="15.75" customHeight="1">
      <c r="Q325" s="87"/>
    </row>
    <row r="326" spans="17:17" ht="15.75" customHeight="1">
      <c r="Q326" s="87"/>
    </row>
    <row r="327" spans="17:17" ht="15.75" customHeight="1">
      <c r="Q327" s="87"/>
    </row>
    <row r="328" spans="17:17" ht="15.75" customHeight="1">
      <c r="Q328" s="87"/>
    </row>
    <row r="329" spans="17:17" ht="15.75" customHeight="1">
      <c r="Q329" s="87"/>
    </row>
    <row r="330" spans="17:17" ht="15.75" customHeight="1">
      <c r="Q330" s="87"/>
    </row>
    <row r="331" spans="17:17" ht="15.75" customHeight="1">
      <c r="Q331" s="87"/>
    </row>
    <row r="332" spans="17:17" ht="15.75" customHeight="1">
      <c r="Q332" s="87"/>
    </row>
    <row r="333" spans="17:17" ht="15.75" customHeight="1">
      <c r="Q333" s="87"/>
    </row>
    <row r="334" spans="17:17" ht="15.75" customHeight="1">
      <c r="Q334" s="87"/>
    </row>
    <row r="335" spans="17:17" ht="15.75" customHeight="1">
      <c r="Q335" s="87"/>
    </row>
    <row r="336" spans="17:17" ht="15.75" customHeight="1">
      <c r="Q336" s="87"/>
    </row>
    <row r="337" spans="17:17" ht="15.75" customHeight="1">
      <c r="Q337" s="87"/>
    </row>
    <row r="338" spans="17:17" ht="15.75" customHeight="1">
      <c r="Q338" s="87"/>
    </row>
    <row r="339" spans="17:17" ht="15.75" customHeight="1">
      <c r="Q339" s="87"/>
    </row>
    <row r="340" spans="17:17" ht="15.75" customHeight="1">
      <c r="Q340" s="87"/>
    </row>
    <row r="341" spans="17:17" ht="15.75" customHeight="1">
      <c r="Q341" s="87"/>
    </row>
    <row r="342" spans="17:17" ht="15.75" customHeight="1">
      <c r="Q342" s="87"/>
    </row>
    <row r="343" spans="17:17" ht="15.75" customHeight="1">
      <c r="Q343" s="87"/>
    </row>
    <row r="344" spans="17:17" ht="15.75" customHeight="1">
      <c r="Q344" s="87"/>
    </row>
    <row r="345" spans="17:17" ht="15.75" customHeight="1">
      <c r="Q345" s="87"/>
    </row>
    <row r="346" spans="17:17" ht="15.75" customHeight="1">
      <c r="Q346" s="87"/>
    </row>
    <row r="347" spans="17:17" ht="15.75" customHeight="1">
      <c r="Q347" s="87"/>
    </row>
    <row r="348" spans="17:17" ht="15.75" customHeight="1">
      <c r="Q348" s="87"/>
    </row>
    <row r="349" spans="17:17" ht="15.75" customHeight="1">
      <c r="Q349" s="87"/>
    </row>
    <row r="350" spans="17:17" ht="15.75" customHeight="1">
      <c r="Q350" s="87"/>
    </row>
    <row r="351" spans="17:17" ht="15.75" customHeight="1">
      <c r="Q351" s="87"/>
    </row>
    <row r="352" spans="17:17" ht="15.75" customHeight="1">
      <c r="Q352" s="87"/>
    </row>
    <row r="353" spans="17:17" ht="15.75" customHeight="1">
      <c r="Q353" s="87"/>
    </row>
    <row r="354" spans="17:17" ht="15.75" customHeight="1">
      <c r="Q354" s="87"/>
    </row>
    <row r="355" spans="17:17" ht="15.75" customHeight="1">
      <c r="Q355" s="87"/>
    </row>
    <row r="356" spans="17:17" ht="15.75" customHeight="1">
      <c r="Q356" s="87"/>
    </row>
    <row r="357" spans="17:17" ht="15.75" customHeight="1">
      <c r="Q357" s="87"/>
    </row>
    <row r="358" spans="17:17" ht="15.75" customHeight="1">
      <c r="Q358" s="87"/>
    </row>
    <row r="359" spans="17:17" ht="15.75" customHeight="1">
      <c r="Q359" s="87"/>
    </row>
    <row r="360" spans="17:17" ht="15.75" customHeight="1">
      <c r="Q360" s="87"/>
    </row>
    <row r="361" spans="17:17" ht="15.75" customHeight="1">
      <c r="Q361" s="87"/>
    </row>
    <row r="362" spans="17:17" ht="15.75" customHeight="1">
      <c r="Q362" s="87"/>
    </row>
    <row r="363" spans="17:17" ht="15.75" customHeight="1">
      <c r="Q363" s="87"/>
    </row>
    <row r="364" spans="17:17" ht="15.75" customHeight="1">
      <c r="Q364" s="87"/>
    </row>
    <row r="365" spans="17:17" ht="15.75" customHeight="1">
      <c r="Q365" s="87"/>
    </row>
    <row r="366" spans="17:17" ht="15.75" customHeight="1">
      <c r="Q366" s="87"/>
    </row>
    <row r="367" spans="17:17" ht="15.75" customHeight="1">
      <c r="Q367" s="87"/>
    </row>
    <row r="368" spans="17:17" ht="15.75" customHeight="1">
      <c r="Q368" s="87"/>
    </row>
    <row r="369" spans="17:17" ht="15.75" customHeight="1">
      <c r="Q369" s="87"/>
    </row>
    <row r="370" spans="17:17" ht="15.75" customHeight="1">
      <c r="Q370" s="87"/>
    </row>
    <row r="371" spans="17:17" ht="15.75" customHeight="1">
      <c r="Q371" s="87"/>
    </row>
    <row r="372" spans="17:17" ht="15.75" customHeight="1">
      <c r="Q372" s="87"/>
    </row>
    <row r="373" spans="17:17" ht="15.75" customHeight="1">
      <c r="Q373" s="87"/>
    </row>
    <row r="374" spans="17:17" ht="15.75" customHeight="1">
      <c r="Q374" s="87"/>
    </row>
    <row r="375" spans="17:17" ht="15.75" customHeight="1">
      <c r="Q375" s="87"/>
    </row>
    <row r="376" spans="17:17" ht="15.75" customHeight="1">
      <c r="Q376" s="87"/>
    </row>
    <row r="377" spans="17:17" ht="15.75" customHeight="1">
      <c r="Q377" s="87"/>
    </row>
    <row r="378" spans="17:17" ht="15.75" customHeight="1">
      <c r="Q378" s="87"/>
    </row>
    <row r="379" spans="17:17" ht="15.75" customHeight="1">
      <c r="Q379" s="87"/>
    </row>
    <row r="380" spans="17:17" ht="15.75" customHeight="1">
      <c r="Q380" s="87"/>
    </row>
    <row r="381" spans="17:17" ht="15.75" customHeight="1">
      <c r="Q381" s="87"/>
    </row>
    <row r="382" spans="17:17" ht="15.75" customHeight="1">
      <c r="Q382" s="87"/>
    </row>
    <row r="383" spans="17:17" ht="15.75" customHeight="1">
      <c r="Q383" s="87"/>
    </row>
    <row r="384" spans="17:17" ht="15.75" customHeight="1">
      <c r="Q384" s="87"/>
    </row>
    <row r="385" spans="17:17" ht="15.75" customHeight="1">
      <c r="Q385" s="87"/>
    </row>
    <row r="386" spans="17:17" ht="15.75" customHeight="1">
      <c r="Q386" s="87"/>
    </row>
    <row r="387" spans="17:17" ht="15.75" customHeight="1">
      <c r="Q387" s="87"/>
    </row>
    <row r="388" spans="17:17" ht="15.75" customHeight="1">
      <c r="Q388" s="87"/>
    </row>
    <row r="389" spans="17:17" ht="15.75" customHeight="1">
      <c r="Q389" s="87"/>
    </row>
    <row r="390" spans="17:17" ht="15.75" customHeight="1">
      <c r="Q390" s="87"/>
    </row>
    <row r="391" spans="17:17" ht="15.75" customHeight="1">
      <c r="Q391" s="87"/>
    </row>
    <row r="392" spans="17:17" ht="15.75" customHeight="1">
      <c r="Q392" s="87"/>
    </row>
    <row r="393" spans="17:17" ht="15.75" customHeight="1">
      <c r="Q393" s="87"/>
    </row>
    <row r="394" spans="17:17" ht="15.75" customHeight="1">
      <c r="Q394" s="87"/>
    </row>
    <row r="395" spans="17:17" ht="15.75" customHeight="1">
      <c r="Q395" s="87"/>
    </row>
    <row r="396" spans="17:17" ht="15.75" customHeight="1">
      <c r="Q396" s="87"/>
    </row>
    <row r="397" spans="17:17" ht="15.75" customHeight="1">
      <c r="Q397" s="87"/>
    </row>
    <row r="398" spans="17:17" ht="15.75" customHeight="1">
      <c r="Q398" s="87"/>
    </row>
    <row r="399" spans="17:17" ht="15.75" customHeight="1">
      <c r="Q399" s="87"/>
    </row>
    <row r="400" spans="17:17" ht="15.75" customHeight="1">
      <c r="Q400" s="87"/>
    </row>
    <row r="401" spans="17:17" ht="15.75" customHeight="1">
      <c r="Q401" s="87"/>
    </row>
    <row r="402" spans="17:17" ht="15.75" customHeight="1">
      <c r="Q402" s="87"/>
    </row>
    <row r="403" spans="17:17" ht="15.75" customHeight="1">
      <c r="Q403" s="87"/>
    </row>
    <row r="404" spans="17:17" ht="15.75" customHeight="1">
      <c r="Q404" s="87"/>
    </row>
    <row r="405" spans="17:17" ht="15.75" customHeight="1">
      <c r="Q405" s="87"/>
    </row>
    <row r="406" spans="17:17" ht="15.75" customHeight="1">
      <c r="Q406" s="87"/>
    </row>
    <row r="407" spans="17:17" ht="15.75" customHeight="1">
      <c r="Q407" s="87"/>
    </row>
    <row r="408" spans="17:17" ht="15.75" customHeight="1">
      <c r="Q408" s="87"/>
    </row>
    <row r="409" spans="17:17" ht="15.75" customHeight="1">
      <c r="Q409" s="87"/>
    </row>
    <row r="410" spans="17:17" ht="15.75" customHeight="1">
      <c r="Q410" s="87"/>
    </row>
    <row r="411" spans="17:17" ht="15.75" customHeight="1">
      <c r="Q411" s="87"/>
    </row>
    <row r="412" spans="17:17" ht="15.75" customHeight="1">
      <c r="Q412" s="87"/>
    </row>
    <row r="413" spans="17:17" ht="15.75" customHeight="1">
      <c r="Q413" s="87"/>
    </row>
    <row r="414" spans="17:17" ht="15.75" customHeight="1">
      <c r="Q414" s="87"/>
    </row>
    <row r="415" spans="17:17" ht="15.75" customHeight="1">
      <c r="Q415" s="87"/>
    </row>
    <row r="416" spans="17:17" ht="15.75" customHeight="1">
      <c r="Q416" s="87"/>
    </row>
    <row r="417" spans="17:17" ht="15.75" customHeight="1">
      <c r="Q417" s="87"/>
    </row>
    <row r="418" spans="17:17" ht="15.75" customHeight="1">
      <c r="Q418" s="87"/>
    </row>
    <row r="419" spans="17:17" ht="15.75" customHeight="1">
      <c r="Q419" s="87"/>
    </row>
    <row r="420" spans="17:17" ht="15.75" customHeight="1">
      <c r="Q420" s="87"/>
    </row>
    <row r="421" spans="17:17" ht="15.75" customHeight="1">
      <c r="Q421" s="87"/>
    </row>
    <row r="422" spans="17:17" ht="15.75" customHeight="1">
      <c r="Q422" s="87"/>
    </row>
    <row r="423" spans="17:17" ht="15.75" customHeight="1">
      <c r="Q423" s="87"/>
    </row>
    <row r="424" spans="17:17" ht="15.75" customHeight="1">
      <c r="Q424" s="87"/>
    </row>
    <row r="425" spans="17:17" ht="15.75" customHeight="1">
      <c r="Q425" s="87"/>
    </row>
    <row r="426" spans="17:17" ht="15.75" customHeight="1">
      <c r="Q426" s="87"/>
    </row>
    <row r="427" spans="17:17" ht="15.75" customHeight="1">
      <c r="Q427" s="87"/>
    </row>
    <row r="428" spans="17:17" ht="15.75" customHeight="1">
      <c r="Q428" s="87"/>
    </row>
    <row r="429" spans="17:17" ht="15.75" customHeight="1">
      <c r="Q429" s="87"/>
    </row>
    <row r="430" spans="17:17" ht="15.75" customHeight="1">
      <c r="Q430" s="87"/>
    </row>
    <row r="431" spans="17:17" ht="15.75" customHeight="1">
      <c r="Q431" s="87"/>
    </row>
    <row r="432" spans="17:17" ht="15.75" customHeight="1">
      <c r="Q432" s="87"/>
    </row>
    <row r="433" spans="17:17" ht="15.75" customHeight="1">
      <c r="Q433" s="87"/>
    </row>
    <row r="434" spans="17:17" ht="15.75" customHeight="1">
      <c r="Q434" s="87"/>
    </row>
    <row r="435" spans="17:17" ht="15.75" customHeight="1">
      <c r="Q435" s="87"/>
    </row>
    <row r="436" spans="17:17" ht="15.75" customHeight="1">
      <c r="Q436" s="87"/>
    </row>
    <row r="437" spans="17:17" ht="15.75" customHeight="1">
      <c r="Q437" s="87"/>
    </row>
    <row r="438" spans="17:17" ht="15.75" customHeight="1">
      <c r="Q438" s="87"/>
    </row>
    <row r="439" spans="17:17" ht="15.75" customHeight="1">
      <c r="Q439" s="87"/>
    </row>
    <row r="440" spans="17:17" ht="15.75" customHeight="1">
      <c r="Q440" s="87"/>
    </row>
    <row r="441" spans="17:17" ht="15.75" customHeight="1">
      <c r="Q441" s="87"/>
    </row>
    <row r="442" spans="17:17" ht="15.75" customHeight="1">
      <c r="Q442" s="87"/>
    </row>
    <row r="443" spans="17:17" ht="15.75" customHeight="1">
      <c r="Q443" s="87"/>
    </row>
    <row r="444" spans="17:17" ht="15.75" customHeight="1">
      <c r="Q444" s="87"/>
    </row>
    <row r="445" spans="17:17" ht="15.75" customHeight="1">
      <c r="Q445" s="87"/>
    </row>
    <row r="446" spans="17:17" ht="15.75" customHeight="1">
      <c r="Q446" s="87"/>
    </row>
    <row r="447" spans="17:17" ht="15.75" customHeight="1">
      <c r="Q447" s="87"/>
    </row>
    <row r="448" spans="17:17" ht="15.75" customHeight="1">
      <c r="Q448" s="87"/>
    </row>
    <row r="449" spans="17:17" ht="15.75" customHeight="1">
      <c r="Q449" s="87"/>
    </row>
    <row r="450" spans="17:17" ht="15.75" customHeight="1">
      <c r="Q450" s="87"/>
    </row>
    <row r="451" spans="17:17" ht="15.75" customHeight="1">
      <c r="Q451" s="87"/>
    </row>
    <row r="452" spans="17:17" ht="15.75" customHeight="1">
      <c r="Q452" s="87"/>
    </row>
    <row r="453" spans="17:17" ht="15.75" customHeight="1">
      <c r="Q453" s="87"/>
    </row>
    <row r="454" spans="17:17" ht="15.75" customHeight="1">
      <c r="Q454" s="87"/>
    </row>
    <row r="455" spans="17:17" ht="15.75" customHeight="1">
      <c r="Q455" s="87"/>
    </row>
    <row r="456" spans="17:17" ht="15.75" customHeight="1">
      <c r="Q456" s="87"/>
    </row>
    <row r="457" spans="17:17" ht="15.75" customHeight="1">
      <c r="Q457" s="87"/>
    </row>
    <row r="458" spans="17:17" ht="15.75" customHeight="1">
      <c r="Q458" s="87"/>
    </row>
    <row r="459" spans="17:17" ht="15.75" customHeight="1">
      <c r="Q459" s="87"/>
    </row>
    <row r="460" spans="17:17" ht="15.75" customHeight="1">
      <c r="Q460" s="87"/>
    </row>
    <row r="461" spans="17:17" ht="15.75" customHeight="1">
      <c r="Q461" s="87"/>
    </row>
    <row r="462" spans="17:17" ht="15.75" customHeight="1">
      <c r="Q462" s="87"/>
    </row>
    <row r="463" spans="17:17" ht="15.75" customHeight="1">
      <c r="Q463" s="87"/>
    </row>
    <row r="464" spans="17:17" ht="15.75" customHeight="1">
      <c r="Q464" s="87"/>
    </row>
    <row r="465" spans="17:17" ht="15.75" customHeight="1">
      <c r="Q465" s="87"/>
    </row>
    <row r="466" spans="17:17" ht="15.75" customHeight="1">
      <c r="Q466" s="87"/>
    </row>
    <row r="467" spans="17:17" ht="15.75" customHeight="1">
      <c r="Q467" s="87"/>
    </row>
    <row r="468" spans="17:17" ht="15.75" customHeight="1">
      <c r="Q468" s="87"/>
    </row>
    <row r="469" spans="17:17" ht="15.75" customHeight="1">
      <c r="Q469" s="87"/>
    </row>
    <row r="470" spans="17:17" ht="15.75" customHeight="1">
      <c r="Q470" s="87"/>
    </row>
    <row r="471" spans="17:17" ht="15.75" customHeight="1">
      <c r="Q471" s="87"/>
    </row>
    <row r="472" spans="17:17" ht="15.75" customHeight="1">
      <c r="Q472" s="87"/>
    </row>
    <row r="473" spans="17:17" ht="15.75" customHeight="1">
      <c r="Q473" s="87"/>
    </row>
    <row r="474" spans="17:17" ht="15.75" customHeight="1">
      <c r="Q474" s="87"/>
    </row>
    <row r="475" spans="17:17" ht="15.75" customHeight="1">
      <c r="Q475" s="87"/>
    </row>
    <row r="476" spans="17:17" ht="15.75" customHeight="1">
      <c r="Q476" s="87"/>
    </row>
    <row r="477" spans="17:17" ht="15.75" customHeight="1">
      <c r="Q477" s="87"/>
    </row>
    <row r="478" spans="17:17" ht="15.75" customHeight="1">
      <c r="Q478" s="87"/>
    </row>
    <row r="479" spans="17:17" ht="15.75" customHeight="1">
      <c r="Q479" s="87"/>
    </row>
    <row r="480" spans="17:17" ht="15.75" customHeight="1">
      <c r="Q480" s="87"/>
    </row>
    <row r="481" spans="17:17" ht="15.75" customHeight="1">
      <c r="Q481" s="87"/>
    </row>
    <row r="482" spans="17:17" ht="15.75" customHeight="1">
      <c r="Q482" s="87"/>
    </row>
    <row r="483" spans="17:17" ht="15.75" customHeight="1">
      <c r="Q483" s="87"/>
    </row>
    <row r="484" spans="17:17" ht="15.75" customHeight="1">
      <c r="Q484" s="87"/>
    </row>
    <row r="485" spans="17:17" ht="15.75" customHeight="1">
      <c r="Q485" s="87"/>
    </row>
    <row r="486" spans="17:17" ht="15.75" customHeight="1">
      <c r="Q486" s="87"/>
    </row>
    <row r="487" spans="17:17" ht="15.75" customHeight="1">
      <c r="Q487" s="87"/>
    </row>
    <row r="488" spans="17:17" ht="15.75" customHeight="1">
      <c r="Q488" s="87"/>
    </row>
    <row r="489" spans="17:17" ht="15.75" customHeight="1">
      <c r="Q489" s="87"/>
    </row>
    <row r="490" spans="17:17" ht="15.75" customHeight="1">
      <c r="Q490" s="87"/>
    </row>
    <row r="491" spans="17:17" ht="15.75" customHeight="1">
      <c r="Q491" s="87"/>
    </row>
    <row r="492" spans="17:17" ht="15.75" customHeight="1">
      <c r="Q492" s="87"/>
    </row>
    <row r="493" spans="17:17" ht="15.75" customHeight="1">
      <c r="Q493" s="87"/>
    </row>
    <row r="494" spans="17:17" ht="15.75" customHeight="1">
      <c r="Q494" s="87"/>
    </row>
    <row r="495" spans="17:17" ht="15.75" customHeight="1">
      <c r="Q495" s="87"/>
    </row>
    <row r="496" spans="17:17" ht="15.75" customHeight="1">
      <c r="Q496" s="87"/>
    </row>
    <row r="497" spans="17:17" ht="15.75" customHeight="1">
      <c r="Q497" s="87"/>
    </row>
    <row r="498" spans="17:17" ht="15.75" customHeight="1">
      <c r="Q498" s="87"/>
    </row>
    <row r="499" spans="17:17" ht="15.75" customHeight="1">
      <c r="Q499" s="87"/>
    </row>
    <row r="500" spans="17:17" ht="15.75" customHeight="1">
      <c r="Q500" s="87"/>
    </row>
    <row r="501" spans="17:17" ht="15.75" customHeight="1">
      <c r="Q501" s="87"/>
    </row>
    <row r="502" spans="17:17" ht="15.75" customHeight="1">
      <c r="Q502" s="87"/>
    </row>
    <row r="503" spans="17:17" ht="15.75" customHeight="1">
      <c r="Q503" s="87"/>
    </row>
    <row r="504" spans="17:17" ht="15.75" customHeight="1">
      <c r="Q504" s="87"/>
    </row>
    <row r="505" spans="17:17" ht="15.75" customHeight="1">
      <c r="Q505" s="87"/>
    </row>
    <row r="506" spans="17:17" ht="15.75" customHeight="1">
      <c r="Q506" s="87"/>
    </row>
    <row r="507" spans="17:17" ht="15.75" customHeight="1">
      <c r="Q507" s="87"/>
    </row>
    <row r="508" spans="17:17" ht="15.75" customHeight="1">
      <c r="Q508" s="87"/>
    </row>
    <row r="509" spans="17:17" ht="15.75" customHeight="1">
      <c r="Q509" s="87"/>
    </row>
    <row r="510" spans="17:17" ht="15.75" customHeight="1">
      <c r="Q510" s="87"/>
    </row>
    <row r="511" spans="17:17" ht="15.75" customHeight="1">
      <c r="Q511" s="87"/>
    </row>
    <row r="512" spans="17:17" ht="15.75" customHeight="1">
      <c r="Q512" s="87"/>
    </row>
    <row r="513" spans="17:17" ht="15.75" customHeight="1">
      <c r="Q513" s="87"/>
    </row>
    <row r="514" spans="17:17" ht="15.75" customHeight="1">
      <c r="Q514" s="87"/>
    </row>
    <row r="515" spans="17:17" ht="15.75" customHeight="1">
      <c r="Q515" s="87"/>
    </row>
    <row r="516" spans="17:17" ht="15.75" customHeight="1">
      <c r="Q516" s="87"/>
    </row>
    <row r="517" spans="17:17" ht="15.75" customHeight="1">
      <c r="Q517" s="87"/>
    </row>
    <row r="518" spans="17:17" ht="15.75" customHeight="1">
      <c r="Q518" s="87"/>
    </row>
    <row r="519" spans="17:17" ht="15.75" customHeight="1">
      <c r="Q519" s="87"/>
    </row>
    <row r="520" spans="17:17" ht="15.75" customHeight="1">
      <c r="Q520" s="87"/>
    </row>
    <row r="521" spans="17:17" ht="15.75" customHeight="1">
      <c r="Q521" s="87"/>
    </row>
    <row r="522" spans="17:17" ht="15.75" customHeight="1">
      <c r="Q522" s="87"/>
    </row>
    <row r="523" spans="17:17" ht="15.75" customHeight="1">
      <c r="Q523" s="87"/>
    </row>
    <row r="524" spans="17:17" ht="15.75" customHeight="1">
      <c r="Q524" s="87"/>
    </row>
    <row r="525" spans="17:17" ht="15.75" customHeight="1">
      <c r="Q525" s="87"/>
    </row>
    <row r="526" spans="17:17" ht="15.75" customHeight="1">
      <c r="Q526" s="87"/>
    </row>
    <row r="527" spans="17:17" ht="15.75" customHeight="1">
      <c r="Q527" s="87"/>
    </row>
    <row r="528" spans="17:17" ht="15.75" customHeight="1">
      <c r="Q528" s="87"/>
    </row>
    <row r="529" spans="17:17" ht="15.75" customHeight="1">
      <c r="Q529" s="87"/>
    </row>
    <row r="530" spans="17:17" ht="15.75" customHeight="1">
      <c r="Q530" s="87"/>
    </row>
    <row r="531" spans="17:17" ht="15.75" customHeight="1">
      <c r="Q531" s="87"/>
    </row>
    <row r="532" spans="17:17" ht="15.75" customHeight="1">
      <c r="Q532" s="87"/>
    </row>
    <row r="533" spans="17:17" ht="15.75" customHeight="1">
      <c r="Q533" s="87"/>
    </row>
    <row r="534" spans="17:17" ht="15.75" customHeight="1">
      <c r="Q534" s="87"/>
    </row>
    <row r="535" spans="17:17" ht="15.75" customHeight="1">
      <c r="Q535" s="87"/>
    </row>
    <row r="536" spans="17:17" ht="15.75" customHeight="1">
      <c r="Q536" s="87"/>
    </row>
    <row r="537" spans="17:17" ht="15.75" customHeight="1">
      <c r="Q537" s="87"/>
    </row>
    <row r="538" spans="17:17" ht="15.75" customHeight="1">
      <c r="Q538" s="87"/>
    </row>
    <row r="539" spans="17:17" ht="15.75" customHeight="1">
      <c r="Q539" s="87"/>
    </row>
    <row r="540" spans="17:17" ht="15.75" customHeight="1">
      <c r="Q540" s="87"/>
    </row>
    <row r="541" spans="17:17" ht="15.75" customHeight="1">
      <c r="Q541" s="87"/>
    </row>
    <row r="542" spans="17:17" ht="15.75" customHeight="1">
      <c r="Q542" s="87"/>
    </row>
    <row r="543" spans="17:17" ht="15.75" customHeight="1">
      <c r="Q543" s="87"/>
    </row>
    <row r="544" spans="17:17" ht="15.75" customHeight="1">
      <c r="Q544" s="87"/>
    </row>
    <row r="545" spans="17:17" ht="15.75" customHeight="1">
      <c r="Q545" s="87"/>
    </row>
    <row r="546" spans="17:17" ht="15.75" customHeight="1">
      <c r="Q546" s="87"/>
    </row>
    <row r="547" spans="17:17" ht="15.75" customHeight="1">
      <c r="Q547" s="87"/>
    </row>
    <row r="548" spans="17:17" ht="15.75" customHeight="1">
      <c r="Q548" s="87"/>
    </row>
    <row r="549" spans="17:17" ht="15.75" customHeight="1">
      <c r="Q549" s="87"/>
    </row>
    <row r="550" spans="17:17" ht="15.75" customHeight="1">
      <c r="Q550" s="87"/>
    </row>
    <row r="551" spans="17:17" ht="15.75" customHeight="1">
      <c r="Q551" s="87"/>
    </row>
    <row r="552" spans="17:17" ht="15.75" customHeight="1">
      <c r="Q552" s="87"/>
    </row>
    <row r="553" spans="17:17" ht="15.75" customHeight="1">
      <c r="Q553" s="87"/>
    </row>
    <row r="554" spans="17:17" ht="15.75" customHeight="1">
      <c r="Q554" s="87"/>
    </row>
    <row r="555" spans="17:17" ht="15.75" customHeight="1">
      <c r="Q555" s="87"/>
    </row>
    <row r="556" spans="17:17" ht="15.75" customHeight="1">
      <c r="Q556" s="87"/>
    </row>
    <row r="557" spans="17:17" ht="15.75" customHeight="1">
      <c r="Q557" s="87"/>
    </row>
    <row r="558" spans="17:17" ht="15.75" customHeight="1">
      <c r="Q558" s="87"/>
    </row>
    <row r="559" spans="17:17" ht="15.75" customHeight="1">
      <c r="Q559" s="87"/>
    </row>
    <row r="560" spans="17:17" ht="15.75" customHeight="1">
      <c r="Q560" s="87"/>
    </row>
    <row r="561" spans="17:17" ht="15.75" customHeight="1">
      <c r="Q561" s="87"/>
    </row>
    <row r="562" spans="17:17" ht="15.75" customHeight="1">
      <c r="Q562" s="87"/>
    </row>
    <row r="563" spans="17:17" ht="15.75" customHeight="1">
      <c r="Q563" s="87"/>
    </row>
    <row r="564" spans="17:17" ht="15.75" customHeight="1">
      <c r="Q564" s="87"/>
    </row>
    <row r="565" spans="17:17" ht="15.75" customHeight="1">
      <c r="Q565" s="87"/>
    </row>
    <row r="566" spans="17:17" ht="15.75" customHeight="1">
      <c r="Q566" s="87"/>
    </row>
    <row r="567" spans="17:17" ht="15.75" customHeight="1">
      <c r="Q567" s="87"/>
    </row>
    <row r="568" spans="17:17" ht="15.75" customHeight="1">
      <c r="Q568" s="87"/>
    </row>
    <row r="569" spans="17:17" ht="15.75" customHeight="1">
      <c r="Q569" s="87"/>
    </row>
    <row r="570" spans="17:17" ht="15.75" customHeight="1">
      <c r="Q570" s="87"/>
    </row>
    <row r="571" spans="17:17" ht="15.75" customHeight="1">
      <c r="Q571" s="87"/>
    </row>
    <row r="572" spans="17:17" ht="15.75" customHeight="1">
      <c r="Q572" s="87"/>
    </row>
    <row r="573" spans="17:17" ht="15.75" customHeight="1">
      <c r="Q573" s="87"/>
    </row>
    <row r="574" spans="17:17" ht="15.75" customHeight="1">
      <c r="Q574" s="87"/>
    </row>
    <row r="575" spans="17:17" ht="15.75" customHeight="1">
      <c r="Q575" s="87"/>
    </row>
    <row r="576" spans="17:17" ht="15.75" customHeight="1">
      <c r="Q576" s="87"/>
    </row>
    <row r="577" spans="17:17" ht="15.75" customHeight="1">
      <c r="Q577" s="87"/>
    </row>
    <row r="578" spans="17:17" ht="15.75" customHeight="1">
      <c r="Q578" s="87"/>
    </row>
    <row r="579" spans="17:17" ht="15.75" customHeight="1">
      <c r="Q579" s="87"/>
    </row>
    <row r="580" spans="17:17" ht="15.75" customHeight="1">
      <c r="Q580" s="87"/>
    </row>
    <row r="581" spans="17:17" ht="15.75" customHeight="1">
      <c r="Q581" s="87"/>
    </row>
    <row r="582" spans="17:17" ht="15.75" customHeight="1">
      <c r="Q582" s="87"/>
    </row>
    <row r="583" spans="17:17" ht="15.75" customHeight="1">
      <c r="Q583" s="87"/>
    </row>
    <row r="584" spans="17:17" ht="15.75" customHeight="1">
      <c r="Q584" s="87"/>
    </row>
    <row r="585" spans="17:17" ht="15.75" customHeight="1">
      <c r="Q585" s="87"/>
    </row>
    <row r="586" spans="17:17" ht="15.75" customHeight="1">
      <c r="Q586" s="87"/>
    </row>
    <row r="587" spans="17:17" ht="15.75" customHeight="1">
      <c r="Q587" s="87"/>
    </row>
    <row r="588" spans="17:17" ht="15.75" customHeight="1">
      <c r="Q588" s="87"/>
    </row>
    <row r="589" spans="17:17" ht="15.75" customHeight="1">
      <c r="Q589" s="87"/>
    </row>
    <row r="590" spans="17:17" ht="15.75" customHeight="1">
      <c r="Q590" s="87"/>
    </row>
    <row r="591" spans="17:17" ht="15.75" customHeight="1">
      <c r="Q591" s="87"/>
    </row>
    <row r="592" spans="17:17" ht="15.75" customHeight="1">
      <c r="Q592" s="87"/>
    </row>
    <row r="593" spans="17:17" ht="15.75" customHeight="1">
      <c r="Q593" s="87"/>
    </row>
    <row r="594" spans="17:17" ht="15.75" customHeight="1">
      <c r="Q594" s="87"/>
    </row>
    <row r="595" spans="17:17" ht="15.75" customHeight="1">
      <c r="Q595" s="87"/>
    </row>
    <row r="596" spans="17:17" ht="15.75" customHeight="1">
      <c r="Q596" s="87"/>
    </row>
    <row r="597" spans="17:17" ht="15.75" customHeight="1">
      <c r="Q597" s="87"/>
    </row>
    <row r="598" spans="17:17" ht="15.75" customHeight="1">
      <c r="Q598" s="87"/>
    </row>
    <row r="599" spans="17:17" ht="15.75" customHeight="1">
      <c r="Q599" s="87"/>
    </row>
    <row r="600" spans="17:17" ht="15.75" customHeight="1">
      <c r="Q600" s="87"/>
    </row>
    <row r="601" spans="17:17" ht="15.75" customHeight="1">
      <c r="Q601" s="87"/>
    </row>
    <row r="602" spans="17:17" ht="15.75" customHeight="1">
      <c r="Q602" s="87"/>
    </row>
    <row r="603" spans="17:17" ht="15.75" customHeight="1">
      <c r="Q603" s="87"/>
    </row>
    <row r="604" spans="17:17" ht="15.75" customHeight="1">
      <c r="Q604" s="87"/>
    </row>
    <row r="605" spans="17:17" ht="15.75" customHeight="1">
      <c r="Q605" s="87"/>
    </row>
    <row r="606" spans="17:17" ht="15.75" customHeight="1">
      <c r="Q606" s="87"/>
    </row>
    <row r="607" spans="17:17" ht="15.75" customHeight="1">
      <c r="Q607" s="87"/>
    </row>
    <row r="608" spans="17:17" ht="15.75" customHeight="1">
      <c r="Q608" s="87"/>
    </row>
    <row r="609" spans="17:17" ht="15.75" customHeight="1">
      <c r="Q609" s="87"/>
    </row>
    <row r="610" spans="17:17" ht="15.75" customHeight="1">
      <c r="Q610" s="87"/>
    </row>
    <row r="611" spans="17:17" ht="15.75" customHeight="1">
      <c r="Q611" s="87"/>
    </row>
    <row r="612" spans="17:17" ht="15.75" customHeight="1">
      <c r="Q612" s="87"/>
    </row>
    <row r="613" spans="17:17" ht="15.75" customHeight="1">
      <c r="Q613" s="87"/>
    </row>
    <row r="614" spans="17:17" ht="15.75" customHeight="1">
      <c r="Q614" s="87"/>
    </row>
    <row r="615" spans="17:17" ht="15.75" customHeight="1">
      <c r="Q615" s="87"/>
    </row>
    <row r="616" spans="17:17" ht="15.75" customHeight="1">
      <c r="Q616" s="87"/>
    </row>
    <row r="617" spans="17:17" ht="15.75" customHeight="1">
      <c r="Q617" s="87"/>
    </row>
    <row r="618" spans="17:17" ht="15.75" customHeight="1">
      <c r="Q618" s="87"/>
    </row>
    <row r="619" spans="17:17" ht="15.75" customHeight="1">
      <c r="Q619" s="87"/>
    </row>
    <row r="620" spans="17:17" ht="15.75" customHeight="1">
      <c r="Q620" s="87"/>
    </row>
    <row r="621" spans="17:17" ht="15.75" customHeight="1">
      <c r="Q621" s="87"/>
    </row>
    <row r="622" spans="17:17" ht="15.75" customHeight="1">
      <c r="Q622" s="87"/>
    </row>
    <row r="623" spans="17:17" ht="15.75" customHeight="1">
      <c r="Q623" s="87"/>
    </row>
    <row r="624" spans="17:17" ht="15.75" customHeight="1">
      <c r="Q624" s="87"/>
    </row>
    <row r="625" spans="17:17" ht="15.75" customHeight="1">
      <c r="Q625" s="87"/>
    </row>
    <row r="626" spans="17:17" ht="15.75" customHeight="1">
      <c r="Q626" s="87"/>
    </row>
    <row r="627" spans="17:17" ht="15.75" customHeight="1">
      <c r="Q627" s="87"/>
    </row>
    <row r="628" spans="17:17" ht="15.75" customHeight="1">
      <c r="Q628" s="87"/>
    </row>
    <row r="629" spans="17:17" ht="15.75" customHeight="1">
      <c r="Q629" s="87"/>
    </row>
    <row r="630" spans="17:17" ht="15.75" customHeight="1">
      <c r="Q630" s="87"/>
    </row>
    <row r="631" spans="17:17" ht="15.75" customHeight="1">
      <c r="Q631" s="87"/>
    </row>
    <row r="632" spans="17:17" ht="15.75" customHeight="1">
      <c r="Q632" s="87"/>
    </row>
    <row r="633" spans="17:17" ht="15.75" customHeight="1">
      <c r="Q633" s="87"/>
    </row>
    <row r="634" spans="17:17" ht="15.75" customHeight="1">
      <c r="Q634" s="87"/>
    </row>
    <row r="635" spans="17:17" ht="15.75" customHeight="1">
      <c r="Q635" s="87"/>
    </row>
    <row r="636" spans="17:17" ht="15.75" customHeight="1">
      <c r="Q636" s="87"/>
    </row>
    <row r="637" spans="17:17" ht="15.75" customHeight="1">
      <c r="Q637" s="87"/>
    </row>
    <row r="638" spans="17:17" ht="15.75" customHeight="1">
      <c r="Q638" s="87"/>
    </row>
    <row r="639" spans="17:17" ht="15.75" customHeight="1">
      <c r="Q639" s="87"/>
    </row>
    <row r="640" spans="17:17" ht="15.75" customHeight="1">
      <c r="Q640" s="87"/>
    </row>
    <row r="641" spans="17:17" ht="15.75" customHeight="1">
      <c r="Q641" s="87"/>
    </row>
    <row r="642" spans="17:17" ht="15.75" customHeight="1">
      <c r="Q642" s="87"/>
    </row>
    <row r="643" spans="17:17" ht="15.75" customHeight="1">
      <c r="Q643" s="87"/>
    </row>
    <row r="644" spans="17:17" ht="15.75" customHeight="1">
      <c r="Q644" s="87"/>
    </row>
    <row r="645" spans="17:17" ht="15.75" customHeight="1">
      <c r="Q645" s="87"/>
    </row>
    <row r="646" spans="17:17" ht="15.75" customHeight="1">
      <c r="Q646" s="87"/>
    </row>
    <row r="647" spans="17:17" ht="15.75" customHeight="1">
      <c r="Q647" s="87"/>
    </row>
    <row r="648" spans="17:17" ht="15.75" customHeight="1">
      <c r="Q648" s="87"/>
    </row>
    <row r="649" spans="17:17" ht="15.75" customHeight="1">
      <c r="Q649" s="87"/>
    </row>
    <row r="650" spans="17:17" ht="15.75" customHeight="1">
      <c r="Q650" s="87"/>
    </row>
    <row r="651" spans="17:17" ht="15.75" customHeight="1">
      <c r="Q651" s="87"/>
    </row>
    <row r="652" spans="17:17" ht="15.75" customHeight="1">
      <c r="Q652" s="87"/>
    </row>
    <row r="653" spans="17:17" ht="15.75" customHeight="1">
      <c r="Q653" s="87"/>
    </row>
    <row r="654" spans="17:17" ht="15.75" customHeight="1">
      <c r="Q654" s="87"/>
    </row>
    <row r="655" spans="17:17" ht="15.75" customHeight="1">
      <c r="Q655" s="87"/>
    </row>
    <row r="656" spans="17:17" ht="15.75" customHeight="1">
      <c r="Q656" s="87"/>
    </row>
    <row r="657" spans="17:17" ht="15.75" customHeight="1">
      <c r="Q657" s="87"/>
    </row>
    <row r="658" spans="17:17" ht="15.75" customHeight="1">
      <c r="Q658" s="87"/>
    </row>
    <row r="659" spans="17:17" ht="15.75" customHeight="1">
      <c r="Q659" s="87"/>
    </row>
    <row r="660" spans="17:17" ht="15.75" customHeight="1">
      <c r="Q660" s="87"/>
    </row>
    <row r="661" spans="17:17" ht="15.75" customHeight="1">
      <c r="Q661" s="87"/>
    </row>
    <row r="662" spans="17:17" ht="15.75" customHeight="1">
      <c r="Q662" s="87"/>
    </row>
    <row r="663" spans="17:17" ht="15.75" customHeight="1">
      <c r="Q663" s="87"/>
    </row>
    <row r="664" spans="17:17" ht="15.75" customHeight="1">
      <c r="Q664" s="87"/>
    </row>
    <row r="665" spans="17:17" ht="15.75" customHeight="1">
      <c r="Q665" s="87"/>
    </row>
    <row r="666" spans="17:17" ht="15.75" customHeight="1">
      <c r="Q666" s="87"/>
    </row>
    <row r="667" spans="17:17" ht="15.75" customHeight="1">
      <c r="Q667" s="87"/>
    </row>
    <row r="668" spans="17:17" ht="15.75" customHeight="1">
      <c r="Q668" s="87"/>
    </row>
    <row r="669" spans="17:17" ht="15.75" customHeight="1">
      <c r="Q669" s="87"/>
    </row>
    <row r="670" spans="17:17" ht="15.75" customHeight="1">
      <c r="Q670" s="87"/>
    </row>
    <row r="671" spans="17:17" ht="15.75" customHeight="1">
      <c r="Q671" s="87"/>
    </row>
    <row r="672" spans="17:17" ht="15.75" customHeight="1">
      <c r="Q672" s="87"/>
    </row>
    <row r="673" spans="17:17" ht="15.75" customHeight="1">
      <c r="Q673" s="87"/>
    </row>
    <row r="674" spans="17:17" ht="15.75" customHeight="1">
      <c r="Q674" s="87"/>
    </row>
    <row r="675" spans="17:17" ht="15.75" customHeight="1">
      <c r="Q675" s="87"/>
    </row>
    <row r="676" spans="17:17" ht="15.75" customHeight="1">
      <c r="Q676" s="87"/>
    </row>
    <row r="677" spans="17:17" ht="15.75" customHeight="1">
      <c r="Q677" s="87"/>
    </row>
    <row r="678" spans="17:17" ht="15.75" customHeight="1">
      <c r="Q678" s="87"/>
    </row>
    <row r="679" spans="17:17" ht="15.75" customHeight="1">
      <c r="Q679" s="87"/>
    </row>
    <row r="680" spans="17:17" ht="15.75" customHeight="1">
      <c r="Q680" s="87"/>
    </row>
    <row r="681" spans="17:17" ht="15.75" customHeight="1">
      <c r="Q681" s="87"/>
    </row>
    <row r="682" spans="17:17" ht="15.75" customHeight="1">
      <c r="Q682" s="87"/>
    </row>
    <row r="683" spans="17:17" ht="15.75" customHeight="1">
      <c r="Q683" s="87"/>
    </row>
    <row r="684" spans="17:17" ht="15.75" customHeight="1">
      <c r="Q684" s="87"/>
    </row>
    <row r="685" spans="17:17" ht="15.75" customHeight="1">
      <c r="Q685" s="87"/>
    </row>
    <row r="686" spans="17:17" ht="15.75" customHeight="1">
      <c r="Q686" s="87"/>
    </row>
    <row r="687" spans="17:17" ht="15.75" customHeight="1">
      <c r="Q687" s="87"/>
    </row>
    <row r="688" spans="17:17" ht="15.75" customHeight="1">
      <c r="Q688" s="87"/>
    </row>
    <row r="689" spans="17:17" ht="15.75" customHeight="1">
      <c r="Q689" s="87"/>
    </row>
    <row r="690" spans="17:17" ht="15.75" customHeight="1">
      <c r="Q690" s="87"/>
    </row>
    <row r="691" spans="17:17" ht="15.75" customHeight="1">
      <c r="Q691" s="87"/>
    </row>
    <row r="692" spans="17:17" ht="15.75" customHeight="1">
      <c r="Q692" s="87"/>
    </row>
    <row r="693" spans="17:17" ht="15.75" customHeight="1">
      <c r="Q693" s="87"/>
    </row>
    <row r="694" spans="17:17" ht="15.75" customHeight="1">
      <c r="Q694" s="87"/>
    </row>
    <row r="695" spans="17:17" ht="15.75" customHeight="1">
      <c r="Q695" s="87"/>
    </row>
    <row r="696" spans="17:17" ht="15.75" customHeight="1">
      <c r="Q696" s="87"/>
    </row>
    <row r="697" spans="17:17" ht="15.75" customHeight="1">
      <c r="Q697" s="87"/>
    </row>
    <row r="698" spans="17:17" ht="15.75" customHeight="1">
      <c r="Q698" s="87"/>
    </row>
    <row r="699" spans="17:17" ht="15.75" customHeight="1">
      <c r="Q699" s="87"/>
    </row>
    <row r="700" spans="17:17" ht="15.75" customHeight="1">
      <c r="Q700" s="87"/>
    </row>
    <row r="701" spans="17:17" ht="15.75" customHeight="1">
      <c r="Q701" s="87"/>
    </row>
    <row r="702" spans="17:17" ht="15.75" customHeight="1">
      <c r="Q702" s="87"/>
    </row>
    <row r="703" spans="17:17" ht="15.75" customHeight="1">
      <c r="Q703" s="87"/>
    </row>
    <row r="704" spans="17:17" ht="15.75" customHeight="1">
      <c r="Q704" s="87"/>
    </row>
    <row r="705" spans="17:17" ht="15.75" customHeight="1">
      <c r="Q705" s="87"/>
    </row>
    <row r="706" spans="17:17" ht="15.75" customHeight="1">
      <c r="Q706" s="87"/>
    </row>
    <row r="707" spans="17:17" ht="15.75" customHeight="1">
      <c r="Q707" s="87"/>
    </row>
    <row r="708" spans="17:17" ht="15.75" customHeight="1">
      <c r="Q708" s="87"/>
    </row>
    <row r="709" spans="17:17" ht="15.75" customHeight="1">
      <c r="Q709" s="87"/>
    </row>
    <row r="710" spans="17:17" ht="15.75" customHeight="1">
      <c r="Q710" s="87"/>
    </row>
    <row r="711" spans="17:17" ht="15.75" customHeight="1">
      <c r="Q711" s="87"/>
    </row>
    <row r="712" spans="17:17" ht="15.75" customHeight="1">
      <c r="Q712" s="87"/>
    </row>
    <row r="713" spans="17:17" ht="15.75" customHeight="1">
      <c r="Q713" s="87"/>
    </row>
    <row r="714" spans="17:17" ht="15.75" customHeight="1">
      <c r="Q714" s="87"/>
    </row>
    <row r="715" spans="17:17" ht="15.75" customHeight="1">
      <c r="Q715" s="87"/>
    </row>
    <row r="716" spans="17:17" ht="15.75" customHeight="1">
      <c r="Q716" s="87"/>
    </row>
    <row r="717" spans="17:17" ht="15.75" customHeight="1">
      <c r="Q717" s="87"/>
    </row>
    <row r="718" spans="17:17" ht="15.75" customHeight="1">
      <c r="Q718" s="87"/>
    </row>
    <row r="719" spans="17:17" ht="15.75" customHeight="1">
      <c r="Q719" s="87"/>
    </row>
    <row r="720" spans="17:17" ht="15.75" customHeight="1">
      <c r="Q720" s="87"/>
    </row>
    <row r="721" spans="17:17" ht="15.75" customHeight="1">
      <c r="Q721" s="87"/>
    </row>
    <row r="722" spans="17:17" ht="15.75" customHeight="1">
      <c r="Q722" s="87"/>
    </row>
    <row r="723" spans="17:17" ht="15.75" customHeight="1">
      <c r="Q723" s="87"/>
    </row>
    <row r="724" spans="17:17" ht="15.75" customHeight="1">
      <c r="Q724" s="87"/>
    </row>
    <row r="725" spans="17:17" ht="15.75" customHeight="1">
      <c r="Q725" s="87"/>
    </row>
    <row r="726" spans="17:17" ht="15.75" customHeight="1">
      <c r="Q726" s="87"/>
    </row>
    <row r="727" spans="17:17" ht="15.75" customHeight="1">
      <c r="Q727" s="87"/>
    </row>
    <row r="728" spans="17:17" ht="15.75" customHeight="1">
      <c r="Q728" s="87"/>
    </row>
    <row r="729" spans="17:17" ht="15.75" customHeight="1">
      <c r="Q729" s="87"/>
    </row>
    <row r="730" spans="17:17" ht="15.75" customHeight="1">
      <c r="Q730" s="87"/>
    </row>
    <row r="731" spans="17:17" ht="15.75" customHeight="1">
      <c r="Q731" s="87"/>
    </row>
    <row r="732" spans="17:17" ht="15.75" customHeight="1">
      <c r="Q732" s="87"/>
    </row>
    <row r="733" spans="17:17" ht="15.75" customHeight="1">
      <c r="Q733" s="87"/>
    </row>
    <row r="734" spans="17:17" ht="15.75" customHeight="1">
      <c r="Q734" s="87"/>
    </row>
    <row r="735" spans="17:17" ht="15.75" customHeight="1">
      <c r="Q735" s="87"/>
    </row>
    <row r="736" spans="17:17" ht="15.75" customHeight="1">
      <c r="Q736" s="87"/>
    </row>
    <row r="737" spans="17:17" ht="15.75" customHeight="1">
      <c r="Q737" s="87"/>
    </row>
    <row r="738" spans="17:17" ht="15.75" customHeight="1">
      <c r="Q738" s="87"/>
    </row>
    <row r="739" spans="17:17" ht="15.75" customHeight="1">
      <c r="Q739" s="87"/>
    </row>
    <row r="740" spans="17:17" ht="15.75" customHeight="1">
      <c r="Q740" s="87"/>
    </row>
    <row r="741" spans="17:17" ht="15.75" customHeight="1">
      <c r="Q741" s="87"/>
    </row>
    <row r="742" spans="17:17" ht="15.75" customHeight="1">
      <c r="Q742" s="87"/>
    </row>
    <row r="743" spans="17:17" ht="15.75" customHeight="1">
      <c r="Q743" s="87"/>
    </row>
    <row r="744" spans="17:17" ht="15.75" customHeight="1">
      <c r="Q744" s="87"/>
    </row>
    <row r="745" spans="17:17" ht="15.75" customHeight="1">
      <c r="Q745" s="87"/>
    </row>
    <row r="746" spans="17:17" ht="15.75" customHeight="1">
      <c r="Q746" s="87"/>
    </row>
    <row r="747" spans="17:17" ht="15.75" customHeight="1">
      <c r="Q747" s="87"/>
    </row>
    <row r="748" spans="17:17" ht="15.75" customHeight="1">
      <c r="Q748" s="87"/>
    </row>
    <row r="749" spans="17:17" ht="15.75" customHeight="1">
      <c r="Q749" s="87"/>
    </row>
    <row r="750" spans="17:17" ht="15.75" customHeight="1">
      <c r="Q750" s="87"/>
    </row>
    <row r="751" spans="17:17" ht="15.75" customHeight="1">
      <c r="Q751" s="87"/>
    </row>
    <row r="752" spans="17:17" ht="15.75" customHeight="1">
      <c r="Q752" s="87"/>
    </row>
    <row r="753" spans="17:17" ht="15.75" customHeight="1">
      <c r="Q753" s="87"/>
    </row>
    <row r="754" spans="17:17" ht="15.75" customHeight="1">
      <c r="Q754" s="87"/>
    </row>
    <row r="755" spans="17:17" ht="15.75" customHeight="1">
      <c r="Q755" s="87"/>
    </row>
    <row r="756" spans="17:17" ht="15.75" customHeight="1">
      <c r="Q756" s="87"/>
    </row>
    <row r="757" spans="17:17" ht="15.75" customHeight="1">
      <c r="Q757" s="87"/>
    </row>
    <row r="758" spans="17:17" ht="15.75" customHeight="1">
      <c r="Q758" s="87"/>
    </row>
    <row r="759" spans="17:17" ht="15.75" customHeight="1">
      <c r="Q759" s="87"/>
    </row>
    <row r="760" spans="17:17" ht="15.75" customHeight="1">
      <c r="Q760" s="87"/>
    </row>
    <row r="761" spans="17:17" ht="15.75" customHeight="1">
      <c r="Q761" s="87"/>
    </row>
    <row r="762" spans="17:17" ht="15.75" customHeight="1">
      <c r="Q762" s="87"/>
    </row>
    <row r="763" spans="17:17" ht="15.75" customHeight="1">
      <c r="Q763" s="87"/>
    </row>
    <row r="764" spans="17:17" ht="15.75" customHeight="1">
      <c r="Q764" s="87"/>
    </row>
    <row r="765" spans="17:17" ht="15.75" customHeight="1">
      <c r="Q765" s="87"/>
    </row>
    <row r="766" spans="17:17" ht="15.75" customHeight="1">
      <c r="Q766" s="87"/>
    </row>
    <row r="767" spans="17:17" ht="15.75" customHeight="1">
      <c r="Q767" s="87"/>
    </row>
    <row r="768" spans="17:17" ht="15.75" customHeight="1">
      <c r="Q768" s="87"/>
    </row>
    <row r="769" spans="17:17" ht="15.75" customHeight="1">
      <c r="Q769" s="87"/>
    </row>
    <row r="770" spans="17:17" ht="15.75" customHeight="1">
      <c r="Q770" s="87"/>
    </row>
    <row r="771" spans="17:17" ht="15.75" customHeight="1">
      <c r="Q771" s="87"/>
    </row>
    <row r="772" spans="17:17" ht="15.75" customHeight="1">
      <c r="Q772" s="87"/>
    </row>
    <row r="773" spans="17:17" ht="15.75" customHeight="1">
      <c r="Q773" s="87"/>
    </row>
    <row r="774" spans="17:17" ht="15.75" customHeight="1">
      <c r="Q774" s="87"/>
    </row>
    <row r="775" spans="17:17" ht="15.75" customHeight="1">
      <c r="Q775" s="87"/>
    </row>
    <row r="776" spans="17:17" ht="15.75" customHeight="1">
      <c r="Q776" s="87"/>
    </row>
    <row r="777" spans="17:17" ht="15.75" customHeight="1">
      <c r="Q777" s="87"/>
    </row>
    <row r="778" spans="17:17" ht="15.75" customHeight="1">
      <c r="Q778" s="87"/>
    </row>
    <row r="779" spans="17:17" ht="15.75" customHeight="1">
      <c r="Q779" s="87"/>
    </row>
    <row r="780" spans="17:17" ht="15.75" customHeight="1">
      <c r="Q780" s="87"/>
    </row>
    <row r="781" spans="17:17" ht="15.75" customHeight="1">
      <c r="Q781" s="87"/>
    </row>
    <row r="782" spans="17:17" ht="15.75" customHeight="1">
      <c r="Q782" s="87"/>
    </row>
    <row r="783" spans="17:17" ht="15.75" customHeight="1">
      <c r="Q783" s="87"/>
    </row>
    <row r="784" spans="17:17" ht="15.75" customHeight="1">
      <c r="Q784" s="87"/>
    </row>
    <row r="785" spans="17:17" ht="15.75" customHeight="1">
      <c r="Q785" s="87"/>
    </row>
    <row r="786" spans="17:17" ht="15.75" customHeight="1">
      <c r="Q786" s="87"/>
    </row>
    <row r="787" spans="17:17" ht="15.75" customHeight="1">
      <c r="Q787" s="87"/>
    </row>
    <row r="788" spans="17:17" ht="15.75" customHeight="1">
      <c r="Q788" s="87"/>
    </row>
    <row r="789" spans="17:17" ht="15.75" customHeight="1">
      <c r="Q789" s="87"/>
    </row>
    <row r="790" spans="17:17" ht="15.75" customHeight="1">
      <c r="Q790" s="87"/>
    </row>
    <row r="791" spans="17:17" ht="15.75" customHeight="1">
      <c r="Q791" s="87"/>
    </row>
    <row r="792" spans="17:17" ht="15.75" customHeight="1">
      <c r="Q792" s="87"/>
    </row>
    <row r="793" spans="17:17" ht="15.75" customHeight="1">
      <c r="Q793" s="87"/>
    </row>
    <row r="794" spans="17:17" ht="15.75" customHeight="1">
      <c r="Q794" s="87"/>
    </row>
    <row r="795" spans="17:17" ht="15.75" customHeight="1">
      <c r="Q795" s="87"/>
    </row>
    <row r="796" spans="17:17" ht="15.75" customHeight="1">
      <c r="Q796" s="87"/>
    </row>
    <row r="797" spans="17:17" ht="15.75" customHeight="1">
      <c r="Q797" s="87"/>
    </row>
    <row r="798" spans="17:17" ht="15.75" customHeight="1">
      <c r="Q798" s="87"/>
    </row>
    <row r="799" spans="17:17" ht="15.75" customHeight="1">
      <c r="Q799" s="87"/>
    </row>
    <row r="800" spans="17:17" ht="15.75" customHeight="1">
      <c r="Q800" s="87"/>
    </row>
    <row r="801" spans="17:17" ht="15.75" customHeight="1">
      <c r="Q801" s="87"/>
    </row>
    <row r="802" spans="17:17" ht="15.75" customHeight="1">
      <c r="Q802" s="87"/>
    </row>
    <row r="803" spans="17:17" ht="15.75" customHeight="1">
      <c r="Q803" s="87"/>
    </row>
    <row r="804" spans="17:17" ht="15.75" customHeight="1">
      <c r="Q804" s="87"/>
    </row>
    <row r="805" spans="17:17" ht="15.75" customHeight="1">
      <c r="Q805" s="87"/>
    </row>
    <row r="806" spans="17:17" ht="15.75" customHeight="1">
      <c r="Q806" s="87"/>
    </row>
    <row r="807" spans="17:17" ht="15.75" customHeight="1">
      <c r="Q807" s="87"/>
    </row>
    <row r="808" spans="17:17" ht="15.75" customHeight="1">
      <c r="Q808" s="87"/>
    </row>
    <row r="809" spans="17:17" ht="15.75" customHeight="1">
      <c r="Q809" s="87"/>
    </row>
    <row r="810" spans="17:17" ht="15.75" customHeight="1">
      <c r="Q810" s="87"/>
    </row>
    <row r="811" spans="17:17" ht="15.75" customHeight="1">
      <c r="Q811" s="87"/>
    </row>
    <row r="812" spans="17:17" ht="15.75" customHeight="1">
      <c r="Q812" s="87"/>
    </row>
    <row r="813" spans="17:17" ht="15.75" customHeight="1">
      <c r="Q813" s="87"/>
    </row>
    <row r="814" spans="17:17" ht="15.75" customHeight="1">
      <c r="Q814" s="87"/>
    </row>
    <row r="815" spans="17:17" ht="15.75" customHeight="1">
      <c r="Q815" s="87"/>
    </row>
    <row r="816" spans="17:17" ht="15.75" customHeight="1">
      <c r="Q816" s="87"/>
    </row>
    <row r="817" spans="17:17" ht="15.75" customHeight="1">
      <c r="Q817" s="87"/>
    </row>
    <row r="818" spans="17:17" ht="15.75" customHeight="1">
      <c r="Q818" s="87"/>
    </row>
    <row r="819" spans="17:17" ht="15.75" customHeight="1">
      <c r="Q819" s="87"/>
    </row>
    <row r="820" spans="17:17" ht="15.75" customHeight="1">
      <c r="Q820" s="87"/>
    </row>
    <row r="821" spans="17:17" ht="15.75" customHeight="1">
      <c r="Q821" s="87"/>
    </row>
    <row r="822" spans="17:17" ht="15.75" customHeight="1">
      <c r="Q822" s="87"/>
    </row>
    <row r="823" spans="17:17" ht="15.75" customHeight="1">
      <c r="Q823" s="87"/>
    </row>
    <row r="824" spans="17:17" ht="15.75" customHeight="1">
      <c r="Q824" s="87"/>
    </row>
    <row r="825" spans="17:17" ht="15.75" customHeight="1">
      <c r="Q825" s="87"/>
    </row>
    <row r="826" spans="17:17" ht="15.75" customHeight="1">
      <c r="Q826" s="87"/>
    </row>
    <row r="827" spans="17:17" ht="15.75" customHeight="1">
      <c r="Q827" s="87"/>
    </row>
    <row r="828" spans="17:17" ht="15.75" customHeight="1">
      <c r="Q828" s="87"/>
    </row>
    <row r="829" spans="17:17" ht="15.75" customHeight="1">
      <c r="Q829" s="87"/>
    </row>
    <row r="830" spans="17:17" ht="15.75" customHeight="1">
      <c r="Q830" s="87"/>
    </row>
    <row r="831" spans="17:17" ht="15.75" customHeight="1">
      <c r="Q831" s="87"/>
    </row>
    <row r="832" spans="17:17" ht="15.75" customHeight="1">
      <c r="Q832" s="87"/>
    </row>
    <row r="833" spans="17:17" ht="15.75" customHeight="1">
      <c r="Q833" s="87"/>
    </row>
    <row r="834" spans="17:17" ht="15.75" customHeight="1">
      <c r="Q834" s="87"/>
    </row>
    <row r="835" spans="17:17" ht="15.75" customHeight="1">
      <c r="Q835" s="87"/>
    </row>
    <row r="836" spans="17:17" ht="15.75" customHeight="1">
      <c r="Q836" s="87"/>
    </row>
    <row r="837" spans="17:17" ht="15.75" customHeight="1">
      <c r="Q837" s="87"/>
    </row>
    <row r="838" spans="17:17" ht="15.75" customHeight="1">
      <c r="Q838" s="87"/>
    </row>
    <row r="839" spans="17:17" ht="15.75" customHeight="1">
      <c r="Q839" s="87"/>
    </row>
    <row r="840" spans="17:17" ht="15.75" customHeight="1">
      <c r="Q840" s="87"/>
    </row>
    <row r="841" spans="17:17" ht="15.75" customHeight="1">
      <c r="Q841" s="87"/>
    </row>
    <row r="842" spans="17:17" ht="15.75" customHeight="1">
      <c r="Q842" s="87"/>
    </row>
    <row r="843" spans="17:17" ht="15.75" customHeight="1">
      <c r="Q843" s="87"/>
    </row>
    <row r="844" spans="17:17" ht="15.75" customHeight="1">
      <c r="Q844" s="87"/>
    </row>
    <row r="845" spans="17:17" ht="15.75" customHeight="1">
      <c r="Q845" s="87"/>
    </row>
    <row r="846" spans="17:17" ht="15.75" customHeight="1">
      <c r="Q846" s="87"/>
    </row>
    <row r="847" spans="17:17" ht="15.75" customHeight="1">
      <c r="Q847" s="87"/>
    </row>
    <row r="848" spans="17:17" ht="15.75" customHeight="1">
      <c r="Q848" s="87"/>
    </row>
    <row r="849" spans="17:17" ht="15.75" customHeight="1">
      <c r="Q849" s="87"/>
    </row>
    <row r="850" spans="17:17" ht="15.75" customHeight="1">
      <c r="Q850" s="87"/>
    </row>
    <row r="851" spans="17:17" ht="15.75" customHeight="1">
      <c r="Q851" s="87"/>
    </row>
    <row r="852" spans="17:17" ht="15.75" customHeight="1">
      <c r="Q852" s="87"/>
    </row>
    <row r="853" spans="17:17" ht="15.75" customHeight="1">
      <c r="Q853" s="87"/>
    </row>
    <row r="854" spans="17:17" ht="15.75" customHeight="1">
      <c r="Q854" s="87"/>
    </row>
    <row r="855" spans="17:17" ht="15.75" customHeight="1">
      <c r="Q855" s="87"/>
    </row>
    <row r="856" spans="17:17" ht="15.75" customHeight="1">
      <c r="Q856" s="87"/>
    </row>
    <row r="857" spans="17:17" ht="15.75" customHeight="1">
      <c r="Q857" s="87"/>
    </row>
    <row r="858" spans="17:17" ht="15.75" customHeight="1">
      <c r="Q858" s="87"/>
    </row>
    <row r="859" spans="17:17" ht="15.75" customHeight="1">
      <c r="Q859" s="87"/>
    </row>
    <row r="860" spans="17:17" ht="15.75" customHeight="1">
      <c r="Q860" s="87"/>
    </row>
    <row r="861" spans="17:17" ht="15.75" customHeight="1">
      <c r="Q861" s="87"/>
    </row>
    <row r="862" spans="17:17" ht="15.75" customHeight="1">
      <c r="Q862" s="87"/>
    </row>
    <row r="863" spans="17:17" ht="15.75" customHeight="1">
      <c r="Q863" s="87"/>
    </row>
    <row r="864" spans="17:17" ht="15.75" customHeight="1">
      <c r="Q864" s="87"/>
    </row>
    <row r="865" spans="17:17" ht="15.75" customHeight="1">
      <c r="Q865" s="87"/>
    </row>
    <row r="866" spans="17:17" ht="15.75" customHeight="1">
      <c r="Q866" s="87"/>
    </row>
    <row r="867" spans="17:17" ht="15.75" customHeight="1">
      <c r="Q867" s="87"/>
    </row>
    <row r="868" spans="17:17" ht="15.75" customHeight="1">
      <c r="Q868" s="87"/>
    </row>
    <row r="869" spans="17:17" ht="15.75" customHeight="1">
      <c r="Q869" s="87"/>
    </row>
    <row r="870" spans="17:17" ht="15.75" customHeight="1">
      <c r="Q870" s="87"/>
    </row>
    <row r="871" spans="17:17" ht="15.75" customHeight="1">
      <c r="Q871" s="87"/>
    </row>
    <row r="872" spans="17:17" ht="15.75" customHeight="1">
      <c r="Q872" s="87"/>
    </row>
    <row r="873" spans="17:17" ht="15.75" customHeight="1">
      <c r="Q873" s="87"/>
    </row>
    <row r="874" spans="17:17" ht="15.75" customHeight="1">
      <c r="Q874" s="87"/>
    </row>
    <row r="875" spans="17:17" ht="15.75" customHeight="1">
      <c r="Q875" s="87"/>
    </row>
    <row r="876" spans="17:17" ht="15.75" customHeight="1">
      <c r="Q876" s="87"/>
    </row>
    <row r="877" spans="17:17" ht="15.75" customHeight="1">
      <c r="Q877" s="87"/>
    </row>
    <row r="878" spans="17:17" ht="15.75" customHeight="1">
      <c r="Q878" s="87"/>
    </row>
    <row r="879" spans="17:17" ht="15.75" customHeight="1">
      <c r="Q879" s="87"/>
    </row>
    <row r="880" spans="17:17" ht="15.75" customHeight="1">
      <c r="Q880" s="87"/>
    </row>
    <row r="881" spans="17:17" ht="15.75" customHeight="1">
      <c r="Q881" s="87"/>
    </row>
    <row r="882" spans="17:17" ht="15.75" customHeight="1">
      <c r="Q882" s="87"/>
    </row>
    <row r="883" spans="17:17" ht="15.75" customHeight="1">
      <c r="Q883" s="87"/>
    </row>
    <row r="884" spans="17:17" ht="15.75" customHeight="1">
      <c r="Q884" s="87"/>
    </row>
    <row r="885" spans="17:17" ht="15.75" customHeight="1">
      <c r="Q885" s="87"/>
    </row>
    <row r="886" spans="17:17" ht="15.75" customHeight="1">
      <c r="Q886" s="87"/>
    </row>
    <row r="887" spans="17:17" ht="15.75" customHeight="1">
      <c r="Q887" s="87"/>
    </row>
    <row r="888" spans="17:17" ht="15.75" customHeight="1">
      <c r="Q888" s="87"/>
    </row>
    <row r="889" spans="17:17" ht="15.75" customHeight="1">
      <c r="Q889" s="87"/>
    </row>
    <row r="890" spans="17:17" ht="15.75" customHeight="1">
      <c r="Q890" s="87"/>
    </row>
    <row r="891" spans="17:17" ht="15.75" customHeight="1">
      <c r="Q891" s="87"/>
    </row>
    <row r="892" spans="17:17" ht="15.75" customHeight="1">
      <c r="Q892" s="87"/>
    </row>
    <row r="893" spans="17:17" ht="15.75" customHeight="1">
      <c r="Q893" s="87"/>
    </row>
    <row r="894" spans="17:17" ht="15.75" customHeight="1">
      <c r="Q894" s="87"/>
    </row>
    <row r="895" spans="17:17" ht="15.75" customHeight="1">
      <c r="Q895" s="87"/>
    </row>
    <row r="896" spans="17:17" ht="15.75" customHeight="1">
      <c r="Q896" s="87"/>
    </row>
    <row r="897" spans="17:17" ht="15.75" customHeight="1">
      <c r="Q897" s="87"/>
    </row>
    <row r="898" spans="17:17" ht="15.75" customHeight="1">
      <c r="Q898" s="87"/>
    </row>
    <row r="899" spans="17:17" ht="15.75" customHeight="1">
      <c r="Q899" s="87"/>
    </row>
    <row r="900" spans="17:17" ht="15.75" customHeight="1">
      <c r="Q900" s="87"/>
    </row>
    <row r="901" spans="17:17" ht="15.75" customHeight="1">
      <c r="Q901" s="87"/>
    </row>
    <row r="902" spans="17:17" ht="15.75" customHeight="1">
      <c r="Q902" s="87"/>
    </row>
    <row r="903" spans="17:17" ht="15.75" customHeight="1">
      <c r="Q903" s="87"/>
    </row>
    <row r="904" spans="17:17" ht="15.75" customHeight="1">
      <c r="Q904" s="87"/>
    </row>
    <row r="905" spans="17:17" ht="15.75" customHeight="1">
      <c r="Q905" s="87"/>
    </row>
    <row r="906" spans="17:17" ht="15.75" customHeight="1">
      <c r="Q906" s="87"/>
    </row>
    <row r="907" spans="17:17" ht="15.75" customHeight="1">
      <c r="Q907" s="87"/>
    </row>
    <row r="908" spans="17:17" ht="15.75" customHeight="1">
      <c r="Q908" s="87"/>
    </row>
    <row r="909" spans="17:17" ht="15.75" customHeight="1">
      <c r="Q909" s="87"/>
    </row>
    <row r="910" spans="17:17" ht="15.75" customHeight="1">
      <c r="Q910" s="87"/>
    </row>
    <row r="911" spans="17:17" ht="15.75" customHeight="1">
      <c r="Q911" s="87"/>
    </row>
    <row r="912" spans="17:17" ht="15.75" customHeight="1">
      <c r="Q912" s="87"/>
    </row>
    <row r="913" spans="17:17" ht="15.75" customHeight="1">
      <c r="Q913" s="87"/>
    </row>
    <row r="914" spans="17:17" ht="15.75" customHeight="1">
      <c r="Q914" s="87"/>
    </row>
    <row r="915" spans="17:17" ht="15.75" customHeight="1">
      <c r="Q915" s="87"/>
    </row>
    <row r="916" spans="17:17" ht="15.75" customHeight="1">
      <c r="Q916" s="87"/>
    </row>
    <row r="917" spans="17:17" ht="15.75" customHeight="1">
      <c r="Q917" s="87"/>
    </row>
    <row r="918" spans="17:17" ht="15.75" customHeight="1">
      <c r="Q918" s="87"/>
    </row>
    <row r="919" spans="17:17" ht="15.75" customHeight="1">
      <c r="Q919" s="87"/>
    </row>
    <row r="920" spans="17:17" ht="15.75" customHeight="1">
      <c r="Q920" s="87"/>
    </row>
    <row r="921" spans="17:17" ht="15.75" customHeight="1">
      <c r="Q921" s="87"/>
    </row>
    <row r="922" spans="17:17" ht="15.75" customHeight="1">
      <c r="Q922" s="87"/>
    </row>
    <row r="923" spans="17:17" ht="15.75" customHeight="1">
      <c r="Q923" s="87"/>
    </row>
    <row r="924" spans="17:17" ht="15.75" customHeight="1">
      <c r="Q924" s="87"/>
    </row>
    <row r="925" spans="17:17" ht="15.75" customHeight="1">
      <c r="Q925" s="87"/>
    </row>
    <row r="926" spans="17:17" ht="15.75" customHeight="1">
      <c r="Q926" s="87"/>
    </row>
    <row r="927" spans="17:17" ht="15.75" customHeight="1">
      <c r="Q927" s="87"/>
    </row>
    <row r="928" spans="17:17" ht="15.75" customHeight="1">
      <c r="Q928" s="87"/>
    </row>
    <row r="929" spans="17:17" ht="15.75" customHeight="1">
      <c r="Q929" s="87"/>
    </row>
    <row r="930" spans="17:17" ht="15.75" customHeight="1">
      <c r="Q930" s="87"/>
    </row>
    <row r="931" spans="17:17" ht="15.75" customHeight="1">
      <c r="Q931" s="87"/>
    </row>
    <row r="932" spans="17:17" ht="15.75" customHeight="1">
      <c r="Q932" s="87"/>
    </row>
    <row r="933" spans="17:17" ht="15.75" customHeight="1">
      <c r="Q933" s="87"/>
    </row>
    <row r="934" spans="17:17" ht="15.75" customHeight="1">
      <c r="Q934" s="87"/>
    </row>
    <row r="935" spans="17:17" ht="15.75" customHeight="1">
      <c r="Q935" s="87"/>
    </row>
    <row r="936" spans="17:17" ht="15.75" customHeight="1">
      <c r="Q936" s="87"/>
    </row>
    <row r="937" spans="17:17" ht="15.75" customHeight="1">
      <c r="Q937" s="87"/>
    </row>
    <row r="938" spans="17:17" ht="15.75" customHeight="1">
      <c r="Q938" s="87"/>
    </row>
    <row r="939" spans="17:17" ht="15.75" customHeight="1">
      <c r="Q939" s="87"/>
    </row>
    <row r="940" spans="17:17" ht="15.75" customHeight="1">
      <c r="Q940" s="87"/>
    </row>
    <row r="941" spans="17:17" ht="15.75" customHeight="1">
      <c r="Q941" s="87"/>
    </row>
    <row r="942" spans="17:17" ht="15.75" customHeight="1">
      <c r="Q942" s="87"/>
    </row>
    <row r="943" spans="17:17" ht="15.75" customHeight="1">
      <c r="Q943" s="87"/>
    </row>
    <row r="944" spans="17:17" ht="15.75" customHeight="1">
      <c r="Q944" s="87"/>
    </row>
    <row r="945" spans="17:17" ht="15.75" customHeight="1">
      <c r="Q945" s="87"/>
    </row>
    <row r="946" spans="17:17" ht="15.75" customHeight="1">
      <c r="Q946" s="87"/>
    </row>
    <row r="947" spans="17:17" ht="15.75" customHeight="1">
      <c r="Q947" s="87"/>
    </row>
    <row r="948" spans="17:17" ht="15.75" customHeight="1">
      <c r="Q948" s="87"/>
    </row>
    <row r="949" spans="17:17" ht="15.75" customHeight="1">
      <c r="Q949" s="87"/>
    </row>
    <row r="950" spans="17:17" ht="15.75" customHeight="1">
      <c r="Q950" s="87"/>
    </row>
    <row r="951" spans="17:17" ht="15.75" customHeight="1">
      <c r="Q951" s="87"/>
    </row>
    <row r="952" spans="17:17" ht="15.75" customHeight="1">
      <c r="Q952" s="87"/>
    </row>
    <row r="953" spans="17:17" ht="15.75" customHeight="1">
      <c r="Q953" s="87"/>
    </row>
    <row r="954" spans="17:17" ht="15.75" customHeight="1">
      <c r="Q954" s="87"/>
    </row>
    <row r="955" spans="17:17" ht="15.75" customHeight="1">
      <c r="Q955" s="87"/>
    </row>
    <row r="956" spans="17:17" ht="15.75" customHeight="1">
      <c r="Q956" s="87"/>
    </row>
    <row r="957" spans="17:17" ht="15.75" customHeight="1">
      <c r="Q957" s="87"/>
    </row>
    <row r="958" spans="17:17" ht="15.75" customHeight="1">
      <c r="Q958" s="87"/>
    </row>
    <row r="959" spans="17:17" ht="15.75" customHeight="1">
      <c r="Q959" s="87"/>
    </row>
    <row r="960" spans="17:17" ht="15.75" customHeight="1">
      <c r="Q960" s="87"/>
    </row>
    <row r="961" spans="17:17" ht="15.75" customHeight="1">
      <c r="Q961" s="87"/>
    </row>
    <row r="962" spans="17:17" ht="15.75" customHeight="1">
      <c r="Q962" s="87"/>
    </row>
    <row r="963" spans="17:17" ht="15.75" customHeight="1">
      <c r="Q963" s="87"/>
    </row>
    <row r="964" spans="17:17" ht="15.75" customHeight="1">
      <c r="Q964" s="87"/>
    </row>
    <row r="965" spans="17:17" ht="15.75" customHeight="1">
      <c r="Q965" s="87"/>
    </row>
    <row r="966" spans="17:17" ht="15.75" customHeight="1">
      <c r="Q966" s="87"/>
    </row>
    <row r="967" spans="17:17" ht="15.75" customHeight="1">
      <c r="Q967" s="87"/>
    </row>
    <row r="968" spans="17:17" ht="15.75" customHeight="1">
      <c r="Q968" s="87"/>
    </row>
    <row r="969" spans="17:17" ht="15.75" customHeight="1">
      <c r="Q969" s="87"/>
    </row>
    <row r="970" spans="17:17" ht="15.75" customHeight="1">
      <c r="Q970" s="87"/>
    </row>
    <row r="971" spans="17:17" ht="15.75" customHeight="1">
      <c r="Q971" s="87"/>
    </row>
    <row r="972" spans="17:17" ht="15.75" customHeight="1">
      <c r="Q972" s="87"/>
    </row>
    <row r="973" spans="17:17" ht="15.75" customHeight="1">
      <c r="Q973" s="87"/>
    </row>
    <row r="974" spans="17:17" ht="15.75" customHeight="1">
      <c r="Q974" s="87"/>
    </row>
    <row r="975" spans="17:17" ht="15.75" customHeight="1">
      <c r="Q975" s="87"/>
    </row>
    <row r="976" spans="17:17" ht="15.75" customHeight="1">
      <c r="Q976" s="87"/>
    </row>
    <row r="977" spans="17:17" ht="15.75" customHeight="1">
      <c r="Q977" s="87"/>
    </row>
    <row r="978" spans="17:17" ht="15.75" customHeight="1">
      <c r="Q978" s="87"/>
    </row>
    <row r="979" spans="17:17" ht="15.75" customHeight="1">
      <c r="Q979" s="87"/>
    </row>
    <row r="980" spans="17:17" ht="15.75" customHeight="1">
      <c r="Q980" s="87"/>
    </row>
    <row r="981" spans="17:17" ht="15.75" customHeight="1">
      <c r="Q981" s="87"/>
    </row>
    <row r="982" spans="17:17" ht="15.75" customHeight="1">
      <c r="Q982" s="87"/>
    </row>
    <row r="983" spans="17:17" ht="15.75" customHeight="1">
      <c r="Q983" s="87"/>
    </row>
    <row r="984" spans="17:17" ht="15.75" customHeight="1">
      <c r="Q984" s="87"/>
    </row>
    <row r="985" spans="17:17" ht="15.75" customHeight="1">
      <c r="Q985" s="87"/>
    </row>
    <row r="986" spans="17:17" ht="15.75" customHeight="1">
      <c r="Q986" s="87"/>
    </row>
    <row r="987" spans="17:17" ht="15.75" customHeight="1">
      <c r="Q987" s="87"/>
    </row>
    <row r="988" spans="17:17" ht="15.75" customHeight="1">
      <c r="Q988" s="87"/>
    </row>
    <row r="989" spans="17:17" ht="15.75" customHeight="1">
      <c r="Q989" s="87"/>
    </row>
    <row r="990" spans="17:17" ht="15.75" customHeight="1">
      <c r="Q990" s="87"/>
    </row>
    <row r="991" spans="17:17" ht="15.75" customHeight="1">
      <c r="Q991" s="87"/>
    </row>
    <row r="992" spans="17:17" ht="15.75" customHeight="1">
      <c r="Q992" s="87"/>
    </row>
    <row r="993" spans="17:17" ht="15.75" customHeight="1">
      <c r="Q993" s="87"/>
    </row>
    <row r="994" spans="17:17" ht="15.75" customHeight="1">
      <c r="Q994" s="87"/>
    </row>
    <row r="995" spans="17:17" ht="15.75" customHeight="1">
      <c r="Q995" s="87"/>
    </row>
    <row r="996" spans="17:17" ht="15.75" customHeight="1">
      <c r="Q996" s="87"/>
    </row>
    <row r="997" spans="17:17" ht="15.75" customHeight="1">
      <c r="Q997" s="87"/>
    </row>
    <row r="998" spans="17:17" ht="15.75" customHeight="1">
      <c r="Q998" s="87"/>
    </row>
    <row r="999" spans="17:17" ht="15.75" customHeight="1">
      <c r="Q999" s="87"/>
    </row>
    <row r="1000" spans="17:17" ht="15.75" customHeight="1">
      <c r="Q1000" s="87"/>
    </row>
  </sheetData>
  <hyperlinks>
    <hyperlink ref="S24" r:id="rId1" xr:uid="{00000000-0004-0000-0600-000000000000}"/>
  </hyperlinks>
  <pageMargins left="0.7" right="0.7" top="0.75" bottom="0.75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Z1000"/>
  <sheetViews>
    <sheetView workbookViewId="0"/>
  </sheetViews>
  <sheetFormatPr defaultColWidth="14.44140625" defaultRowHeight="15" customHeight="1"/>
  <cols>
    <col min="1" max="1" width="9.44140625" customWidth="1"/>
    <col min="2" max="2" width="13.33203125" customWidth="1"/>
    <col min="3" max="3" width="14" customWidth="1"/>
    <col min="4" max="4" width="6.6640625" customWidth="1"/>
    <col min="5" max="5" width="6.5546875" customWidth="1"/>
    <col min="6" max="7" width="6" customWidth="1"/>
    <col min="8" max="8" width="5.88671875" customWidth="1"/>
    <col min="9" max="10" width="5.33203125" customWidth="1"/>
    <col min="11" max="11" width="5" customWidth="1"/>
    <col min="12" max="12" width="12.88671875" customWidth="1"/>
    <col min="13" max="13" width="13.33203125" customWidth="1"/>
    <col min="14" max="14" width="15.6640625" customWidth="1"/>
    <col min="15" max="15" width="19" customWidth="1"/>
    <col min="16" max="16" width="36.33203125" customWidth="1"/>
    <col min="17" max="17" width="29.6640625" customWidth="1"/>
    <col min="18" max="18" width="15.33203125" customWidth="1"/>
    <col min="19" max="19" width="21.5546875" customWidth="1"/>
    <col min="20" max="20" width="30.6640625" customWidth="1"/>
    <col min="21" max="21" width="16.109375" customWidth="1"/>
    <col min="22" max="23" width="8.6640625" customWidth="1"/>
    <col min="24" max="24" width="17" customWidth="1"/>
    <col min="25" max="25" width="47.5546875" customWidth="1"/>
    <col min="26" max="26" width="8.6640625" customWidth="1"/>
  </cols>
  <sheetData>
    <row r="1" spans="1:25" ht="14.4">
      <c r="A1" s="1" t="s">
        <v>0</v>
      </c>
      <c r="B1" s="2" t="s">
        <v>1</v>
      </c>
      <c r="C1" s="2" t="s">
        <v>2</v>
      </c>
      <c r="D1" s="1">
        <v>2010</v>
      </c>
      <c r="E1" s="1">
        <v>2011</v>
      </c>
      <c r="F1" s="1">
        <v>2012</v>
      </c>
      <c r="G1" s="1">
        <v>2013</v>
      </c>
      <c r="H1" s="1">
        <v>2014</v>
      </c>
      <c r="I1" s="1">
        <v>2015</v>
      </c>
      <c r="J1" s="1">
        <v>2016</v>
      </c>
      <c r="K1" s="1">
        <v>2017</v>
      </c>
      <c r="L1" s="116" t="s">
        <v>3</v>
      </c>
      <c r="M1" s="116" t="s">
        <v>199</v>
      </c>
      <c r="N1" s="116" t="s">
        <v>573</v>
      </c>
      <c r="O1" s="85" t="s">
        <v>5</v>
      </c>
      <c r="P1" s="1" t="s">
        <v>6</v>
      </c>
      <c r="Q1" s="1" t="s">
        <v>574</v>
      </c>
      <c r="R1" s="1" t="s">
        <v>7</v>
      </c>
      <c r="S1" s="1" t="s">
        <v>8</v>
      </c>
      <c r="T1" s="1" t="s">
        <v>9</v>
      </c>
      <c r="U1" s="1" t="s">
        <v>10</v>
      </c>
      <c r="V1" s="85" t="s">
        <v>11</v>
      </c>
      <c r="W1" s="117" t="s">
        <v>12</v>
      </c>
      <c r="X1" s="189" t="s">
        <v>740</v>
      </c>
      <c r="Y1" s="189" t="s">
        <v>741</v>
      </c>
    </row>
    <row r="2" spans="1:25" ht="14.4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0">
        <v>120</v>
      </c>
      <c r="G2" s="10">
        <v>50</v>
      </c>
      <c r="H2" s="10">
        <v>50</v>
      </c>
      <c r="I2" s="10">
        <v>50</v>
      </c>
      <c r="J2" s="10">
        <v>50</v>
      </c>
      <c r="K2" s="10"/>
      <c r="L2" s="11">
        <v>40316</v>
      </c>
      <c r="M2" s="11">
        <v>40229</v>
      </c>
      <c r="N2" s="11">
        <v>42627</v>
      </c>
      <c r="O2" s="9" t="s">
        <v>575</v>
      </c>
      <c r="P2" s="12" t="s">
        <v>16</v>
      </c>
      <c r="Q2" s="12" t="s">
        <v>17</v>
      </c>
      <c r="R2" s="10">
        <v>502534510</v>
      </c>
      <c r="S2" s="10" t="s">
        <v>18</v>
      </c>
      <c r="T2" s="43" t="s">
        <v>19</v>
      </c>
      <c r="U2" s="10" t="s">
        <v>20</v>
      </c>
      <c r="V2" s="45">
        <v>2</v>
      </c>
      <c r="W2" s="40" t="s">
        <v>200</v>
      </c>
    </row>
    <row r="3" spans="1:25" ht="14.4">
      <c r="A3" s="8">
        <v>2</v>
      </c>
      <c r="B3" s="23" t="s">
        <v>21</v>
      </c>
      <c r="C3" s="23" t="s">
        <v>22</v>
      </c>
      <c r="D3" s="136">
        <v>120</v>
      </c>
      <c r="E3" s="136">
        <v>120</v>
      </c>
      <c r="F3" s="136">
        <v>120</v>
      </c>
      <c r="G3" s="136">
        <v>50</v>
      </c>
      <c r="H3" s="136">
        <v>50</v>
      </c>
      <c r="I3" s="136">
        <v>50</v>
      </c>
      <c r="J3" s="136">
        <v>50</v>
      </c>
      <c r="K3" s="136">
        <v>50</v>
      </c>
      <c r="L3" s="137">
        <v>40316</v>
      </c>
      <c r="M3" s="137">
        <v>40229</v>
      </c>
      <c r="N3" s="137">
        <v>43194</v>
      </c>
      <c r="O3" s="9" t="s">
        <v>590</v>
      </c>
      <c r="P3" s="27" t="s">
        <v>24</v>
      </c>
      <c r="Q3" s="27" t="s">
        <v>25</v>
      </c>
      <c r="R3" s="25">
        <v>605230859</v>
      </c>
      <c r="S3" s="25" t="s">
        <v>26</v>
      </c>
      <c r="T3" s="138" t="s">
        <v>27</v>
      </c>
      <c r="U3" s="136" t="s">
        <v>28</v>
      </c>
      <c r="V3" s="139">
        <v>3</v>
      </c>
      <c r="W3" s="40" t="s">
        <v>412</v>
      </c>
    </row>
    <row r="4" spans="1:25" ht="14.4">
      <c r="A4" s="8">
        <v>3</v>
      </c>
      <c r="B4" s="9" t="s">
        <v>576</v>
      </c>
      <c r="C4" s="9" t="s">
        <v>29</v>
      </c>
      <c r="D4" s="10">
        <v>120</v>
      </c>
      <c r="E4" s="10">
        <v>120</v>
      </c>
      <c r="F4" s="10">
        <v>120</v>
      </c>
      <c r="G4" s="10">
        <v>100</v>
      </c>
      <c r="H4" s="10">
        <v>50</v>
      </c>
      <c r="I4" s="10">
        <v>100</v>
      </c>
      <c r="J4" s="10">
        <v>50</v>
      </c>
      <c r="K4" s="10"/>
      <c r="L4" s="11">
        <v>40316</v>
      </c>
      <c r="M4" s="11">
        <v>40229</v>
      </c>
      <c r="N4" s="11">
        <v>42488</v>
      </c>
      <c r="O4" s="9" t="s">
        <v>575</v>
      </c>
      <c r="P4" s="12" t="s">
        <v>30</v>
      </c>
      <c r="Q4" s="12" t="s">
        <v>31</v>
      </c>
      <c r="R4" s="10">
        <v>791300469</v>
      </c>
      <c r="S4" s="10" t="s">
        <v>32</v>
      </c>
      <c r="T4" s="43" t="s">
        <v>33</v>
      </c>
      <c r="U4" s="10" t="s">
        <v>34</v>
      </c>
      <c r="V4" s="45">
        <v>25</v>
      </c>
      <c r="W4" s="40" t="s">
        <v>200</v>
      </c>
    </row>
    <row r="5" spans="1:25" ht="14.4">
      <c r="A5" s="8">
        <v>4</v>
      </c>
      <c r="B5" s="9" t="s">
        <v>35</v>
      </c>
      <c r="C5" s="9" t="s">
        <v>36</v>
      </c>
      <c r="D5" s="10">
        <v>120</v>
      </c>
      <c r="E5" s="10">
        <v>120</v>
      </c>
      <c r="F5" s="10">
        <v>120</v>
      </c>
      <c r="G5" s="10">
        <v>50</v>
      </c>
      <c r="H5" s="10">
        <v>100</v>
      </c>
      <c r="I5" s="10">
        <v>50</v>
      </c>
      <c r="J5" s="10">
        <v>50</v>
      </c>
      <c r="K5" s="10"/>
      <c r="L5" s="11">
        <v>40316</v>
      </c>
      <c r="M5" s="11">
        <v>40229</v>
      </c>
      <c r="N5" s="11">
        <v>43209</v>
      </c>
      <c r="O5" s="9" t="s">
        <v>347</v>
      </c>
      <c r="P5" s="12" t="s">
        <v>37</v>
      </c>
      <c r="Q5" s="12" t="s">
        <v>38</v>
      </c>
      <c r="R5" s="10">
        <v>608666164</v>
      </c>
      <c r="S5" s="10" t="s">
        <v>39</v>
      </c>
      <c r="T5" s="141" t="s">
        <v>577</v>
      </c>
      <c r="U5" s="10" t="s">
        <v>41</v>
      </c>
      <c r="V5" s="45">
        <v>4</v>
      </c>
      <c r="W5" s="40" t="s">
        <v>200</v>
      </c>
    </row>
    <row r="6" spans="1:25" ht="14.4">
      <c r="A6" s="8">
        <v>5</v>
      </c>
      <c r="B6" s="9" t="s">
        <v>42</v>
      </c>
      <c r="C6" s="9" t="s">
        <v>36</v>
      </c>
      <c r="D6" s="10">
        <v>120</v>
      </c>
      <c r="E6" s="10">
        <v>120</v>
      </c>
      <c r="F6" s="10">
        <v>120</v>
      </c>
      <c r="G6" s="10">
        <v>50</v>
      </c>
      <c r="H6" s="10">
        <v>50</v>
      </c>
      <c r="I6" s="10">
        <v>100</v>
      </c>
      <c r="J6" s="10">
        <v>50</v>
      </c>
      <c r="K6" s="10">
        <v>50</v>
      </c>
      <c r="L6" s="11">
        <v>40316</v>
      </c>
      <c r="M6" s="11">
        <v>40229</v>
      </c>
      <c r="N6" s="11">
        <v>43209</v>
      </c>
      <c r="O6" s="9" t="s">
        <v>136</v>
      </c>
      <c r="P6" s="12" t="s">
        <v>44</v>
      </c>
      <c r="Q6" s="12" t="s">
        <v>45</v>
      </c>
      <c r="R6" s="8">
        <v>608666170</v>
      </c>
      <c r="S6" s="71" t="s">
        <v>46</v>
      </c>
      <c r="T6" s="20" t="s">
        <v>742</v>
      </c>
      <c r="U6" s="56" t="s">
        <v>32</v>
      </c>
      <c r="V6" s="45">
        <v>6</v>
      </c>
      <c r="W6" s="40" t="s">
        <v>412</v>
      </c>
    </row>
    <row r="7" spans="1:25" ht="14.4">
      <c r="A7" s="8">
        <v>6</v>
      </c>
      <c r="B7" s="9" t="s">
        <v>141</v>
      </c>
      <c r="C7" s="9" t="s">
        <v>169</v>
      </c>
      <c r="D7" s="10">
        <v>30</v>
      </c>
      <c r="E7" s="10">
        <v>120</v>
      </c>
      <c r="F7" s="10">
        <v>120</v>
      </c>
      <c r="G7" s="10">
        <v>50</v>
      </c>
      <c r="H7" s="10">
        <v>50</v>
      </c>
      <c r="I7" s="10">
        <v>50</v>
      </c>
      <c r="J7" s="10">
        <v>50</v>
      </c>
      <c r="K7" s="10">
        <v>50</v>
      </c>
      <c r="L7" s="11">
        <v>40459</v>
      </c>
      <c r="M7" s="11">
        <v>40460</v>
      </c>
      <c r="N7" s="11">
        <v>42835</v>
      </c>
      <c r="O7" s="9" t="s">
        <v>57</v>
      </c>
      <c r="P7" s="12" t="s">
        <v>171</v>
      </c>
      <c r="Q7" s="12" t="s">
        <v>172</v>
      </c>
      <c r="R7" s="10">
        <v>793406015</v>
      </c>
      <c r="S7" s="58" t="s">
        <v>173</v>
      </c>
      <c r="T7" s="20" t="s">
        <v>579</v>
      </c>
      <c r="U7" s="56" t="s">
        <v>32</v>
      </c>
      <c r="V7" s="45">
        <v>5</v>
      </c>
      <c r="W7" s="16"/>
    </row>
    <row r="8" spans="1:25" ht="14.4">
      <c r="A8" s="8">
        <v>7</v>
      </c>
      <c r="B8" s="9" t="s">
        <v>48</v>
      </c>
      <c r="C8" s="9" t="s">
        <v>49</v>
      </c>
      <c r="D8" s="10">
        <v>120</v>
      </c>
      <c r="E8" s="10">
        <v>120</v>
      </c>
      <c r="F8" s="10">
        <v>120</v>
      </c>
      <c r="G8" s="10">
        <v>50</v>
      </c>
      <c r="H8" s="10">
        <v>50</v>
      </c>
      <c r="I8" s="10">
        <v>50</v>
      </c>
      <c r="J8" s="10">
        <v>50</v>
      </c>
      <c r="K8" s="10">
        <v>50</v>
      </c>
      <c r="L8" s="11">
        <v>40316</v>
      </c>
      <c r="M8" s="11">
        <v>40229</v>
      </c>
      <c r="N8" s="11">
        <v>42958</v>
      </c>
      <c r="O8" s="9" t="s">
        <v>43</v>
      </c>
      <c r="P8" s="12" t="s">
        <v>51</v>
      </c>
      <c r="Q8" s="12" t="s">
        <v>52</v>
      </c>
      <c r="R8" s="10">
        <v>601997864</v>
      </c>
      <c r="S8" s="58" t="s">
        <v>32</v>
      </c>
      <c r="T8" s="20" t="s">
        <v>580</v>
      </c>
      <c r="U8" s="56" t="s">
        <v>54</v>
      </c>
      <c r="V8" s="45">
        <v>33</v>
      </c>
      <c r="W8" s="16"/>
    </row>
    <row r="9" spans="1:25" ht="14.4">
      <c r="A9" s="8">
        <v>8</v>
      </c>
      <c r="B9" s="9" t="s">
        <v>55</v>
      </c>
      <c r="C9" s="9" t="s">
        <v>56</v>
      </c>
      <c r="D9" s="10">
        <v>60</v>
      </c>
      <c r="E9" s="10">
        <v>60</v>
      </c>
      <c r="F9" s="10">
        <v>60</v>
      </c>
      <c r="G9" s="10">
        <v>50</v>
      </c>
      <c r="H9" s="10">
        <v>50</v>
      </c>
      <c r="I9" s="10">
        <v>50</v>
      </c>
      <c r="J9" s="10">
        <v>50</v>
      </c>
      <c r="K9" s="10">
        <v>50</v>
      </c>
      <c r="L9" s="11">
        <v>40316</v>
      </c>
      <c r="M9" s="11">
        <v>40229</v>
      </c>
      <c r="N9" s="19">
        <v>42986</v>
      </c>
      <c r="O9" s="9" t="s">
        <v>43</v>
      </c>
      <c r="P9" s="48" t="s">
        <v>581</v>
      </c>
      <c r="Q9" s="12" t="s">
        <v>59</v>
      </c>
      <c r="R9" s="10">
        <v>508373904</v>
      </c>
      <c r="S9" s="58" t="s">
        <v>60</v>
      </c>
      <c r="T9" s="104" t="s">
        <v>61</v>
      </c>
      <c r="U9" s="56" t="s">
        <v>62</v>
      </c>
      <c r="V9" s="45">
        <v>19</v>
      </c>
      <c r="W9" s="16"/>
    </row>
    <row r="10" spans="1:25" ht="14.4">
      <c r="A10" s="8">
        <v>9</v>
      </c>
      <c r="B10" s="9" t="s">
        <v>55</v>
      </c>
      <c r="C10" s="9" t="s">
        <v>63</v>
      </c>
      <c r="D10" s="10">
        <v>120</v>
      </c>
      <c r="E10" s="10">
        <v>120</v>
      </c>
      <c r="F10" s="10">
        <v>120</v>
      </c>
      <c r="G10" s="10">
        <v>50</v>
      </c>
      <c r="H10" s="10">
        <v>100</v>
      </c>
      <c r="I10" s="10">
        <v>100</v>
      </c>
      <c r="J10" s="10">
        <v>100</v>
      </c>
      <c r="K10" s="10">
        <v>100</v>
      </c>
      <c r="L10" s="11">
        <v>40316</v>
      </c>
      <c r="M10" s="11">
        <v>40229</v>
      </c>
      <c r="N10" s="19">
        <v>43276</v>
      </c>
      <c r="O10" s="28" t="s">
        <v>15</v>
      </c>
      <c r="P10" s="18" t="s">
        <v>582</v>
      </c>
      <c r="Q10" s="108" t="s">
        <v>583</v>
      </c>
      <c r="R10" s="8">
        <v>600118375</v>
      </c>
      <c r="S10" s="8" t="s">
        <v>67</v>
      </c>
      <c r="T10" s="138" t="s">
        <v>68</v>
      </c>
      <c r="U10" s="10" t="s">
        <v>32</v>
      </c>
      <c r="V10" s="45">
        <v>8</v>
      </c>
      <c r="W10" s="40" t="s">
        <v>412</v>
      </c>
    </row>
    <row r="11" spans="1:25" ht="14.4">
      <c r="A11" s="8">
        <v>10</v>
      </c>
      <c r="B11" s="9" t="s">
        <v>42</v>
      </c>
      <c r="C11" s="9" t="s">
        <v>69</v>
      </c>
      <c r="D11" s="10">
        <v>120</v>
      </c>
      <c r="E11" s="10">
        <v>150</v>
      </c>
      <c r="F11" s="10">
        <v>120</v>
      </c>
      <c r="G11" s="10">
        <v>50</v>
      </c>
      <c r="H11" s="10">
        <v>50</v>
      </c>
      <c r="I11" s="10">
        <v>50</v>
      </c>
      <c r="J11" s="10">
        <v>50</v>
      </c>
      <c r="K11" s="10">
        <v>50</v>
      </c>
      <c r="L11" s="11">
        <v>40316</v>
      </c>
      <c r="M11" s="11">
        <v>40229</v>
      </c>
      <c r="N11" s="11">
        <v>42738</v>
      </c>
      <c r="O11" s="9" t="s">
        <v>110</v>
      </c>
      <c r="P11" s="25" t="s">
        <v>71</v>
      </c>
      <c r="Q11" s="12" t="s">
        <v>72</v>
      </c>
      <c r="R11" s="10">
        <v>603628256</v>
      </c>
      <c r="S11" s="10" t="s">
        <v>73</v>
      </c>
      <c r="T11" s="45" t="s">
        <v>74</v>
      </c>
      <c r="U11" s="10" t="s">
        <v>75</v>
      </c>
      <c r="V11" s="45">
        <v>7</v>
      </c>
      <c r="W11" s="40" t="s">
        <v>200</v>
      </c>
    </row>
    <row r="12" spans="1:25" ht="14.4">
      <c r="A12" s="8">
        <v>11</v>
      </c>
      <c r="B12" s="9" t="s">
        <v>88</v>
      </c>
      <c r="C12" s="9" t="s">
        <v>89</v>
      </c>
      <c r="D12" s="10">
        <v>120</v>
      </c>
      <c r="E12" s="10">
        <v>120</v>
      </c>
      <c r="F12" s="10">
        <v>120</v>
      </c>
      <c r="G12" s="10">
        <v>50</v>
      </c>
      <c r="H12" s="10">
        <v>200</v>
      </c>
      <c r="I12" s="10">
        <v>100</v>
      </c>
      <c r="J12" s="10">
        <v>100</v>
      </c>
      <c r="K12" s="10">
        <v>200</v>
      </c>
      <c r="L12" s="11">
        <v>40316</v>
      </c>
      <c r="M12" s="11">
        <v>40229</v>
      </c>
      <c r="N12" s="67">
        <v>43216</v>
      </c>
      <c r="O12" s="28" t="s">
        <v>43</v>
      </c>
      <c r="P12" s="10" t="s">
        <v>90</v>
      </c>
      <c r="Q12" s="57" t="s">
        <v>91</v>
      </c>
      <c r="R12" s="10" t="s">
        <v>584</v>
      </c>
      <c r="S12" s="10" t="s">
        <v>92</v>
      </c>
      <c r="T12" s="141" t="s">
        <v>585</v>
      </c>
      <c r="U12" s="10">
        <v>48223783633</v>
      </c>
      <c r="V12" s="45">
        <v>10</v>
      </c>
      <c r="W12" s="16"/>
    </row>
    <row r="13" spans="1:25" ht="14.4">
      <c r="A13" s="8">
        <v>12</v>
      </c>
      <c r="B13" s="9" t="s">
        <v>94</v>
      </c>
      <c r="C13" s="9" t="s">
        <v>95</v>
      </c>
      <c r="D13" s="10">
        <v>60</v>
      </c>
      <c r="E13" s="10">
        <v>60</v>
      </c>
      <c r="F13" s="10">
        <v>120</v>
      </c>
      <c r="G13" s="10">
        <v>50</v>
      </c>
      <c r="H13" s="10">
        <v>50</v>
      </c>
      <c r="I13" s="10">
        <v>50</v>
      </c>
      <c r="J13" s="10">
        <v>50</v>
      </c>
      <c r="K13" s="10">
        <v>50</v>
      </c>
      <c r="L13" s="11">
        <v>40316</v>
      </c>
      <c r="M13" s="11">
        <v>40229</v>
      </c>
      <c r="N13" s="11">
        <v>43217</v>
      </c>
      <c r="O13" s="9" t="s">
        <v>578</v>
      </c>
      <c r="P13" s="27" t="s">
        <v>96</v>
      </c>
      <c r="Q13" s="12" t="s">
        <v>97</v>
      </c>
      <c r="R13" s="10">
        <v>514474608</v>
      </c>
      <c r="S13" s="10" t="s">
        <v>98</v>
      </c>
      <c r="T13" s="45" t="s">
        <v>99</v>
      </c>
      <c r="U13" s="10" t="s">
        <v>100</v>
      </c>
      <c r="V13" s="45">
        <v>9</v>
      </c>
      <c r="W13" s="40" t="s">
        <v>686</v>
      </c>
    </row>
    <row r="14" spans="1:25" ht="14.4">
      <c r="A14" s="8">
        <v>13</v>
      </c>
      <c r="B14" s="9" t="s">
        <v>101</v>
      </c>
      <c r="C14" s="9" t="s">
        <v>102</v>
      </c>
      <c r="D14" s="10">
        <v>120</v>
      </c>
      <c r="E14" s="10">
        <v>120</v>
      </c>
      <c r="F14" s="10">
        <v>120</v>
      </c>
      <c r="G14" s="10">
        <v>120</v>
      </c>
      <c r="H14" s="10">
        <v>100</v>
      </c>
      <c r="I14" s="10">
        <v>100</v>
      </c>
      <c r="J14" s="10">
        <v>100</v>
      </c>
      <c r="K14" s="10">
        <v>100</v>
      </c>
      <c r="L14" s="11">
        <v>40316</v>
      </c>
      <c r="M14" s="11">
        <v>40229</v>
      </c>
      <c r="N14" s="11">
        <v>43070</v>
      </c>
      <c r="O14" s="9" t="s">
        <v>50</v>
      </c>
      <c r="P14" s="12" t="s">
        <v>103</v>
      </c>
      <c r="Q14" s="12" t="s">
        <v>104</v>
      </c>
      <c r="R14" s="10">
        <v>501228703</v>
      </c>
      <c r="S14" s="10" t="s">
        <v>105</v>
      </c>
      <c r="T14" s="43" t="s">
        <v>106</v>
      </c>
      <c r="U14" s="10" t="s">
        <v>107</v>
      </c>
      <c r="V14" s="45">
        <v>21</v>
      </c>
      <c r="W14" s="40" t="s">
        <v>200</v>
      </c>
    </row>
    <row r="15" spans="1:25" ht="14.4">
      <c r="A15" s="8">
        <v>14</v>
      </c>
      <c r="B15" s="9" t="s">
        <v>188</v>
      </c>
      <c r="C15" s="9" t="s">
        <v>223</v>
      </c>
      <c r="D15" s="149"/>
      <c r="E15" s="10">
        <v>120</v>
      </c>
      <c r="F15" s="10">
        <v>120</v>
      </c>
      <c r="G15" s="10">
        <v>50</v>
      </c>
      <c r="H15" s="10"/>
      <c r="I15" s="10">
        <v>50</v>
      </c>
      <c r="J15" s="58">
        <v>50</v>
      </c>
      <c r="K15" s="10"/>
      <c r="L15" s="190">
        <v>40530</v>
      </c>
      <c r="M15" s="11">
        <v>40676</v>
      </c>
      <c r="N15" s="11">
        <v>43147</v>
      </c>
      <c r="O15" s="9" t="s">
        <v>170</v>
      </c>
      <c r="P15" s="8" t="s">
        <v>224</v>
      </c>
      <c r="Q15" s="12" t="s">
        <v>225</v>
      </c>
      <c r="R15" s="10">
        <v>793258511</v>
      </c>
      <c r="S15" s="10" t="s">
        <v>226</v>
      </c>
      <c r="T15" s="45" t="s">
        <v>227</v>
      </c>
      <c r="U15" s="10">
        <v>413003499</v>
      </c>
      <c r="V15" s="45">
        <v>22</v>
      </c>
      <c r="W15" s="40" t="s">
        <v>200</v>
      </c>
    </row>
    <row r="16" spans="1:25" ht="14.4">
      <c r="A16" s="8">
        <v>15</v>
      </c>
      <c r="B16" s="9" t="s">
        <v>194</v>
      </c>
      <c r="C16" s="9" t="s">
        <v>234</v>
      </c>
      <c r="D16" s="149"/>
      <c r="E16" s="10">
        <v>30</v>
      </c>
      <c r="F16" s="10">
        <v>60</v>
      </c>
      <c r="G16" s="10">
        <v>50</v>
      </c>
      <c r="H16" s="10">
        <v>50</v>
      </c>
      <c r="I16" s="10"/>
      <c r="J16" s="10">
        <v>50</v>
      </c>
      <c r="K16" s="10"/>
      <c r="L16" s="11">
        <v>40698</v>
      </c>
      <c r="M16" s="11">
        <v>40707</v>
      </c>
      <c r="N16" s="11">
        <v>43395</v>
      </c>
      <c r="O16" s="9" t="s">
        <v>575</v>
      </c>
      <c r="P16" s="8" t="s">
        <v>235</v>
      </c>
      <c r="Q16" s="12" t="s">
        <v>236</v>
      </c>
      <c r="R16" s="191">
        <v>519386163</v>
      </c>
      <c r="S16" s="10"/>
      <c r="T16" s="45" t="s">
        <v>238</v>
      </c>
      <c r="U16" s="10"/>
      <c r="V16" s="45">
        <v>45</v>
      </c>
      <c r="W16" s="40" t="s">
        <v>200</v>
      </c>
    </row>
    <row r="17" spans="1:24" ht="14.4">
      <c r="A17" s="8">
        <v>16</v>
      </c>
      <c r="B17" s="9" t="s">
        <v>217</v>
      </c>
      <c r="C17" s="9" t="s">
        <v>116</v>
      </c>
      <c r="D17" s="149"/>
      <c r="E17" s="10">
        <v>20</v>
      </c>
      <c r="F17" s="10">
        <v>100</v>
      </c>
      <c r="G17" s="10">
        <v>150</v>
      </c>
      <c r="H17" s="10">
        <v>50</v>
      </c>
      <c r="I17" s="10">
        <v>50</v>
      </c>
      <c r="J17" s="10">
        <v>150</v>
      </c>
      <c r="K17" s="10"/>
      <c r="L17" s="11">
        <v>40847</v>
      </c>
      <c r="M17" s="11" t="s">
        <v>331</v>
      </c>
      <c r="N17" s="11">
        <v>42500</v>
      </c>
      <c r="O17" s="9" t="s">
        <v>170</v>
      </c>
      <c r="P17" s="8" t="s">
        <v>332</v>
      </c>
      <c r="Q17" s="12" t="s">
        <v>333</v>
      </c>
      <c r="R17" s="10">
        <v>504377500</v>
      </c>
      <c r="S17" s="10"/>
      <c r="T17" s="45" t="s">
        <v>334</v>
      </c>
      <c r="U17" s="10"/>
      <c r="V17" s="45">
        <v>61</v>
      </c>
      <c r="W17" s="16"/>
    </row>
    <row r="18" spans="1:24" ht="14.4">
      <c r="A18" s="8">
        <v>17</v>
      </c>
      <c r="B18" s="9" t="s">
        <v>340</v>
      </c>
      <c r="C18" s="9" t="s">
        <v>341</v>
      </c>
      <c r="D18" s="149"/>
      <c r="E18" s="149"/>
      <c r="F18" s="10">
        <v>120</v>
      </c>
      <c r="G18" s="10">
        <v>50</v>
      </c>
      <c r="H18" s="10">
        <v>50</v>
      </c>
      <c r="I18" s="10">
        <v>50</v>
      </c>
      <c r="J18" s="10">
        <v>50</v>
      </c>
      <c r="K18" s="10">
        <v>50</v>
      </c>
      <c r="L18" s="11">
        <v>40949</v>
      </c>
      <c r="M18" s="11">
        <v>40953</v>
      </c>
      <c r="N18" s="19">
        <v>42786</v>
      </c>
      <c r="O18" s="28" t="s">
        <v>170</v>
      </c>
      <c r="P18" s="10" t="s">
        <v>342</v>
      </c>
      <c r="Q18" s="10" t="s">
        <v>343</v>
      </c>
      <c r="R18" s="10">
        <v>660749160</v>
      </c>
      <c r="S18" s="55"/>
      <c r="T18" s="54" t="s">
        <v>344</v>
      </c>
      <c r="U18" s="56"/>
      <c r="V18" s="45">
        <v>67</v>
      </c>
      <c r="W18" s="16"/>
    </row>
    <row r="19" spans="1:24" ht="14.4">
      <c r="A19" s="8">
        <v>18</v>
      </c>
      <c r="B19" s="104" t="s">
        <v>401</v>
      </c>
      <c r="C19" s="95" t="s">
        <v>402</v>
      </c>
      <c r="D19" s="149"/>
      <c r="E19" s="149"/>
      <c r="F19" s="18">
        <v>25</v>
      </c>
      <c r="G19" s="18">
        <v>50</v>
      </c>
      <c r="H19" s="18">
        <v>50</v>
      </c>
      <c r="I19" s="10">
        <v>50</v>
      </c>
      <c r="J19" s="63">
        <v>50</v>
      </c>
      <c r="K19" s="10">
        <v>50</v>
      </c>
      <c r="L19" s="176">
        <v>41137</v>
      </c>
      <c r="M19" s="99">
        <v>41137</v>
      </c>
      <c r="N19" s="99">
        <v>43136</v>
      </c>
      <c r="O19" s="9" t="s">
        <v>687</v>
      </c>
      <c r="P19" s="91" t="s">
        <v>403</v>
      </c>
      <c r="Q19" s="91" t="s">
        <v>404</v>
      </c>
      <c r="R19" s="18">
        <v>784918776</v>
      </c>
      <c r="S19" s="101" t="s">
        <v>405</v>
      </c>
      <c r="T19" s="104" t="s">
        <v>406</v>
      </c>
      <c r="U19" s="152"/>
      <c r="V19" s="104">
        <v>73</v>
      </c>
      <c r="W19" s="40" t="s">
        <v>200</v>
      </c>
    </row>
    <row r="20" spans="1:24" ht="14.4">
      <c r="A20" s="8">
        <v>19</v>
      </c>
      <c r="B20" s="104" t="s">
        <v>438</v>
      </c>
      <c r="C20" s="104" t="s">
        <v>95</v>
      </c>
      <c r="D20" s="154"/>
      <c r="E20" s="154"/>
      <c r="F20" s="154"/>
      <c r="G20" s="18">
        <v>50</v>
      </c>
      <c r="H20" s="18">
        <v>50</v>
      </c>
      <c r="I20" s="101">
        <v>50</v>
      </c>
      <c r="J20" s="18">
        <v>50</v>
      </c>
      <c r="K20" s="152">
        <v>50</v>
      </c>
      <c r="L20" s="177">
        <v>41352</v>
      </c>
      <c r="M20" s="99">
        <v>41358</v>
      </c>
      <c r="N20" s="11">
        <v>43217</v>
      </c>
      <c r="O20" s="9" t="s">
        <v>170</v>
      </c>
      <c r="P20" s="18" t="s">
        <v>439</v>
      </c>
      <c r="Q20" s="18" t="s">
        <v>97</v>
      </c>
      <c r="R20" s="18">
        <v>510639087</v>
      </c>
      <c r="S20" s="105"/>
      <c r="T20" s="104" t="s">
        <v>440</v>
      </c>
      <c r="U20" s="102"/>
      <c r="V20" s="156">
        <v>82</v>
      </c>
      <c r="W20" s="103"/>
    </row>
    <row r="21" spans="1:24" ht="15.75" customHeight="1">
      <c r="A21" s="8">
        <v>20</v>
      </c>
      <c r="B21" s="104" t="s">
        <v>441</v>
      </c>
      <c r="C21" s="104" t="s">
        <v>442</v>
      </c>
      <c r="D21" s="154"/>
      <c r="E21" s="154"/>
      <c r="F21" s="154"/>
      <c r="G21" s="18">
        <v>50</v>
      </c>
      <c r="H21" s="18">
        <v>50</v>
      </c>
      <c r="I21" s="101">
        <v>50</v>
      </c>
      <c r="J21" s="18">
        <v>100</v>
      </c>
      <c r="K21" s="152">
        <v>100</v>
      </c>
      <c r="L21" s="177">
        <v>41354</v>
      </c>
      <c r="M21" s="99">
        <v>41354</v>
      </c>
      <c r="N21" s="99">
        <v>43452</v>
      </c>
      <c r="O21" s="9" t="s">
        <v>170</v>
      </c>
      <c r="P21" s="18" t="s">
        <v>443</v>
      </c>
      <c r="Q21" s="18" t="s">
        <v>444</v>
      </c>
      <c r="R21" s="18">
        <v>607777011</v>
      </c>
      <c r="S21" s="105"/>
      <c r="T21" s="104" t="s">
        <v>445</v>
      </c>
      <c r="U21" s="102"/>
      <c r="V21" s="156">
        <v>83</v>
      </c>
      <c r="W21" s="40" t="s">
        <v>412</v>
      </c>
    </row>
    <row r="22" spans="1:24" ht="15.75" customHeight="1">
      <c r="A22" s="8">
        <v>21</v>
      </c>
      <c r="B22" s="104" t="s">
        <v>134</v>
      </c>
      <c r="C22" s="104" t="s">
        <v>461</v>
      </c>
      <c r="D22" s="159"/>
      <c r="E22" s="159"/>
      <c r="F22" s="159"/>
      <c r="G22" s="18">
        <v>50</v>
      </c>
      <c r="H22" s="18">
        <v>50</v>
      </c>
      <c r="I22" s="101">
        <v>50</v>
      </c>
      <c r="J22" s="18">
        <v>50</v>
      </c>
      <c r="K22" s="152">
        <v>50</v>
      </c>
      <c r="L22" s="176">
        <v>41407</v>
      </c>
      <c r="M22" s="99">
        <v>41404</v>
      </c>
      <c r="N22" s="99">
        <v>43283</v>
      </c>
      <c r="O22" s="9" t="s">
        <v>170</v>
      </c>
      <c r="P22" s="18" t="s">
        <v>462</v>
      </c>
      <c r="Q22" s="18" t="s">
        <v>463</v>
      </c>
      <c r="R22" s="104"/>
      <c r="S22" s="105"/>
      <c r="T22" s="104" t="s">
        <v>464</v>
      </c>
      <c r="U22" s="102"/>
      <c r="V22" s="156">
        <v>88</v>
      </c>
      <c r="W22" s="40" t="s">
        <v>412</v>
      </c>
    </row>
    <row r="23" spans="1:24" ht="15.75" customHeight="1">
      <c r="A23" s="8">
        <v>22</v>
      </c>
      <c r="B23" s="104" t="s">
        <v>492</v>
      </c>
      <c r="C23" s="104" t="s">
        <v>493</v>
      </c>
      <c r="D23" s="159"/>
      <c r="E23" s="159"/>
      <c r="F23" s="159"/>
      <c r="G23" s="18">
        <v>50</v>
      </c>
      <c r="H23" s="18">
        <v>50</v>
      </c>
      <c r="I23" s="58">
        <v>50</v>
      </c>
      <c r="J23" s="10">
        <v>50</v>
      </c>
      <c r="K23" s="56">
        <v>50</v>
      </c>
      <c r="L23" s="176">
        <v>41598</v>
      </c>
      <c r="M23" s="99">
        <v>41599</v>
      </c>
      <c r="N23" s="99">
        <v>43143</v>
      </c>
      <c r="O23" s="9" t="s">
        <v>170</v>
      </c>
      <c r="P23" s="112" t="s">
        <v>494</v>
      </c>
      <c r="Q23" s="112" t="s">
        <v>495</v>
      </c>
      <c r="R23" s="112">
        <v>692434393</v>
      </c>
      <c r="S23" s="105"/>
      <c r="T23" s="104" t="s">
        <v>496</v>
      </c>
      <c r="U23" s="102"/>
      <c r="V23" s="162">
        <v>95</v>
      </c>
      <c r="W23" s="103"/>
    </row>
    <row r="24" spans="1:24" ht="15.75" customHeight="1">
      <c r="A24" s="8">
        <v>23</v>
      </c>
      <c r="B24" s="104" t="s">
        <v>511</v>
      </c>
      <c r="C24" s="104" t="s">
        <v>512</v>
      </c>
      <c r="D24" s="159"/>
      <c r="E24" s="159"/>
      <c r="F24" s="159"/>
      <c r="G24" s="159"/>
      <c r="H24" s="18">
        <v>50</v>
      </c>
      <c r="I24" s="58">
        <v>50</v>
      </c>
      <c r="J24" s="10">
        <v>50</v>
      </c>
      <c r="K24" s="56"/>
      <c r="L24" s="176">
        <v>41694</v>
      </c>
      <c r="M24" s="99">
        <v>41695</v>
      </c>
      <c r="N24" s="99">
        <v>42485</v>
      </c>
      <c r="O24" s="9" t="s">
        <v>170</v>
      </c>
      <c r="P24" s="18" t="s">
        <v>513</v>
      </c>
      <c r="Q24" s="18" t="s">
        <v>404</v>
      </c>
      <c r="R24" s="18">
        <v>729167760</v>
      </c>
      <c r="S24" s="104"/>
      <c r="T24" s="104" t="s">
        <v>514</v>
      </c>
      <c r="U24" s="104"/>
      <c r="V24" s="162">
        <v>99</v>
      </c>
      <c r="W24" s="103"/>
    </row>
    <row r="25" spans="1:24" ht="15.75" customHeight="1">
      <c r="A25" s="8">
        <v>24</v>
      </c>
      <c r="B25" s="97" t="s">
        <v>188</v>
      </c>
      <c r="C25" s="97" t="s">
        <v>14</v>
      </c>
      <c r="D25" s="163"/>
      <c r="E25" s="163"/>
      <c r="F25" s="163"/>
      <c r="G25" s="91">
        <v>50</v>
      </c>
      <c r="H25" s="91">
        <v>50</v>
      </c>
      <c r="I25" s="101">
        <v>50</v>
      </c>
      <c r="J25" s="18">
        <v>50</v>
      </c>
      <c r="K25" s="21"/>
      <c r="L25" s="175">
        <v>41517</v>
      </c>
      <c r="M25" s="92">
        <v>41738</v>
      </c>
      <c r="N25" s="11">
        <v>42627</v>
      </c>
      <c r="O25" s="9" t="s">
        <v>575</v>
      </c>
      <c r="P25" s="164" t="s">
        <v>16</v>
      </c>
      <c r="Q25" s="165" t="s">
        <v>17</v>
      </c>
      <c r="R25" s="91">
        <v>514575915</v>
      </c>
      <c r="S25" s="97"/>
      <c r="T25" s="87" t="s">
        <v>600</v>
      </c>
      <c r="U25" s="97"/>
      <c r="V25" s="97">
        <v>102</v>
      </c>
      <c r="W25" s="166" t="s">
        <v>200</v>
      </c>
    </row>
    <row r="26" spans="1:24" ht="15.75" customHeight="1">
      <c r="A26" s="8">
        <v>25</v>
      </c>
      <c r="B26" s="104" t="s">
        <v>413</v>
      </c>
      <c r="C26" s="104" t="s">
        <v>48</v>
      </c>
      <c r="D26" s="159"/>
      <c r="E26" s="159"/>
      <c r="F26" s="159"/>
      <c r="G26" s="159"/>
      <c r="H26" s="18">
        <v>50</v>
      </c>
      <c r="I26" s="101">
        <v>50</v>
      </c>
      <c r="J26" s="18">
        <v>50</v>
      </c>
      <c r="K26" s="152"/>
      <c r="L26" s="176">
        <v>41829</v>
      </c>
      <c r="M26" s="99">
        <v>41830</v>
      </c>
      <c r="N26" s="99">
        <v>42464</v>
      </c>
      <c r="O26" s="9" t="s">
        <v>170</v>
      </c>
      <c r="P26" s="18" t="s">
        <v>534</v>
      </c>
      <c r="Q26" s="18" t="s">
        <v>535</v>
      </c>
      <c r="R26" s="18">
        <v>601610131</v>
      </c>
      <c r="S26" s="104"/>
      <c r="T26" s="104" t="s">
        <v>536</v>
      </c>
      <c r="U26" s="104"/>
      <c r="V26" s="104">
        <v>105</v>
      </c>
      <c r="W26" s="103"/>
    </row>
    <row r="27" spans="1:24" ht="15.75" customHeight="1">
      <c r="A27" s="8">
        <v>26</v>
      </c>
      <c r="B27" s="104" t="s">
        <v>543</v>
      </c>
      <c r="C27" s="104" t="s">
        <v>544</v>
      </c>
      <c r="D27" s="159"/>
      <c r="E27" s="159"/>
      <c r="F27" s="159"/>
      <c r="G27" s="159"/>
      <c r="H27" s="18">
        <v>50</v>
      </c>
      <c r="I27" s="58">
        <v>50</v>
      </c>
      <c r="J27" s="10"/>
      <c r="K27" s="56">
        <v>50</v>
      </c>
      <c r="L27" s="176">
        <v>41871</v>
      </c>
      <c r="M27" s="99">
        <v>41871</v>
      </c>
      <c r="N27" s="99">
        <v>42821</v>
      </c>
      <c r="O27" s="9" t="s">
        <v>170</v>
      </c>
      <c r="P27" s="39" t="s">
        <v>605</v>
      </c>
      <c r="Q27" s="39" t="s">
        <v>606</v>
      </c>
      <c r="R27" s="18">
        <v>604254331</v>
      </c>
      <c r="S27" s="39" t="s">
        <v>607</v>
      </c>
      <c r="T27" s="104" t="s">
        <v>547</v>
      </c>
      <c r="U27" s="104"/>
      <c r="V27" s="104">
        <v>107</v>
      </c>
      <c r="W27" s="103"/>
      <c r="X27" s="141" t="s">
        <v>743</v>
      </c>
    </row>
    <row r="28" spans="1:24" ht="15.75" customHeight="1">
      <c r="A28" s="8">
        <v>27</v>
      </c>
      <c r="B28" s="104" t="s">
        <v>194</v>
      </c>
      <c r="C28" s="104" t="s">
        <v>548</v>
      </c>
      <c r="D28" s="159"/>
      <c r="E28" s="159"/>
      <c r="F28" s="159"/>
      <c r="G28" s="159"/>
      <c r="H28" s="18">
        <v>50</v>
      </c>
      <c r="I28" s="101">
        <v>50</v>
      </c>
      <c r="J28" s="18">
        <v>50</v>
      </c>
      <c r="K28" s="152"/>
      <c r="L28" s="176">
        <v>41896</v>
      </c>
      <c r="M28" s="99">
        <v>41899</v>
      </c>
      <c r="N28" s="99">
        <v>42438</v>
      </c>
      <c r="O28" s="9" t="s">
        <v>170</v>
      </c>
      <c r="P28" s="18" t="s">
        <v>549</v>
      </c>
      <c r="Q28" s="18" t="s">
        <v>550</v>
      </c>
      <c r="R28" s="108">
        <v>604235534</v>
      </c>
      <c r="S28" s="104"/>
      <c r="T28" s="104" t="s">
        <v>551</v>
      </c>
      <c r="U28" s="104"/>
      <c r="V28" s="104">
        <v>108</v>
      </c>
      <c r="W28" s="103"/>
    </row>
    <row r="29" spans="1:24" ht="15.75" customHeight="1">
      <c r="A29" s="8">
        <v>28</v>
      </c>
      <c r="B29" s="104" t="s">
        <v>559</v>
      </c>
      <c r="C29" s="104" t="s">
        <v>560</v>
      </c>
      <c r="D29" s="159"/>
      <c r="E29" s="159"/>
      <c r="F29" s="159"/>
      <c r="G29" s="159"/>
      <c r="H29" s="18">
        <v>50</v>
      </c>
      <c r="I29" s="101">
        <v>50</v>
      </c>
      <c r="J29" s="18">
        <v>50</v>
      </c>
      <c r="K29" s="152"/>
      <c r="L29" s="177">
        <v>41983</v>
      </c>
      <c r="M29" s="106">
        <v>41984</v>
      </c>
      <c r="N29" s="106">
        <v>42732</v>
      </c>
      <c r="O29" s="18" t="s">
        <v>378</v>
      </c>
      <c r="P29" s="18" t="s">
        <v>561</v>
      </c>
      <c r="Q29" s="18" t="s">
        <v>562</v>
      </c>
      <c r="R29" s="18">
        <v>663946803</v>
      </c>
      <c r="S29" s="104"/>
      <c r="T29" s="104" t="s">
        <v>563</v>
      </c>
      <c r="U29" s="104"/>
      <c r="V29" s="104">
        <v>111</v>
      </c>
      <c r="W29" s="103"/>
    </row>
    <row r="30" spans="1:24" ht="15.75" customHeight="1">
      <c r="A30" s="8">
        <v>29</v>
      </c>
      <c r="B30" s="104" t="s">
        <v>429</v>
      </c>
      <c r="C30" s="104" t="s">
        <v>564</v>
      </c>
      <c r="D30" s="159"/>
      <c r="E30" s="159"/>
      <c r="F30" s="159"/>
      <c r="G30" s="159"/>
      <c r="H30" s="18">
        <v>50</v>
      </c>
      <c r="I30" s="101">
        <v>50</v>
      </c>
      <c r="J30" s="18">
        <v>50</v>
      </c>
      <c r="K30" s="152"/>
      <c r="L30" s="177">
        <v>41984</v>
      </c>
      <c r="M30" s="106">
        <v>41984</v>
      </c>
      <c r="N30" s="106">
        <v>42464</v>
      </c>
      <c r="O30" s="9" t="s">
        <v>170</v>
      </c>
      <c r="P30" s="18" t="s">
        <v>565</v>
      </c>
      <c r="Q30" s="18" t="s">
        <v>566</v>
      </c>
      <c r="R30" s="104"/>
      <c r="S30" s="104"/>
      <c r="T30" s="104" t="s">
        <v>567</v>
      </c>
      <c r="U30" s="104"/>
      <c r="V30" s="104">
        <v>112</v>
      </c>
      <c r="W30" s="103"/>
    </row>
    <row r="31" spans="1:24" ht="15.75" customHeight="1">
      <c r="A31" s="8">
        <v>30</v>
      </c>
      <c r="B31" s="104" t="s">
        <v>688</v>
      </c>
      <c r="C31" s="104" t="s">
        <v>569</v>
      </c>
      <c r="D31" s="159"/>
      <c r="E31" s="159"/>
      <c r="F31" s="159"/>
      <c r="G31" s="159"/>
      <c r="H31" s="18">
        <v>50</v>
      </c>
      <c r="I31" s="101">
        <v>50</v>
      </c>
      <c r="J31" s="18">
        <v>50</v>
      </c>
      <c r="K31" s="152">
        <v>50</v>
      </c>
      <c r="L31" s="176">
        <v>41982</v>
      </c>
      <c r="M31" s="99">
        <v>41997</v>
      </c>
      <c r="N31" s="99">
        <v>43009</v>
      </c>
      <c r="O31" s="18" t="s">
        <v>689</v>
      </c>
      <c r="P31" s="18" t="s">
        <v>570</v>
      </c>
      <c r="Q31" s="18" t="s">
        <v>571</v>
      </c>
      <c r="R31" s="18">
        <v>783419327</v>
      </c>
      <c r="S31" s="104"/>
      <c r="T31" s="7" t="s">
        <v>572</v>
      </c>
      <c r="U31" s="104"/>
      <c r="V31" s="104">
        <v>113</v>
      </c>
      <c r="W31" s="103"/>
    </row>
    <row r="32" spans="1:24" ht="15.75" customHeight="1">
      <c r="A32" s="8">
        <v>31</v>
      </c>
      <c r="B32" s="104" t="s">
        <v>481</v>
      </c>
      <c r="C32" s="104" t="s">
        <v>613</v>
      </c>
      <c r="D32" s="159"/>
      <c r="E32" s="159"/>
      <c r="F32" s="159"/>
      <c r="G32" s="159"/>
      <c r="H32" s="159"/>
      <c r="I32" s="101">
        <v>50</v>
      </c>
      <c r="J32" s="18">
        <v>100</v>
      </c>
      <c r="K32" s="152"/>
      <c r="L32" s="176">
        <v>42024</v>
      </c>
      <c r="M32" s="99">
        <v>42024</v>
      </c>
      <c r="N32" s="99">
        <v>43102</v>
      </c>
      <c r="O32" s="9" t="s">
        <v>170</v>
      </c>
      <c r="P32" s="167" t="s">
        <v>614</v>
      </c>
      <c r="Q32" s="18" t="s">
        <v>615</v>
      </c>
      <c r="R32" s="18">
        <v>698088272</v>
      </c>
      <c r="S32" s="104" t="s">
        <v>616</v>
      </c>
      <c r="T32" s="104" t="s">
        <v>617</v>
      </c>
      <c r="U32" s="104"/>
      <c r="V32" s="104">
        <v>115</v>
      </c>
      <c r="W32" s="103"/>
    </row>
    <row r="33" spans="1:26" ht="15.75" customHeight="1">
      <c r="A33" s="8">
        <v>32</v>
      </c>
      <c r="B33" s="104" t="s">
        <v>108</v>
      </c>
      <c r="C33" s="104" t="s">
        <v>544</v>
      </c>
      <c r="D33" s="159"/>
      <c r="E33" s="159"/>
      <c r="F33" s="159"/>
      <c r="G33" s="159"/>
      <c r="H33" s="159"/>
      <c r="I33" s="101">
        <v>50</v>
      </c>
      <c r="J33" s="18">
        <v>50</v>
      </c>
      <c r="K33" s="152">
        <v>50</v>
      </c>
      <c r="L33" s="179"/>
      <c r="M33" s="169">
        <v>42165</v>
      </c>
      <c r="N33" s="169">
        <v>43395</v>
      </c>
      <c r="O33" s="9" t="s">
        <v>170</v>
      </c>
      <c r="P33" s="167" t="s">
        <v>643</v>
      </c>
      <c r="Q33" s="18" t="s">
        <v>644</v>
      </c>
      <c r="R33" s="20"/>
      <c r="S33" s="20"/>
      <c r="T33" s="20"/>
      <c r="U33" s="20"/>
      <c r="V33" s="20">
        <v>119</v>
      </c>
      <c r="W33" s="20"/>
    </row>
    <row r="34" spans="1:26" ht="15.75" customHeight="1">
      <c r="A34" s="8">
        <v>33</v>
      </c>
      <c r="B34" s="104" t="s">
        <v>13</v>
      </c>
      <c r="C34" s="104" t="s">
        <v>667</v>
      </c>
      <c r="D34" s="159"/>
      <c r="E34" s="159"/>
      <c r="F34" s="159"/>
      <c r="G34" s="159"/>
      <c r="H34" s="159"/>
      <c r="I34" s="101">
        <v>50</v>
      </c>
      <c r="J34" s="18">
        <v>50</v>
      </c>
      <c r="K34" s="152"/>
      <c r="L34" s="178">
        <v>42311</v>
      </c>
      <c r="M34" s="169">
        <v>42312</v>
      </c>
      <c r="N34" s="169">
        <v>42695</v>
      </c>
      <c r="O34" s="9" t="s">
        <v>170</v>
      </c>
      <c r="P34" s="167" t="s">
        <v>668</v>
      </c>
      <c r="Q34" s="167" t="s">
        <v>669</v>
      </c>
      <c r="R34" s="167">
        <v>792423168</v>
      </c>
      <c r="S34" s="20"/>
      <c r="T34" s="20" t="s">
        <v>670</v>
      </c>
      <c r="U34" s="20"/>
      <c r="V34" s="20">
        <v>125</v>
      </c>
      <c r="W34" s="166" t="s">
        <v>200</v>
      </c>
    </row>
    <row r="35" spans="1:26" ht="15.75" customHeight="1">
      <c r="A35" s="8">
        <v>34</v>
      </c>
      <c r="B35" s="104" t="s">
        <v>690</v>
      </c>
      <c r="C35" s="104" t="s">
        <v>691</v>
      </c>
      <c r="D35" s="159"/>
      <c r="E35" s="159"/>
      <c r="F35" s="159"/>
      <c r="G35" s="159"/>
      <c r="H35" s="159"/>
      <c r="I35" s="159"/>
      <c r="J35" s="18">
        <v>50</v>
      </c>
      <c r="K35" s="18"/>
      <c r="L35" s="169">
        <v>42396</v>
      </c>
      <c r="M35" s="169">
        <v>42397</v>
      </c>
      <c r="N35" s="169">
        <v>42397</v>
      </c>
      <c r="O35" s="20" t="s">
        <v>170</v>
      </c>
      <c r="P35" s="167" t="s">
        <v>692</v>
      </c>
      <c r="Q35" s="167" t="s">
        <v>693</v>
      </c>
      <c r="R35" s="167">
        <v>604108116</v>
      </c>
      <c r="S35" s="20" t="s">
        <v>694</v>
      </c>
      <c r="T35" s="20" t="s">
        <v>695</v>
      </c>
      <c r="U35" s="20"/>
      <c r="V35" s="20">
        <v>128</v>
      </c>
      <c r="W35" s="20"/>
    </row>
    <row r="36" spans="1:26" ht="15.75" customHeight="1">
      <c r="A36" s="8">
        <v>35</v>
      </c>
      <c r="B36" s="180" t="s">
        <v>696</v>
      </c>
      <c r="C36" s="104" t="s">
        <v>697</v>
      </c>
      <c r="D36" s="159"/>
      <c r="E36" s="159"/>
      <c r="F36" s="159"/>
      <c r="G36" s="159"/>
      <c r="H36" s="159"/>
      <c r="I36" s="159"/>
      <c r="J36" s="18">
        <v>50</v>
      </c>
      <c r="K36" s="18"/>
      <c r="L36" s="169">
        <v>42422</v>
      </c>
      <c r="M36" s="169">
        <v>42424</v>
      </c>
      <c r="N36" s="169">
        <v>42424</v>
      </c>
      <c r="O36" s="20" t="s">
        <v>170</v>
      </c>
      <c r="P36" s="181" t="s">
        <v>698</v>
      </c>
      <c r="Q36" s="181" t="s">
        <v>699</v>
      </c>
      <c r="R36" s="181">
        <v>792654967</v>
      </c>
      <c r="S36" s="20"/>
      <c r="T36" s="20" t="s">
        <v>700</v>
      </c>
      <c r="U36" s="20"/>
      <c r="V36" s="20">
        <v>129</v>
      </c>
      <c r="W36" s="20"/>
    </row>
    <row r="37" spans="1:26" ht="15.75" customHeight="1">
      <c r="A37" s="8">
        <v>36</v>
      </c>
      <c r="B37" s="104" t="s">
        <v>701</v>
      </c>
      <c r="C37" s="104" t="s">
        <v>702</v>
      </c>
      <c r="D37" s="159"/>
      <c r="E37" s="159"/>
      <c r="F37" s="159"/>
      <c r="G37" s="159"/>
      <c r="H37" s="159"/>
      <c r="I37" s="159"/>
      <c r="J37" s="18">
        <v>50</v>
      </c>
      <c r="K37" s="18">
        <v>50</v>
      </c>
      <c r="L37" s="169">
        <v>42429</v>
      </c>
      <c r="M37" s="169">
        <v>42429</v>
      </c>
      <c r="N37" s="169">
        <v>43213</v>
      </c>
      <c r="O37" s="20" t="s">
        <v>170</v>
      </c>
      <c r="P37" s="167" t="s">
        <v>744</v>
      </c>
      <c r="Q37" s="167" t="s">
        <v>745</v>
      </c>
      <c r="R37" s="181">
        <v>600294958</v>
      </c>
      <c r="S37" s="20"/>
      <c r="T37" s="20" t="s">
        <v>705</v>
      </c>
      <c r="U37" s="20"/>
      <c r="V37" s="20">
        <v>130</v>
      </c>
      <c r="W37" s="20"/>
    </row>
    <row r="38" spans="1:26" ht="15.75" customHeight="1">
      <c r="A38" s="8">
        <v>37</v>
      </c>
      <c r="B38" s="104" t="s">
        <v>506</v>
      </c>
      <c r="C38" s="104" t="s">
        <v>706</v>
      </c>
      <c r="D38" s="159"/>
      <c r="E38" s="159"/>
      <c r="F38" s="159"/>
      <c r="G38" s="159"/>
      <c r="H38" s="159"/>
      <c r="I38" s="159"/>
      <c r="J38" s="18">
        <v>50</v>
      </c>
      <c r="K38" s="18"/>
      <c r="L38" s="169">
        <v>42441</v>
      </c>
      <c r="M38" s="169">
        <v>42450</v>
      </c>
      <c r="N38" s="169">
        <v>42450</v>
      </c>
      <c r="O38" s="18" t="s">
        <v>689</v>
      </c>
      <c r="P38" s="181" t="s">
        <v>707</v>
      </c>
      <c r="Q38" s="181" t="s">
        <v>708</v>
      </c>
      <c r="R38" s="181">
        <v>501174592</v>
      </c>
      <c r="S38" s="20"/>
      <c r="T38" s="20" t="s">
        <v>709</v>
      </c>
      <c r="U38" s="20"/>
      <c r="V38" s="20">
        <v>131</v>
      </c>
      <c r="W38" s="20"/>
    </row>
    <row r="39" spans="1:26" ht="15.75" customHeight="1">
      <c r="A39" s="8">
        <v>38</v>
      </c>
      <c r="B39" s="97" t="s">
        <v>194</v>
      </c>
      <c r="C39" s="97" t="s">
        <v>710</v>
      </c>
      <c r="D39" s="163"/>
      <c r="E39" s="163"/>
      <c r="F39" s="163"/>
      <c r="G39" s="163"/>
      <c r="H39" s="163"/>
      <c r="I39" s="163"/>
      <c r="J39" s="91">
        <v>50</v>
      </c>
      <c r="K39" s="91"/>
      <c r="L39" s="182">
        <v>42510</v>
      </c>
      <c r="M39" s="182">
        <v>42510</v>
      </c>
      <c r="N39" s="182">
        <v>42510</v>
      </c>
      <c r="O39" s="183" t="s">
        <v>170</v>
      </c>
      <c r="P39" s="184" t="s">
        <v>711</v>
      </c>
      <c r="Q39" s="184" t="s">
        <v>712</v>
      </c>
      <c r="R39" s="185">
        <v>605206191</v>
      </c>
      <c r="S39" s="183"/>
      <c r="T39" s="183" t="s">
        <v>713</v>
      </c>
      <c r="U39" s="20"/>
      <c r="V39" s="183">
        <v>132</v>
      </c>
      <c r="W39" s="183"/>
    </row>
    <row r="40" spans="1:26" ht="15.75" customHeight="1">
      <c r="A40" s="8">
        <v>39</v>
      </c>
      <c r="B40" s="97" t="s">
        <v>13</v>
      </c>
      <c r="C40" s="97" t="s">
        <v>714</v>
      </c>
      <c r="D40" s="163"/>
      <c r="E40" s="163"/>
      <c r="F40" s="163"/>
      <c r="G40" s="163"/>
      <c r="H40" s="163"/>
      <c r="I40" s="163"/>
      <c r="J40" s="91">
        <v>50</v>
      </c>
      <c r="K40" s="91"/>
      <c r="L40" s="182">
        <v>42604</v>
      </c>
      <c r="M40" s="182">
        <v>42605</v>
      </c>
      <c r="N40" s="182">
        <v>42605</v>
      </c>
      <c r="O40" s="183" t="s">
        <v>170</v>
      </c>
      <c r="P40" s="184" t="s">
        <v>715</v>
      </c>
      <c r="Q40" s="184" t="s">
        <v>716</v>
      </c>
      <c r="R40" s="184">
        <v>500854716</v>
      </c>
      <c r="S40" s="183"/>
      <c r="T40" s="183" t="s">
        <v>717</v>
      </c>
      <c r="V40" s="183">
        <v>133</v>
      </c>
      <c r="W40" s="183"/>
    </row>
    <row r="41" spans="1:26" ht="15.75" customHeight="1">
      <c r="A41" s="8">
        <v>40</v>
      </c>
      <c r="B41" s="104" t="s">
        <v>718</v>
      </c>
      <c r="C41" s="104" t="s">
        <v>719</v>
      </c>
      <c r="D41" s="159"/>
      <c r="E41" s="159"/>
      <c r="F41" s="159"/>
      <c r="G41" s="159"/>
      <c r="H41" s="159"/>
      <c r="I41" s="159"/>
      <c r="J41" s="18">
        <v>50</v>
      </c>
      <c r="K41" s="18"/>
      <c r="L41" s="169"/>
      <c r="M41" s="169">
        <v>42628</v>
      </c>
      <c r="N41" s="169">
        <v>42628</v>
      </c>
      <c r="O41" s="20" t="s">
        <v>170</v>
      </c>
      <c r="P41" s="167" t="s">
        <v>720</v>
      </c>
      <c r="Q41" s="167" t="s">
        <v>721</v>
      </c>
      <c r="R41" s="186">
        <v>660415314</v>
      </c>
      <c r="S41" s="180"/>
      <c r="T41" s="20"/>
      <c r="U41" s="180"/>
      <c r="V41" s="20">
        <v>135</v>
      </c>
      <c r="W41" s="20"/>
    </row>
    <row r="42" spans="1:26" ht="15.75" customHeight="1">
      <c r="A42" s="8">
        <v>41</v>
      </c>
      <c r="B42" s="104" t="s">
        <v>618</v>
      </c>
      <c r="C42" s="104" t="s">
        <v>722</v>
      </c>
      <c r="D42" s="159"/>
      <c r="E42" s="159"/>
      <c r="F42" s="159"/>
      <c r="G42" s="159"/>
      <c r="H42" s="159"/>
      <c r="I42" s="159"/>
      <c r="J42" s="18">
        <v>50</v>
      </c>
      <c r="K42" s="18"/>
      <c r="L42" s="169">
        <v>42633</v>
      </c>
      <c r="M42" s="169">
        <v>42636</v>
      </c>
      <c r="N42" s="169">
        <v>42636</v>
      </c>
      <c r="O42" s="20" t="s">
        <v>170</v>
      </c>
      <c r="P42" s="167" t="s">
        <v>723</v>
      </c>
      <c r="Q42" s="12" t="s">
        <v>724</v>
      </c>
      <c r="R42" s="187">
        <v>512612938</v>
      </c>
      <c r="S42" s="180"/>
      <c r="T42" s="20" t="s">
        <v>725</v>
      </c>
      <c r="U42" s="180"/>
      <c r="V42" s="20">
        <v>136</v>
      </c>
      <c r="W42" s="20"/>
    </row>
    <row r="43" spans="1:26" ht="15.75" customHeight="1">
      <c r="A43" s="8">
        <v>42</v>
      </c>
      <c r="B43" s="104" t="s">
        <v>631</v>
      </c>
      <c r="C43" s="104" t="s">
        <v>726</v>
      </c>
      <c r="D43" s="159"/>
      <c r="E43" s="159"/>
      <c r="F43" s="159"/>
      <c r="G43" s="159"/>
      <c r="H43" s="159"/>
      <c r="I43" s="159"/>
      <c r="J43" s="18">
        <v>50</v>
      </c>
      <c r="K43" s="18"/>
      <c r="L43" s="169">
        <v>42661</v>
      </c>
      <c r="M43" s="169">
        <v>42661</v>
      </c>
      <c r="N43" s="169">
        <v>42661</v>
      </c>
      <c r="O43" s="20" t="s">
        <v>170</v>
      </c>
      <c r="P43" s="167" t="s">
        <v>727</v>
      </c>
      <c r="Q43" s="12" t="s">
        <v>728</v>
      </c>
      <c r="R43" s="167">
        <v>691464629</v>
      </c>
      <c r="S43" s="180"/>
      <c r="T43" s="20" t="s">
        <v>729</v>
      </c>
      <c r="U43" s="180"/>
      <c r="V43" s="20">
        <v>137</v>
      </c>
      <c r="W43" s="20"/>
    </row>
    <row r="44" spans="1:26" ht="15.75" customHeight="1">
      <c r="A44" s="8">
        <v>43</v>
      </c>
      <c r="B44" s="104" t="s">
        <v>441</v>
      </c>
      <c r="C44" s="104" t="s">
        <v>730</v>
      </c>
      <c r="D44" s="159"/>
      <c r="E44" s="159"/>
      <c r="F44" s="159"/>
      <c r="G44" s="159"/>
      <c r="H44" s="159"/>
      <c r="I44" s="159"/>
      <c r="J44" s="18">
        <v>100</v>
      </c>
      <c r="K44" s="18"/>
      <c r="L44" s="169">
        <v>42674</v>
      </c>
      <c r="M44" s="169">
        <v>42674</v>
      </c>
      <c r="N44" s="169">
        <v>42674</v>
      </c>
      <c r="O44" s="20" t="s">
        <v>170</v>
      </c>
      <c r="P44" s="167" t="s">
        <v>731</v>
      </c>
      <c r="Q44" s="12" t="s">
        <v>732</v>
      </c>
      <c r="R44" s="186">
        <v>793604908</v>
      </c>
      <c r="S44" s="180"/>
      <c r="T44" s="20" t="s">
        <v>733</v>
      </c>
      <c r="U44" s="180"/>
      <c r="V44" s="20">
        <v>138</v>
      </c>
      <c r="W44" s="20"/>
    </row>
    <row r="45" spans="1:26" ht="15.75" customHeight="1">
      <c r="A45" s="8">
        <v>44</v>
      </c>
      <c r="B45" s="104" t="s">
        <v>194</v>
      </c>
      <c r="C45" s="104" t="s">
        <v>734</v>
      </c>
      <c r="D45" s="159"/>
      <c r="E45" s="159"/>
      <c r="F45" s="159"/>
      <c r="G45" s="159"/>
      <c r="H45" s="159"/>
      <c r="I45" s="159"/>
      <c r="J45" s="18">
        <v>50</v>
      </c>
      <c r="K45" s="18"/>
      <c r="L45" s="169">
        <v>42716</v>
      </c>
      <c r="M45" s="169">
        <v>42716</v>
      </c>
      <c r="N45" s="169">
        <v>42716</v>
      </c>
      <c r="O45" s="20" t="s">
        <v>170</v>
      </c>
      <c r="P45" s="167" t="s">
        <v>746</v>
      </c>
      <c r="Q45" s="167" t="s">
        <v>736</v>
      </c>
      <c r="R45" s="167">
        <v>797482882</v>
      </c>
      <c r="S45" s="180"/>
      <c r="T45" s="20" t="s">
        <v>737</v>
      </c>
      <c r="U45" s="180"/>
      <c r="V45" s="20">
        <v>139</v>
      </c>
      <c r="W45" s="20"/>
    </row>
    <row r="46" spans="1:26" ht="15.75" customHeight="1">
      <c r="A46" s="8">
        <v>45</v>
      </c>
      <c r="B46" s="104" t="s">
        <v>738</v>
      </c>
      <c r="C46" s="104" t="s">
        <v>739</v>
      </c>
      <c r="D46" s="159"/>
      <c r="E46" s="159"/>
      <c r="F46" s="159"/>
      <c r="G46" s="159"/>
      <c r="H46" s="159"/>
      <c r="I46" s="159"/>
      <c r="J46" s="18">
        <v>50</v>
      </c>
      <c r="K46" s="18"/>
      <c r="L46" s="169">
        <v>42814</v>
      </c>
      <c r="M46" s="169">
        <v>42732</v>
      </c>
      <c r="N46" s="169">
        <v>42732</v>
      </c>
      <c r="O46" s="20" t="s">
        <v>170</v>
      </c>
      <c r="P46" s="39" t="s">
        <v>747</v>
      </c>
      <c r="Q46" s="167" t="s">
        <v>748</v>
      </c>
      <c r="R46" s="167">
        <v>504922932</v>
      </c>
      <c r="S46" s="180"/>
      <c r="T46" s="141" t="s">
        <v>749</v>
      </c>
      <c r="U46" s="180"/>
      <c r="V46" s="20">
        <v>144</v>
      </c>
      <c r="W46" s="20"/>
    </row>
    <row r="47" spans="1:26" ht="12.75" customHeight="1">
      <c r="A47" s="8">
        <v>46</v>
      </c>
      <c r="B47" s="17" t="s">
        <v>239</v>
      </c>
      <c r="C47" s="17" t="s">
        <v>305</v>
      </c>
      <c r="D47" s="59"/>
      <c r="E47" s="26">
        <v>30</v>
      </c>
      <c r="F47" s="63"/>
      <c r="G47" s="97"/>
      <c r="H47" s="97"/>
      <c r="I47" s="97"/>
      <c r="J47" s="97"/>
      <c r="K47" s="97">
        <v>50</v>
      </c>
      <c r="L47" s="192">
        <v>40748</v>
      </c>
      <c r="M47" s="193">
        <v>40788</v>
      </c>
      <c r="N47" s="107">
        <v>42737</v>
      </c>
      <c r="O47" s="194" t="s">
        <v>170</v>
      </c>
      <c r="P47" s="47" t="s">
        <v>306</v>
      </c>
      <c r="Q47" s="164" t="s">
        <v>307</v>
      </c>
      <c r="R47" s="39">
        <v>737767704</v>
      </c>
      <c r="S47" s="63" t="s">
        <v>308</v>
      </c>
      <c r="T47" s="20" t="s">
        <v>750</v>
      </c>
      <c r="U47" s="64"/>
      <c r="V47" s="195">
        <v>60</v>
      </c>
      <c r="W47" s="26"/>
      <c r="X47" s="7"/>
      <c r="Y47" s="7"/>
      <c r="Z47" s="7"/>
    </row>
    <row r="48" spans="1:26" ht="15.75" customHeight="1">
      <c r="A48" s="8">
        <v>47</v>
      </c>
      <c r="B48" s="104" t="s">
        <v>217</v>
      </c>
      <c r="C48" s="104" t="s">
        <v>671</v>
      </c>
      <c r="D48" s="159"/>
      <c r="E48" s="159"/>
      <c r="F48" s="159"/>
      <c r="G48" s="159"/>
      <c r="H48" s="159"/>
      <c r="I48" s="159"/>
      <c r="J48" s="159"/>
      <c r="K48" s="20">
        <v>50</v>
      </c>
      <c r="L48" s="169">
        <v>42744</v>
      </c>
      <c r="M48" s="169">
        <v>42744</v>
      </c>
      <c r="N48" s="169">
        <v>42744</v>
      </c>
      <c r="O48" s="9" t="s">
        <v>170</v>
      </c>
      <c r="P48" s="135" t="s">
        <v>751</v>
      </c>
      <c r="Q48" s="135" t="s">
        <v>752</v>
      </c>
      <c r="R48" s="196">
        <v>663912988</v>
      </c>
      <c r="S48" s="20"/>
      <c r="T48" s="20" t="s">
        <v>753</v>
      </c>
      <c r="U48" s="20"/>
      <c r="V48" s="20">
        <v>140</v>
      </c>
      <c r="W48" s="20"/>
    </row>
    <row r="49" spans="1:24" ht="15.75" customHeight="1">
      <c r="A49" s="8">
        <v>48</v>
      </c>
      <c r="B49" s="97" t="s">
        <v>754</v>
      </c>
      <c r="C49" s="183" t="s">
        <v>755</v>
      </c>
      <c r="D49" s="163"/>
      <c r="E49" s="163"/>
      <c r="F49" s="163"/>
      <c r="G49" s="163"/>
      <c r="H49" s="163"/>
      <c r="I49" s="163"/>
      <c r="J49" s="163"/>
      <c r="K49" s="183">
        <v>50</v>
      </c>
      <c r="L49" s="182">
        <v>42769</v>
      </c>
      <c r="M49" s="182">
        <v>42769</v>
      </c>
      <c r="N49" s="182">
        <v>42769</v>
      </c>
      <c r="O49" s="17" t="s">
        <v>170</v>
      </c>
      <c r="P49" s="197" t="s">
        <v>756</v>
      </c>
      <c r="Q49" s="197" t="s">
        <v>757</v>
      </c>
      <c r="R49" s="198">
        <v>696453314</v>
      </c>
      <c r="S49" s="183"/>
      <c r="T49" s="183" t="s">
        <v>758</v>
      </c>
      <c r="U49" s="183"/>
      <c r="V49" s="183">
        <v>141</v>
      </c>
      <c r="W49" s="183"/>
    </row>
    <row r="50" spans="1:24" ht="15.75" customHeight="1">
      <c r="A50" s="8">
        <v>49</v>
      </c>
      <c r="B50" s="104" t="s">
        <v>759</v>
      </c>
      <c r="C50" s="20" t="s">
        <v>760</v>
      </c>
      <c r="D50" s="159"/>
      <c r="E50" s="159"/>
      <c r="F50" s="159"/>
      <c r="G50" s="159"/>
      <c r="H50" s="159"/>
      <c r="I50" s="159"/>
      <c r="J50" s="159"/>
      <c r="K50" s="20">
        <v>50</v>
      </c>
      <c r="L50" s="169">
        <v>42760</v>
      </c>
      <c r="M50" s="169">
        <v>42780</v>
      </c>
      <c r="N50" s="169">
        <v>42780</v>
      </c>
      <c r="O50" s="9" t="s">
        <v>170</v>
      </c>
      <c r="P50" s="167" t="s">
        <v>761</v>
      </c>
      <c r="Q50" s="167" t="s">
        <v>762</v>
      </c>
      <c r="R50" s="186">
        <v>781111843</v>
      </c>
      <c r="S50" s="20" t="s">
        <v>763</v>
      </c>
      <c r="T50" s="20" t="s">
        <v>764</v>
      </c>
      <c r="U50" s="20"/>
      <c r="V50" s="20">
        <v>142</v>
      </c>
      <c r="W50" s="20"/>
      <c r="X50" s="20" t="s">
        <v>765</v>
      </c>
    </row>
    <row r="51" spans="1:24" ht="15.75" customHeight="1">
      <c r="A51" s="8">
        <v>50</v>
      </c>
      <c r="B51" s="104" t="s">
        <v>212</v>
      </c>
      <c r="C51" s="20" t="s">
        <v>766</v>
      </c>
      <c r="D51" s="159"/>
      <c r="E51" s="159"/>
      <c r="F51" s="159"/>
      <c r="G51" s="159"/>
      <c r="H51" s="159"/>
      <c r="I51" s="159"/>
      <c r="J51" s="159"/>
      <c r="K51" s="20">
        <v>50</v>
      </c>
      <c r="L51" s="169">
        <v>42803</v>
      </c>
      <c r="M51" s="169">
        <v>42804</v>
      </c>
      <c r="N51" s="169">
        <v>42804</v>
      </c>
      <c r="O51" s="9" t="s">
        <v>170</v>
      </c>
      <c r="P51" s="167" t="s">
        <v>767</v>
      </c>
      <c r="Q51" s="167" t="s">
        <v>768</v>
      </c>
      <c r="R51" s="186">
        <v>782750103</v>
      </c>
      <c r="S51" s="20" t="s">
        <v>769</v>
      </c>
      <c r="T51" s="199" t="s">
        <v>769</v>
      </c>
      <c r="U51" s="20"/>
      <c r="V51" s="20">
        <v>143</v>
      </c>
      <c r="W51" s="20"/>
      <c r="X51" s="20" t="s">
        <v>770</v>
      </c>
    </row>
    <row r="52" spans="1:24" ht="15.75" customHeight="1">
      <c r="A52" s="8">
        <v>51</v>
      </c>
      <c r="B52" s="104" t="s">
        <v>21</v>
      </c>
      <c r="C52" s="20" t="s">
        <v>771</v>
      </c>
      <c r="D52" s="159"/>
      <c r="E52" s="159"/>
      <c r="F52" s="159"/>
      <c r="G52" s="159"/>
      <c r="H52" s="159"/>
      <c r="I52" s="159"/>
      <c r="J52" s="159"/>
      <c r="K52" s="20">
        <v>50</v>
      </c>
      <c r="L52" s="169">
        <v>42811</v>
      </c>
      <c r="M52" s="169">
        <v>42830</v>
      </c>
      <c r="N52" s="169">
        <v>42830</v>
      </c>
      <c r="O52" s="9" t="s">
        <v>170</v>
      </c>
      <c r="P52" s="167" t="s">
        <v>772</v>
      </c>
      <c r="Q52" s="20" t="s">
        <v>773</v>
      </c>
      <c r="R52" s="186">
        <v>788511930</v>
      </c>
      <c r="S52" s="20"/>
      <c r="T52" s="20" t="s">
        <v>774</v>
      </c>
      <c r="U52" s="20"/>
      <c r="V52" s="20">
        <v>145</v>
      </c>
      <c r="W52" s="20"/>
      <c r="X52" s="20"/>
    </row>
    <row r="53" spans="1:24" ht="15.75" customHeight="1">
      <c r="A53" s="8">
        <v>52</v>
      </c>
      <c r="B53" s="97" t="s">
        <v>775</v>
      </c>
      <c r="C53" s="97" t="s">
        <v>776</v>
      </c>
      <c r="D53" s="163"/>
      <c r="E53" s="163"/>
      <c r="F53" s="163"/>
      <c r="G53" s="163"/>
      <c r="H53" s="163"/>
      <c r="I53" s="163"/>
      <c r="J53" s="163"/>
      <c r="K53" s="183">
        <v>50</v>
      </c>
      <c r="L53" s="182">
        <v>42606</v>
      </c>
      <c r="M53" s="182">
        <v>42822</v>
      </c>
      <c r="N53" s="182">
        <v>43090</v>
      </c>
      <c r="O53" s="9" t="s">
        <v>170</v>
      </c>
      <c r="P53" s="184" t="s">
        <v>777</v>
      </c>
      <c r="Q53" s="184" t="s">
        <v>778</v>
      </c>
      <c r="R53" s="184">
        <v>781504852</v>
      </c>
      <c r="S53" s="200" t="s">
        <v>779</v>
      </c>
      <c r="T53" s="183" t="s">
        <v>780</v>
      </c>
      <c r="U53" s="200">
        <v>587361570</v>
      </c>
      <c r="V53" s="183">
        <v>134</v>
      </c>
      <c r="W53" s="183"/>
    </row>
    <row r="54" spans="1:24" ht="15.75" customHeight="1">
      <c r="A54" s="8">
        <v>53</v>
      </c>
      <c r="B54" s="104" t="s">
        <v>559</v>
      </c>
      <c r="C54" s="20" t="s">
        <v>781</v>
      </c>
      <c r="D54" s="163"/>
      <c r="E54" s="163"/>
      <c r="F54" s="163"/>
      <c r="G54" s="163"/>
      <c r="H54" s="163"/>
      <c r="I54" s="163"/>
      <c r="J54" s="163"/>
      <c r="K54" s="20">
        <v>50</v>
      </c>
      <c r="L54" s="169">
        <v>42875</v>
      </c>
      <c r="M54" s="169">
        <v>42878</v>
      </c>
      <c r="N54" s="169">
        <v>42878</v>
      </c>
      <c r="O54" s="9" t="s">
        <v>170</v>
      </c>
      <c r="P54" s="167" t="s">
        <v>782</v>
      </c>
      <c r="Q54" s="167" t="s">
        <v>783</v>
      </c>
      <c r="R54" s="167">
        <v>609058740</v>
      </c>
      <c r="S54" s="20"/>
      <c r="T54" s="20" t="s">
        <v>784</v>
      </c>
      <c r="U54" s="20"/>
      <c r="V54" s="20">
        <v>146</v>
      </c>
      <c r="W54" s="20"/>
      <c r="X54" s="20" t="s">
        <v>785</v>
      </c>
    </row>
    <row r="55" spans="1:24" ht="15.75" customHeight="1">
      <c r="A55" s="8">
        <v>54</v>
      </c>
      <c r="B55" s="104" t="s">
        <v>568</v>
      </c>
      <c r="C55" s="20" t="s">
        <v>786</v>
      </c>
      <c r="D55" s="159"/>
      <c r="E55" s="159"/>
      <c r="F55" s="159"/>
      <c r="G55" s="159"/>
      <c r="H55" s="159"/>
      <c r="I55" s="159"/>
      <c r="J55" s="159"/>
      <c r="K55" s="20">
        <v>50</v>
      </c>
      <c r="L55" s="169">
        <v>42891</v>
      </c>
      <c r="M55" s="169">
        <v>42891</v>
      </c>
      <c r="N55" s="169">
        <v>42891</v>
      </c>
      <c r="O55" s="9" t="s">
        <v>170</v>
      </c>
      <c r="P55" s="167" t="s">
        <v>787</v>
      </c>
      <c r="Q55" s="167" t="s">
        <v>788</v>
      </c>
      <c r="R55" s="167">
        <v>510514130</v>
      </c>
      <c r="S55" s="20"/>
      <c r="T55" s="20" t="s">
        <v>789</v>
      </c>
      <c r="U55" s="20"/>
      <c r="V55" s="20">
        <v>147</v>
      </c>
      <c r="W55" s="166" t="s">
        <v>200</v>
      </c>
      <c r="X55" s="20" t="s">
        <v>790</v>
      </c>
    </row>
    <row r="56" spans="1:24" ht="15.75" customHeight="1">
      <c r="A56" s="8">
        <v>55</v>
      </c>
      <c r="B56" s="104" t="s">
        <v>791</v>
      </c>
      <c r="C56" s="20" t="s">
        <v>792</v>
      </c>
      <c r="D56" s="159"/>
      <c r="E56" s="159"/>
      <c r="F56" s="159"/>
      <c r="G56" s="159"/>
      <c r="H56" s="159"/>
      <c r="I56" s="159"/>
      <c r="J56" s="159"/>
      <c r="K56" s="20">
        <v>50</v>
      </c>
      <c r="L56" s="169">
        <v>42830</v>
      </c>
      <c r="M56" s="169">
        <v>42895</v>
      </c>
      <c r="N56" s="169">
        <v>42895</v>
      </c>
      <c r="O56" s="9" t="s">
        <v>170</v>
      </c>
      <c r="P56" s="167" t="s">
        <v>793</v>
      </c>
      <c r="Q56" s="167" t="s">
        <v>794</v>
      </c>
      <c r="R56" s="167">
        <v>531239771</v>
      </c>
      <c r="S56" s="20"/>
      <c r="T56" s="20" t="s">
        <v>795</v>
      </c>
      <c r="U56" s="20"/>
      <c r="V56" s="20">
        <v>148</v>
      </c>
      <c r="W56" s="20"/>
      <c r="X56" s="20"/>
    </row>
    <row r="57" spans="1:24" ht="15.75" customHeight="1">
      <c r="A57" s="8">
        <v>56</v>
      </c>
      <c r="B57" s="104" t="s">
        <v>568</v>
      </c>
      <c r="C57" s="20" t="s">
        <v>796</v>
      </c>
      <c r="D57" s="159"/>
      <c r="E57" s="159"/>
      <c r="F57" s="159"/>
      <c r="G57" s="159"/>
      <c r="H57" s="159"/>
      <c r="I57" s="159"/>
      <c r="J57" s="159"/>
      <c r="K57" s="20">
        <v>50</v>
      </c>
      <c r="L57" s="169">
        <v>42920</v>
      </c>
      <c r="M57" s="169">
        <v>42920</v>
      </c>
      <c r="N57" s="169">
        <v>42920</v>
      </c>
      <c r="O57" s="9" t="s">
        <v>170</v>
      </c>
      <c r="P57" s="167" t="s">
        <v>797</v>
      </c>
      <c r="Q57" s="167" t="s">
        <v>798</v>
      </c>
      <c r="R57" s="167">
        <v>514153259</v>
      </c>
      <c r="S57" s="20"/>
      <c r="T57" s="20" t="s">
        <v>799</v>
      </c>
      <c r="U57" s="20"/>
      <c r="V57" s="20">
        <v>149</v>
      </c>
      <c r="W57" s="20"/>
      <c r="X57" s="20"/>
    </row>
    <row r="58" spans="1:24" ht="15.75" customHeight="1">
      <c r="A58" s="8">
        <v>57</v>
      </c>
      <c r="B58" s="20" t="s">
        <v>800</v>
      </c>
      <c r="C58" s="20" t="s">
        <v>801</v>
      </c>
      <c r="D58" s="159"/>
      <c r="E58" s="159"/>
      <c r="F58" s="159"/>
      <c r="G58" s="159"/>
      <c r="H58" s="159"/>
      <c r="I58" s="159"/>
      <c r="J58" s="159"/>
      <c r="K58" s="20">
        <v>50</v>
      </c>
      <c r="L58" s="169">
        <v>42976</v>
      </c>
      <c r="M58" s="169">
        <v>43011</v>
      </c>
      <c r="N58" s="169">
        <v>43011</v>
      </c>
      <c r="O58" s="9" t="s">
        <v>170</v>
      </c>
      <c r="P58" s="167" t="s">
        <v>802</v>
      </c>
      <c r="Q58" s="167" t="s">
        <v>803</v>
      </c>
      <c r="R58" s="167">
        <v>510045847</v>
      </c>
      <c r="S58" s="20" t="s">
        <v>804</v>
      </c>
      <c r="T58" s="20" t="s">
        <v>805</v>
      </c>
      <c r="U58" s="20"/>
      <c r="V58" s="20">
        <v>150</v>
      </c>
      <c r="W58" s="20"/>
      <c r="X58" s="20" t="s">
        <v>806</v>
      </c>
    </row>
    <row r="59" spans="1:24" ht="15.75" customHeight="1">
      <c r="A59" s="8">
        <v>58</v>
      </c>
      <c r="B59" s="104" t="s">
        <v>631</v>
      </c>
      <c r="C59" s="20" t="s">
        <v>807</v>
      </c>
      <c r="D59" s="159"/>
      <c r="E59" s="159"/>
      <c r="F59" s="159"/>
      <c r="G59" s="159"/>
      <c r="H59" s="159"/>
      <c r="I59" s="159"/>
      <c r="J59" s="159"/>
      <c r="K59" s="20">
        <v>50</v>
      </c>
      <c r="L59" s="169">
        <v>43036</v>
      </c>
      <c r="M59" s="169">
        <v>43038</v>
      </c>
      <c r="N59" s="169">
        <v>43038</v>
      </c>
      <c r="O59" s="9" t="s">
        <v>170</v>
      </c>
      <c r="P59" s="167" t="s">
        <v>808</v>
      </c>
      <c r="Q59" s="167" t="s">
        <v>809</v>
      </c>
      <c r="R59" s="167">
        <v>785635315</v>
      </c>
      <c r="S59" s="20"/>
      <c r="T59" s="20" t="s">
        <v>810</v>
      </c>
      <c r="U59" s="20"/>
      <c r="V59" s="20">
        <v>151</v>
      </c>
      <c r="W59" s="20"/>
      <c r="X59" s="20" t="s">
        <v>811</v>
      </c>
    </row>
    <row r="60" spans="1:24" ht="15.75" customHeight="1">
      <c r="A60" s="8">
        <v>59</v>
      </c>
      <c r="B60" s="104" t="s">
        <v>812</v>
      </c>
      <c r="C60" s="20" t="s">
        <v>813</v>
      </c>
      <c r="D60" s="159"/>
      <c r="E60" s="159"/>
      <c r="F60" s="159"/>
      <c r="G60" s="159"/>
      <c r="H60" s="159"/>
      <c r="I60" s="159"/>
      <c r="J60" s="159"/>
      <c r="K60" s="20">
        <v>50</v>
      </c>
      <c r="L60" s="169">
        <v>43084</v>
      </c>
      <c r="M60" s="169">
        <v>43084</v>
      </c>
      <c r="N60" s="169">
        <v>43084</v>
      </c>
      <c r="O60" s="9" t="s">
        <v>170</v>
      </c>
      <c r="P60" s="167" t="s">
        <v>814</v>
      </c>
      <c r="Q60" s="167" t="s">
        <v>815</v>
      </c>
      <c r="R60" s="167">
        <v>506427836</v>
      </c>
      <c r="S60" s="20" t="s">
        <v>816</v>
      </c>
      <c r="T60" s="20" t="s">
        <v>817</v>
      </c>
      <c r="U60" s="20"/>
      <c r="V60" s="20">
        <v>152</v>
      </c>
      <c r="W60" s="20"/>
      <c r="X60" s="20"/>
    </row>
    <row r="61" spans="1:24" ht="15.75" customHeight="1">
      <c r="A61" s="8">
        <v>60</v>
      </c>
      <c r="B61" s="104" t="s">
        <v>818</v>
      </c>
      <c r="C61" s="20" t="s">
        <v>819</v>
      </c>
      <c r="D61" s="159"/>
      <c r="E61" s="159"/>
      <c r="F61" s="159"/>
      <c r="G61" s="159"/>
      <c r="H61" s="159"/>
      <c r="I61" s="159"/>
      <c r="J61" s="159"/>
      <c r="K61" s="20">
        <v>50</v>
      </c>
      <c r="L61" s="169">
        <v>43087</v>
      </c>
      <c r="M61" s="169">
        <v>43087</v>
      </c>
      <c r="N61" s="169">
        <v>43087</v>
      </c>
      <c r="O61" s="9" t="s">
        <v>170</v>
      </c>
      <c r="P61" s="167" t="s">
        <v>820</v>
      </c>
      <c r="Q61" s="167" t="s">
        <v>821</v>
      </c>
      <c r="R61" s="167">
        <v>696545836</v>
      </c>
      <c r="S61" s="20"/>
      <c r="T61" s="20" t="s">
        <v>822</v>
      </c>
      <c r="U61" s="20"/>
      <c r="V61" s="20">
        <v>153</v>
      </c>
      <c r="W61" s="20"/>
      <c r="X61" s="20"/>
    </row>
    <row r="62" spans="1:24" ht="15.75" customHeight="1"/>
    <row r="63" spans="1:24" ht="15.75" customHeight="1"/>
    <row r="64" spans="1:2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ef="T18" r:id="rId1" xr:uid="{00000000-0004-0000-0700-000000000000}"/>
  </hyperlinks>
  <pageMargins left="0.7" right="0.7" top="0.75" bottom="0.75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9"/>
  <dimension ref="A1:AA1000"/>
  <sheetViews>
    <sheetView workbookViewId="0"/>
  </sheetViews>
  <sheetFormatPr defaultColWidth="14.44140625" defaultRowHeight="15" customHeight="1"/>
  <cols>
    <col min="1" max="1" width="9.44140625" customWidth="1"/>
    <col min="2" max="2" width="13.33203125" customWidth="1"/>
    <col min="3" max="3" width="14" customWidth="1"/>
    <col min="4" max="4" width="6.6640625" customWidth="1"/>
    <col min="5" max="5" width="6.5546875" customWidth="1"/>
    <col min="6" max="7" width="6" customWidth="1"/>
    <col min="8" max="8" width="5.88671875" customWidth="1"/>
    <col min="9" max="10" width="5.33203125" customWidth="1"/>
    <col min="11" max="11" width="5" customWidth="1"/>
    <col min="12" max="12" width="5.33203125" customWidth="1"/>
    <col min="13" max="13" width="12.88671875" customWidth="1"/>
    <col min="14" max="14" width="13.33203125" customWidth="1"/>
    <col min="15" max="15" width="15.6640625" customWidth="1"/>
    <col min="16" max="16" width="19" customWidth="1"/>
    <col min="17" max="17" width="36.33203125" customWidth="1"/>
    <col min="18" max="18" width="29.6640625" customWidth="1"/>
    <col min="19" max="19" width="15.33203125" customWidth="1"/>
    <col min="20" max="20" width="21.5546875" customWidth="1"/>
    <col min="21" max="21" width="30.6640625" customWidth="1"/>
    <col min="22" max="22" width="16.109375" customWidth="1"/>
    <col min="23" max="24" width="8.6640625" customWidth="1"/>
    <col min="25" max="25" width="17" customWidth="1"/>
    <col min="26" max="26" width="47.5546875" customWidth="1"/>
    <col min="27" max="27" width="8.6640625" customWidth="1"/>
  </cols>
  <sheetData>
    <row r="1" spans="1:26" ht="14.4">
      <c r="A1" s="1" t="s">
        <v>0</v>
      </c>
      <c r="B1" s="2" t="s">
        <v>1</v>
      </c>
      <c r="C1" s="2" t="s">
        <v>2</v>
      </c>
      <c r="D1" s="1">
        <v>2010</v>
      </c>
      <c r="E1" s="1">
        <v>2011</v>
      </c>
      <c r="F1" s="1">
        <v>2012</v>
      </c>
      <c r="G1" s="1">
        <v>2013</v>
      </c>
      <c r="H1" s="1">
        <v>2014</v>
      </c>
      <c r="I1" s="1">
        <v>2015</v>
      </c>
      <c r="J1" s="1">
        <v>2016</v>
      </c>
      <c r="K1" s="1">
        <v>2017</v>
      </c>
      <c r="L1" s="1">
        <v>2018</v>
      </c>
      <c r="M1" s="116" t="s">
        <v>3</v>
      </c>
      <c r="N1" s="116" t="s">
        <v>199</v>
      </c>
      <c r="O1" s="116" t="s">
        <v>573</v>
      </c>
      <c r="P1" s="85" t="s">
        <v>5</v>
      </c>
      <c r="Q1" s="1" t="s">
        <v>6</v>
      </c>
      <c r="R1" s="1" t="s">
        <v>574</v>
      </c>
      <c r="S1" s="1" t="s">
        <v>7</v>
      </c>
      <c r="T1" s="1" t="s">
        <v>8</v>
      </c>
      <c r="U1" s="1" t="s">
        <v>9</v>
      </c>
      <c r="V1" s="1" t="s">
        <v>10</v>
      </c>
      <c r="W1" s="85" t="s">
        <v>11</v>
      </c>
      <c r="X1" s="117" t="s">
        <v>12</v>
      </c>
      <c r="Y1" s="189" t="s">
        <v>740</v>
      </c>
      <c r="Z1" s="189" t="s">
        <v>741</v>
      </c>
    </row>
    <row r="2" spans="1:26" ht="14.4">
      <c r="A2" s="8">
        <v>1</v>
      </c>
      <c r="B2" s="23" t="s">
        <v>21</v>
      </c>
      <c r="C2" s="23" t="s">
        <v>22</v>
      </c>
      <c r="D2" s="136">
        <v>120</v>
      </c>
      <c r="E2" s="136">
        <v>120</v>
      </c>
      <c r="F2" s="136">
        <v>120</v>
      </c>
      <c r="G2" s="136">
        <v>50</v>
      </c>
      <c r="H2" s="136">
        <v>50</v>
      </c>
      <c r="I2" s="136">
        <v>50</v>
      </c>
      <c r="J2" s="136">
        <v>50</v>
      </c>
      <c r="K2" s="136">
        <v>50</v>
      </c>
      <c r="L2" s="136">
        <v>50</v>
      </c>
      <c r="M2" s="137">
        <v>40316</v>
      </c>
      <c r="N2" s="137">
        <v>40229</v>
      </c>
      <c r="O2" s="137">
        <v>43194</v>
      </c>
      <c r="P2" s="9" t="s">
        <v>590</v>
      </c>
      <c r="Q2" s="27" t="s">
        <v>24</v>
      </c>
      <c r="R2" s="27" t="s">
        <v>25</v>
      </c>
      <c r="S2" s="25">
        <v>605230859</v>
      </c>
      <c r="T2" s="25" t="s">
        <v>26</v>
      </c>
      <c r="U2" s="138" t="s">
        <v>27</v>
      </c>
      <c r="V2" s="136" t="s">
        <v>28</v>
      </c>
      <c r="W2" s="139">
        <v>3</v>
      </c>
      <c r="X2" s="201" t="s">
        <v>412</v>
      </c>
      <c r="Y2" s="20"/>
      <c r="Z2" s="20"/>
    </row>
    <row r="3" spans="1:26" ht="14.4">
      <c r="A3" s="8">
        <v>2</v>
      </c>
      <c r="B3" s="9" t="s">
        <v>35</v>
      </c>
      <c r="C3" s="9" t="s">
        <v>36</v>
      </c>
      <c r="D3" s="10">
        <v>120</v>
      </c>
      <c r="E3" s="10">
        <v>120</v>
      </c>
      <c r="F3" s="10">
        <v>120</v>
      </c>
      <c r="G3" s="10">
        <v>50</v>
      </c>
      <c r="H3" s="10">
        <v>100</v>
      </c>
      <c r="I3" s="10">
        <v>50</v>
      </c>
      <c r="J3" s="10">
        <v>50</v>
      </c>
      <c r="K3" s="10"/>
      <c r="L3" s="10">
        <v>50</v>
      </c>
      <c r="M3" s="11">
        <v>40316</v>
      </c>
      <c r="N3" s="11">
        <v>40229</v>
      </c>
      <c r="O3" s="11">
        <v>43209</v>
      </c>
      <c r="P3" s="9" t="s">
        <v>347</v>
      </c>
      <c r="Q3" s="12" t="s">
        <v>37</v>
      </c>
      <c r="R3" s="12" t="s">
        <v>38</v>
      </c>
      <c r="S3" s="10">
        <v>608666164</v>
      </c>
      <c r="T3" s="10" t="s">
        <v>39</v>
      </c>
      <c r="U3" s="141" t="s">
        <v>577</v>
      </c>
      <c r="V3" s="10" t="s">
        <v>41</v>
      </c>
      <c r="W3" s="45">
        <v>4</v>
      </c>
      <c r="X3" s="201" t="s">
        <v>200</v>
      </c>
      <c r="Y3" s="20"/>
      <c r="Z3" s="20"/>
    </row>
    <row r="4" spans="1:26" ht="14.4">
      <c r="A4" s="8">
        <v>3</v>
      </c>
      <c r="B4" s="9" t="s">
        <v>42</v>
      </c>
      <c r="C4" s="9" t="s">
        <v>36</v>
      </c>
      <c r="D4" s="10">
        <v>120</v>
      </c>
      <c r="E4" s="10">
        <v>120</v>
      </c>
      <c r="F4" s="10">
        <v>120</v>
      </c>
      <c r="G4" s="10">
        <v>50</v>
      </c>
      <c r="H4" s="10">
        <v>50</v>
      </c>
      <c r="I4" s="10">
        <v>100</v>
      </c>
      <c r="J4" s="10">
        <v>50</v>
      </c>
      <c r="K4" s="10">
        <v>50</v>
      </c>
      <c r="L4" s="10">
        <v>50</v>
      </c>
      <c r="M4" s="11">
        <v>40316</v>
      </c>
      <c r="N4" s="11">
        <v>40229</v>
      </c>
      <c r="O4" s="11">
        <v>43209</v>
      </c>
      <c r="P4" s="9" t="s">
        <v>136</v>
      </c>
      <c r="Q4" s="12" t="s">
        <v>44</v>
      </c>
      <c r="R4" s="12" t="s">
        <v>45</v>
      </c>
      <c r="S4" s="8">
        <v>608666170</v>
      </c>
      <c r="T4" s="71" t="s">
        <v>46</v>
      </c>
      <c r="U4" s="20" t="s">
        <v>742</v>
      </c>
      <c r="V4" s="56" t="s">
        <v>32</v>
      </c>
      <c r="W4" s="45">
        <v>6</v>
      </c>
      <c r="X4" s="201" t="s">
        <v>412</v>
      </c>
      <c r="Y4" s="20"/>
      <c r="Z4" s="20"/>
    </row>
    <row r="5" spans="1:26" ht="14.4">
      <c r="A5" s="8">
        <v>4</v>
      </c>
      <c r="B5" s="9" t="s">
        <v>141</v>
      </c>
      <c r="C5" s="9" t="s">
        <v>169</v>
      </c>
      <c r="D5" s="10">
        <v>30</v>
      </c>
      <c r="E5" s="10">
        <v>120</v>
      </c>
      <c r="F5" s="10">
        <v>120</v>
      </c>
      <c r="G5" s="10">
        <v>50</v>
      </c>
      <c r="H5" s="10">
        <v>50</v>
      </c>
      <c r="I5" s="10">
        <v>50</v>
      </c>
      <c r="J5" s="10">
        <v>50</v>
      </c>
      <c r="K5" s="10">
        <v>50</v>
      </c>
      <c r="L5" s="10"/>
      <c r="M5" s="11">
        <v>40459</v>
      </c>
      <c r="N5" s="11">
        <v>40460</v>
      </c>
      <c r="O5" s="11">
        <v>42835</v>
      </c>
      <c r="P5" s="9" t="s">
        <v>57</v>
      </c>
      <c r="Q5" s="12" t="s">
        <v>171</v>
      </c>
      <c r="R5" s="12" t="s">
        <v>172</v>
      </c>
      <c r="S5" s="10">
        <v>793406015</v>
      </c>
      <c r="T5" s="58" t="s">
        <v>173</v>
      </c>
      <c r="U5" s="20" t="s">
        <v>579</v>
      </c>
      <c r="V5" s="56" t="s">
        <v>32</v>
      </c>
      <c r="W5" s="45">
        <v>5</v>
      </c>
      <c r="X5" s="202"/>
      <c r="Y5" s="20"/>
      <c r="Z5" s="20"/>
    </row>
    <row r="6" spans="1:26" ht="14.4">
      <c r="A6" s="8">
        <v>5</v>
      </c>
      <c r="B6" s="9" t="s">
        <v>48</v>
      </c>
      <c r="C6" s="9" t="s">
        <v>49</v>
      </c>
      <c r="D6" s="10">
        <v>120</v>
      </c>
      <c r="E6" s="10">
        <v>120</v>
      </c>
      <c r="F6" s="10">
        <v>120</v>
      </c>
      <c r="G6" s="10">
        <v>50</v>
      </c>
      <c r="H6" s="10">
        <v>50</v>
      </c>
      <c r="I6" s="10">
        <v>50</v>
      </c>
      <c r="J6" s="10">
        <v>50</v>
      </c>
      <c r="K6" s="10">
        <v>50</v>
      </c>
      <c r="L6" s="10"/>
      <c r="M6" s="11">
        <v>40316</v>
      </c>
      <c r="N6" s="11">
        <v>40229</v>
      </c>
      <c r="O6" s="11">
        <v>42958</v>
      </c>
      <c r="P6" s="9" t="s">
        <v>43</v>
      </c>
      <c r="Q6" s="12" t="s">
        <v>51</v>
      </c>
      <c r="R6" s="12" t="s">
        <v>52</v>
      </c>
      <c r="S6" s="10">
        <v>601997864</v>
      </c>
      <c r="T6" s="58" t="s">
        <v>32</v>
      </c>
      <c r="U6" s="20" t="s">
        <v>580</v>
      </c>
      <c r="V6" s="56" t="s">
        <v>54</v>
      </c>
      <c r="W6" s="45">
        <v>33</v>
      </c>
      <c r="X6" s="202"/>
      <c r="Y6" s="20"/>
      <c r="Z6" s="20"/>
    </row>
    <row r="7" spans="1:26" ht="14.4">
      <c r="A7" s="8">
        <v>6</v>
      </c>
      <c r="B7" s="9" t="s">
        <v>55</v>
      </c>
      <c r="C7" s="9" t="s">
        <v>56</v>
      </c>
      <c r="D7" s="10">
        <v>60</v>
      </c>
      <c r="E7" s="10">
        <v>60</v>
      </c>
      <c r="F7" s="10">
        <v>60</v>
      </c>
      <c r="G7" s="10">
        <v>50</v>
      </c>
      <c r="H7" s="10">
        <v>50</v>
      </c>
      <c r="I7" s="10">
        <v>50</v>
      </c>
      <c r="J7" s="10">
        <v>50</v>
      </c>
      <c r="K7" s="10">
        <v>50</v>
      </c>
      <c r="L7" s="10"/>
      <c r="M7" s="11">
        <v>40316</v>
      </c>
      <c r="N7" s="11">
        <v>40229</v>
      </c>
      <c r="O7" s="19">
        <v>42986</v>
      </c>
      <c r="P7" s="9" t="s">
        <v>43</v>
      </c>
      <c r="Q7" s="48" t="s">
        <v>581</v>
      </c>
      <c r="R7" s="12" t="s">
        <v>59</v>
      </c>
      <c r="S7" s="10">
        <v>508373904</v>
      </c>
      <c r="T7" s="58" t="s">
        <v>60</v>
      </c>
      <c r="U7" s="104" t="s">
        <v>61</v>
      </c>
      <c r="V7" s="56" t="s">
        <v>62</v>
      </c>
      <c r="W7" s="45">
        <v>19</v>
      </c>
      <c r="X7" s="202"/>
      <c r="Y7" s="20"/>
      <c r="Z7" s="20"/>
    </row>
    <row r="8" spans="1:26" ht="14.4">
      <c r="A8" s="8">
        <v>7</v>
      </c>
      <c r="B8" s="9" t="s">
        <v>55</v>
      </c>
      <c r="C8" s="9" t="s">
        <v>63</v>
      </c>
      <c r="D8" s="10">
        <v>120</v>
      </c>
      <c r="E8" s="10">
        <v>120</v>
      </c>
      <c r="F8" s="10">
        <v>120</v>
      </c>
      <c r="G8" s="10">
        <v>50</v>
      </c>
      <c r="H8" s="10">
        <v>100</v>
      </c>
      <c r="I8" s="10">
        <v>100</v>
      </c>
      <c r="J8" s="10">
        <v>100</v>
      </c>
      <c r="K8" s="10">
        <v>100</v>
      </c>
      <c r="L8" s="10">
        <v>50</v>
      </c>
      <c r="M8" s="11">
        <v>40316</v>
      </c>
      <c r="N8" s="11">
        <v>40229</v>
      </c>
      <c r="O8" s="19">
        <v>43276</v>
      </c>
      <c r="P8" s="28" t="s">
        <v>15</v>
      </c>
      <c r="Q8" s="18" t="s">
        <v>582</v>
      </c>
      <c r="R8" s="108" t="s">
        <v>583</v>
      </c>
      <c r="S8" s="8">
        <v>600118375</v>
      </c>
      <c r="T8" s="8" t="s">
        <v>67</v>
      </c>
      <c r="U8" s="138" t="s">
        <v>68</v>
      </c>
      <c r="V8" s="10" t="s">
        <v>32</v>
      </c>
      <c r="W8" s="45">
        <v>8</v>
      </c>
      <c r="X8" s="201" t="s">
        <v>412</v>
      </c>
      <c r="Y8" s="20"/>
      <c r="Z8" s="20"/>
    </row>
    <row r="9" spans="1:26" ht="14.4">
      <c r="A9" s="8">
        <v>8</v>
      </c>
      <c r="B9" s="9" t="s">
        <v>42</v>
      </c>
      <c r="C9" s="9" t="s">
        <v>69</v>
      </c>
      <c r="D9" s="10">
        <v>120</v>
      </c>
      <c r="E9" s="10">
        <v>150</v>
      </c>
      <c r="F9" s="10">
        <v>120</v>
      </c>
      <c r="G9" s="10">
        <v>50</v>
      </c>
      <c r="H9" s="10">
        <v>50</v>
      </c>
      <c r="I9" s="10">
        <v>50</v>
      </c>
      <c r="J9" s="10">
        <v>50</v>
      </c>
      <c r="K9" s="10">
        <v>50</v>
      </c>
      <c r="L9" s="10">
        <v>50</v>
      </c>
      <c r="M9" s="11">
        <v>40316</v>
      </c>
      <c r="N9" s="11">
        <v>40229</v>
      </c>
      <c r="O9" s="11">
        <v>42738</v>
      </c>
      <c r="P9" s="9" t="s">
        <v>110</v>
      </c>
      <c r="Q9" s="25" t="s">
        <v>71</v>
      </c>
      <c r="R9" s="12" t="s">
        <v>72</v>
      </c>
      <c r="S9" s="10">
        <v>603628256</v>
      </c>
      <c r="T9" s="10" t="s">
        <v>73</v>
      </c>
      <c r="U9" s="45" t="s">
        <v>74</v>
      </c>
      <c r="V9" s="10" t="s">
        <v>75</v>
      </c>
      <c r="W9" s="45">
        <v>7</v>
      </c>
      <c r="X9" s="201" t="s">
        <v>200</v>
      </c>
      <c r="Y9" s="20"/>
      <c r="Z9" s="20"/>
    </row>
    <row r="10" spans="1:26" ht="14.4">
      <c r="A10" s="8">
        <v>9</v>
      </c>
      <c r="B10" s="9" t="s">
        <v>88</v>
      </c>
      <c r="C10" s="9" t="s">
        <v>89</v>
      </c>
      <c r="D10" s="10">
        <v>120</v>
      </c>
      <c r="E10" s="10">
        <v>120</v>
      </c>
      <c r="F10" s="10">
        <v>120</v>
      </c>
      <c r="G10" s="10">
        <v>50</v>
      </c>
      <c r="H10" s="10">
        <v>200</v>
      </c>
      <c r="I10" s="10">
        <v>100</v>
      </c>
      <c r="J10" s="10">
        <v>100</v>
      </c>
      <c r="K10" s="10">
        <v>200</v>
      </c>
      <c r="L10" s="10">
        <v>200</v>
      </c>
      <c r="M10" s="11">
        <v>40316</v>
      </c>
      <c r="N10" s="11">
        <v>40229</v>
      </c>
      <c r="O10" s="67">
        <v>43216</v>
      </c>
      <c r="P10" s="28" t="s">
        <v>43</v>
      </c>
      <c r="Q10" s="10" t="s">
        <v>90</v>
      </c>
      <c r="R10" s="57" t="s">
        <v>91</v>
      </c>
      <c r="S10" s="10" t="s">
        <v>584</v>
      </c>
      <c r="T10" s="10" t="s">
        <v>92</v>
      </c>
      <c r="U10" s="141" t="s">
        <v>585</v>
      </c>
      <c r="V10" s="10">
        <v>48223783633</v>
      </c>
      <c r="W10" s="45">
        <v>10</v>
      </c>
      <c r="X10" s="202"/>
      <c r="Y10" s="20"/>
      <c r="Z10" s="20"/>
    </row>
    <row r="11" spans="1:26" ht="14.4">
      <c r="A11" s="8">
        <v>10</v>
      </c>
      <c r="B11" s="9" t="s">
        <v>94</v>
      </c>
      <c r="C11" s="9" t="s">
        <v>95</v>
      </c>
      <c r="D11" s="10">
        <v>60</v>
      </c>
      <c r="E11" s="10">
        <v>60</v>
      </c>
      <c r="F11" s="10">
        <v>120</v>
      </c>
      <c r="G11" s="10">
        <v>50</v>
      </c>
      <c r="H11" s="10">
        <v>50</v>
      </c>
      <c r="I11" s="10">
        <v>50</v>
      </c>
      <c r="J11" s="10">
        <v>50</v>
      </c>
      <c r="K11" s="10">
        <v>50</v>
      </c>
      <c r="L11" s="10">
        <v>50</v>
      </c>
      <c r="M11" s="11">
        <v>40316</v>
      </c>
      <c r="N11" s="11">
        <v>40229</v>
      </c>
      <c r="O11" s="11">
        <v>43217</v>
      </c>
      <c r="P11" s="9" t="s">
        <v>578</v>
      </c>
      <c r="Q11" s="27" t="s">
        <v>96</v>
      </c>
      <c r="R11" s="12" t="s">
        <v>97</v>
      </c>
      <c r="S11" s="10">
        <v>514474608</v>
      </c>
      <c r="T11" s="10" t="s">
        <v>98</v>
      </c>
      <c r="U11" s="45" t="s">
        <v>99</v>
      </c>
      <c r="V11" s="10" t="s">
        <v>100</v>
      </c>
      <c r="W11" s="45">
        <v>9</v>
      </c>
      <c r="X11" s="201" t="s">
        <v>686</v>
      </c>
      <c r="Y11" s="20"/>
      <c r="Z11" s="20"/>
    </row>
    <row r="12" spans="1:26" ht="14.4">
      <c r="A12" s="8">
        <v>11</v>
      </c>
      <c r="B12" s="9" t="s">
        <v>101</v>
      </c>
      <c r="C12" s="9" t="s">
        <v>102</v>
      </c>
      <c r="D12" s="10">
        <v>120</v>
      </c>
      <c r="E12" s="10">
        <v>120</v>
      </c>
      <c r="F12" s="10">
        <v>120</v>
      </c>
      <c r="G12" s="10">
        <v>120</v>
      </c>
      <c r="H12" s="10">
        <v>100</v>
      </c>
      <c r="I12" s="10">
        <v>100</v>
      </c>
      <c r="J12" s="10">
        <v>100</v>
      </c>
      <c r="K12" s="10">
        <v>100</v>
      </c>
      <c r="L12" s="10">
        <v>100</v>
      </c>
      <c r="M12" s="11">
        <v>40316</v>
      </c>
      <c r="N12" s="11">
        <v>40229</v>
      </c>
      <c r="O12" s="11">
        <v>43070</v>
      </c>
      <c r="P12" s="9" t="s">
        <v>50</v>
      </c>
      <c r="Q12" s="12" t="s">
        <v>103</v>
      </c>
      <c r="R12" s="12" t="s">
        <v>104</v>
      </c>
      <c r="S12" s="10">
        <v>501228703</v>
      </c>
      <c r="T12" s="10" t="s">
        <v>105</v>
      </c>
      <c r="U12" s="43" t="s">
        <v>106</v>
      </c>
      <c r="V12" s="10" t="s">
        <v>107</v>
      </c>
      <c r="W12" s="45">
        <v>21</v>
      </c>
      <c r="X12" s="201" t="s">
        <v>200</v>
      </c>
      <c r="Y12" s="20"/>
      <c r="Z12" s="20"/>
    </row>
    <row r="13" spans="1:26" ht="14.4">
      <c r="A13" s="8">
        <v>12</v>
      </c>
      <c r="B13" s="9" t="s">
        <v>188</v>
      </c>
      <c r="C13" s="9" t="s">
        <v>223</v>
      </c>
      <c r="D13" s="149"/>
      <c r="E13" s="10">
        <v>120</v>
      </c>
      <c r="F13" s="10">
        <v>120</v>
      </c>
      <c r="G13" s="10">
        <v>50</v>
      </c>
      <c r="H13" s="10"/>
      <c r="I13" s="10">
        <v>50</v>
      </c>
      <c r="J13" s="58">
        <v>50</v>
      </c>
      <c r="K13" s="10"/>
      <c r="L13" s="10">
        <v>50</v>
      </c>
      <c r="M13" s="190">
        <v>40530</v>
      </c>
      <c r="N13" s="11">
        <v>40676</v>
      </c>
      <c r="O13" s="11">
        <v>43147</v>
      </c>
      <c r="P13" s="9" t="s">
        <v>170</v>
      </c>
      <c r="Q13" s="8" t="s">
        <v>224</v>
      </c>
      <c r="R13" s="12" t="s">
        <v>225</v>
      </c>
      <c r="S13" s="10">
        <v>793258511</v>
      </c>
      <c r="T13" s="10" t="s">
        <v>226</v>
      </c>
      <c r="U13" s="45" t="s">
        <v>227</v>
      </c>
      <c r="V13" s="10">
        <v>413003499</v>
      </c>
      <c r="W13" s="45">
        <v>22</v>
      </c>
      <c r="X13" s="201" t="s">
        <v>200</v>
      </c>
      <c r="Y13" s="20"/>
      <c r="Z13" s="20"/>
    </row>
    <row r="14" spans="1:26" ht="14.4">
      <c r="A14" s="8">
        <v>13</v>
      </c>
      <c r="B14" s="9" t="s">
        <v>194</v>
      </c>
      <c r="C14" s="9" t="s">
        <v>234</v>
      </c>
      <c r="D14" s="149"/>
      <c r="E14" s="10">
        <v>30</v>
      </c>
      <c r="F14" s="10">
        <v>60</v>
      </c>
      <c r="G14" s="10">
        <v>50</v>
      </c>
      <c r="H14" s="10">
        <v>50</v>
      </c>
      <c r="I14" s="10"/>
      <c r="J14" s="10">
        <v>50</v>
      </c>
      <c r="K14" s="10"/>
      <c r="L14" s="10">
        <v>50</v>
      </c>
      <c r="M14" s="11">
        <v>40698</v>
      </c>
      <c r="N14" s="11">
        <v>40707</v>
      </c>
      <c r="O14" s="11">
        <v>43395</v>
      </c>
      <c r="P14" s="9" t="s">
        <v>575</v>
      </c>
      <c r="Q14" s="8" t="s">
        <v>235</v>
      </c>
      <c r="R14" s="12" t="s">
        <v>236</v>
      </c>
      <c r="S14" s="191">
        <v>519386163</v>
      </c>
      <c r="T14" s="10"/>
      <c r="U14" s="45" t="s">
        <v>238</v>
      </c>
      <c r="V14" s="10"/>
      <c r="W14" s="45">
        <v>45</v>
      </c>
      <c r="X14" s="201" t="s">
        <v>200</v>
      </c>
      <c r="Y14" s="20"/>
      <c r="Z14" s="20"/>
    </row>
    <row r="15" spans="1:26" ht="14.4">
      <c r="A15" s="8">
        <v>14</v>
      </c>
      <c r="B15" s="9" t="s">
        <v>217</v>
      </c>
      <c r="C15" s="9" t="s">
        <v>116</v>
      </c>
      <c r="D15" s="149"/>
      <c r="E15" s="10">
        <v>20</v>
      </c>
      <c r="F15" s="10">
        <v>100</v>
      </c>
      <c r="G15" s="10">
        <v>150</v>
      </c>
      <c r="H15" s="10">
        <v>50</v>
      </c>
      <c r="I15" s="10">
        <v>50</v>
      </c>
      <c r="J15" s="10">
        <v>150</v>
      </c>
      <c r="K15" s="10"/>
      <c r="L15" s="10"/>
      <c r="M15" s="11">
        <v>40847</v>
      </c>
      <c r="N15" s="11" t="s">
        <v>331</v>
      </c>
      <c r="O15" s="11">
        <v>42500</v>
      </c>
      <c r="P15" s="9" t="s">
        <v>170</v>
      </c>
      <c r="Q15" s="8" t="s">
        <v>332</v>
      </c>
      <c r="R15" s="12" t="s">
        <v>333</v>
      </c>
      <c r="S15" s="10">
        <v>504377500</v>
      </c>
      <c r="T15" s="10"/>
      <c r="U15" s="45" t="s">
        <v>334</v>
      </c>
      <c r="V15" s="10"/>
      <c r="W15" s="45">
        <v>61</v>
      </c>
      <c r="X15" s="202"/>
      <c r="Y15" s="20"/>
      <c r="Z15" s="20"/>
    </row>
    <row r="16" spans="1:26" ht="14.4">
      <c r="A16" s="8">
        <v>15</v>
      </c>
      <c r="B16" s="9" t="s">
        <v>340</v>
      </c>
      <c r="C16" s="9" t="s">
        <v>341</v>
      </c>
      <c r="D16" s="149"/>
      <c r="E16" s="149"/>
      <c r="F16" s="10">
        <v>120</v>
      </c>
      <c r="G16" s="10">
        <v>50</v>
      </c>
      <c r="H16" s="10">
        <v>50</v>
      </c>
      <c r="I16" s="10">
        <v>50</v>
      </c>
      <c r="J16" s="10">
        <v>50</v>
      </c>
      <c r="K16" s="10">
        <v>50</v>
      </c>
      <c r="L16" s="10"/>
      <c r="M16" s="11">
        <v>40949</v>
      </c>
      <c r="N16" s="11">
        <v>40953</v>
      </c>
      <c r="O16" s="19">
        <v>42786</v>
      </c>
      <c r="P16" s="28" t="s">
        <v>170</v>
      </c>
      <c r="Q16" s="10" t="s">
        <v>342</v>
      </c>
      <c r="R16" s="10" t="s">
        <v>343</v>
      </c>
      <c r="S16" s="10">
        <v>660749160</v>
      </c>
      <c r="T16" s="55"/>
      <c r="U16" s="54" t="s">
        <v>344</v>
      </c>
      <c r="V16" s="56"/>
      <c r="W16" s="45">
        <v>67</v>
      </c>
      <c r="X16" s="202"/>
      <c r="Y16" s="20"/>
      <c r="Z16" s="20"/>
    </row>
    <row r="17" spans="1:26" ht="14.4">
      <c r="A17" s="8">
        <v>16</v>
      </c>
      <c r="B17" s="104" t="s">
        <v>401</v>
      </c>
      <c r="C17" s="95" t="s">
        <v>402</v>
      </c>
      <c r="D17" s="149"/>
      <c r="E17" s="149"/>
      <c r="F17" s="18">
        <v>25</v>
      </c>
      <c r="G17" s="18">
        <v>50</v>
      </c>
      <c r="H17" s="18">
        <v>50</v>
      </c>
      <c r="I17" s="10">
        <v>50</v>
      </c>
      <c r="J17" s="63">
        <v>50</v>
      </c>
      <c r="K17" s="10">
        <v>50</v>
      </c>
      <c r="L17" s="10">
        <v>50</v>
      </c>
      <c r="M17" s="176">
        <v>41137</v>
      </c>
      <c r="N17" s="99">
        <v>41137</v>
      </c>
      <c r="O17" s="99">
        <v>43136</v>
      </c>
      <c r="P17" s="9" t="s">
        <v>687</v>
      </c>
      <c r="Q17" s="91" t="s">
        <v>403</v>
      </c>
      <c r="R17" s="91" t="s">
        <v>404</v>
      </c>
      <c r="S17" s="18">
        <v>784918776</v>
      </c>
      <c r="T17" s="101" t="s">
        <v>405</v>
      </c>
      <c r="U17" s="104" t="s">
        <v>406</v>
      </c>
      <c r="V17" s="152"/>
      <c r="W17" s="104">
        <v>73</v>
      </c>
      <c r="X17" s="201" t="s">
        <v>200</v>
      </c>
      <c r="Y17" s="20"/>
      <c r="Z17" s="20"/>
    </row>
    <row r="18" spans="1:26" ht="14.4">
      <c r="A18" s="8">
        <v>17</v>
      </c>
      <c r="B18" s="104" t="s">
        <v>429</v>
      </c>
      <c r="C18" s="104" t="s">
        <v>430</v>
      </c>
      <c r="D18" s="154"/>
      <c r="E18" s="154"/>
      <c r="F18" s="154"/>
      <c r="G18" s="18">
        <v>50</v>
      </c>
      <c r="H18" s="18">
        <v>50</v>
      </c>
      <c r="I18" s="58">
        <v>50</v>
      </c>
      <c r="J18" s="58"/>
      <c r="K18" s="10"/>
      <c r="L18" s="56">
        <v>50</v>
      </c>
      <c r="M18" s="176">
        <v>41349</v>
      </c>
      <c r="N18" s="99">
        <v>41354</v>
      </c>
      <c r="O18" s="99">
        <v>43187</v>
      </c>
      <c r="P18" s="9" t="s">
        <v>170</v>
      </c>
      <c r="Q18" s="18" t="s">
        <v>595</v>
      </c>
      <c r="R18" s="18" t="s">
        <v>596</v>
      </c>
      <c r="S18" s="18">
        <v>512180992</v>
      </c>
      <c r="T18" s="105"/>
      <c r="U18" s="104" t="s">
        <v>433</v>
      </c>
      <c r="V18" s="102"/>
      <c r="W18" s="156">
        <v>79</v>
      </c>
      <c r="X18" s="203"/>
      <c r="Y18" s="20"/>
      <c r="Z18" s="20" t="s">
        <v>823</v>
      </c>
    </row>
    <row r="19" spans="1:26" ht="14.4">
      <c r="A19" s="8">
        <v>18</v>
      </c>
      <c r="B19" s="104" t="s">
        <v>438</v>
      </c>
      <c r="C19" s="104" t="s">
        <v>95</v>
      </c>
      <c r="D19" s="154"/>
      <c r="E19" s="154"/>
      <c r="F19" s="154"/>
      <c r="G19" s="18">
        <v>50</v>
      </c>
      <c r="H19" s="18">
        <v>50</v>
      </c>
      <c r="I19" s="101">
        <v>50</v>
      </c>
      <c r="J19" s="18">
        <v>50</v>
      </c>
      <c r="K19" s="152">
        <v>50</v>
      </c>
      <c r="L19" s="152">
        <v>50</v>
      </c>
      <c r="M19" s="177">
        <v>41352</v>
      </c>
      <c r="N19" s="99">
        <v>41358</v>
      </c>
      <c r="O19" s="11">
        <v>43217</v>
      </c>
      <c r="P19" s="9" t="s">
        <v>170</v>
      </c>
      <c r="Q19" s="18" t="s">
        <v>439</v>
      </c>
      <c r="R19" s="18" t="s">
        <v>97</v>
      </c>
      <c r="S19" s="18">
        <v>510639087</v>
      </c>
      <c r="T19" s="105"/>
      <c r="U19" s="104" t="s">
        <v>440</v>
      </c>
      <c r="V19" s="102"/>
      <c r="W19" s="156">
        <v>82</v>
      </c>
      <c r="X19" s="203"/>
      <c r="Y19" s="20"/>
      <c r="Z19" s="20"/>
    </row>
    <row r="20" spans="1:26" ht="14.4">
      <c r="A20" s="8">
        <v>19</v>
      </c>
      <c r="B20" s="104" t="s">
        <v>441</v>
      </c>
      <c r="C20" s="104" t="s">
        <v>442</v>
      </c>
      <c r="D20" s="154"/>
      <c r="E20" s="154"/>
      <c r="F20" s="154"/>
      <c r="G20" s="18">
        <v>50</v>
      </c>
      <c r="H20" s="18">
        <v>50</v>
      </c>
      <c r="I20" s="101">
        <v>50</v>
      </c>
      <c r="J20" s="18">
        <v>100</v>
      </c>
      <c r="K20" s="152">
        <v>100</v>
      </c>
      <c r="L20" s="152">
        <v>50</v>
      </c>
      <c r="M20" s="177">
        <v>41354</v>
      </c>
      <c r="N20" s="99">
        <v>41354</v>
      </c>
      <c r="O20" s="99">
        <v>43452</v>
      </c>
      <c r="P20" s="9" t="s">
        <v>170</v>
      </c>
      <c r="Q20" s="18" t="s">
        <v>443</v>
      </c>
      <c r="R20" s="18" t="s">
        <v>444</v>
      </c>
      <c r="S20" s="18">
        <v>607777011</v>
      </c>
      <c r="T20" s="105"/>
      <c r="U20" s="104" t="s">
        <v>445</v>
      </c>
      <c r="V20" s="102"/>
      <c r="W20" s="156">
        <v>83</v>
      </c>
      <c r="X20" s="201" t="s">
        <v>412</v>
      </c>
      <c r="Y20" s="20"/>
      <c r="Z20" s="20"/>
    </row>
    <row r="21" spans="1:26" ht="15.75" customHeight="1">
      <c r="A21" s="8">
        <v>20</v>
      </c>
      <c r="B21" s="104" t="s">
        <v>134</v>
      </c>
      <c r="C21" s="104" t="s">
        <v>461</v>
      </c>
      <c r="D21" s="159"/>
      <c r="E21" s="159"/>
      <c r="F21" s="159"/>
      <c r="G21" s="18">
        <v>50</v>
      </c>
      <c r="H21" s="18">
        <v>50</v>
      </c>
      <c r="I21" s="101">
        <v>50</v>
      </c>
      <c r="J21" s="18">
        <v>50</v>
      </c>
      <c r="K21" s="152">
        <v>50</v>
      </c>
      <c r="L21" s="152">
        <v>50</v>
      </c>
      <c r="M21" s="176">
        <v>41407</v>
      </c>
      <c r="N21" s="99">
        <v>41404</v>
      </c>
      <c r="O21" s="99">
        <v>43283</v>
      </c>
      <c r="P21" s="9" t="s">
        <v>170</v>
      </c>
      <c r="Q21" s="18" t="s">
        <v>462</v>
      </c>
      <c r="R21" s="18" t="s">
        <v>463</v>
      </c>
      <c r="S21" s="104"/>
      <c r="T21" s="105"/>
      <c r="U21" s="104" t="s">
        <v>464</v>
      </c>
      <c r="V21" s="102"/>
      <c r="W21" s="156">
        <v>88</v>
      </c>
      <c r="X21" s="201" t="s">
        <v>412</v>
      </c>
      <c r="Y21" s="20"/>
      <c r="Z21" s="20"/>
    </row>
    <row r="22" spans="1:26" ht="15.75" customHeight="1">
      <c r="A22" s="8">
        <v>21</v>
      </c>
      <c r="B22" s="104" t="s">
        <v>492</v>
      </c>
      <c r="C22" s="104" t="s">
        <v>493</v>
      </c>
      <c r="D22" s="159"/>
      <c r="E22" s="159"/>
      <c r="F22" s="159"/>
      <c r="G22" s="18">
        <v>50</v>
      </c>
      <c r="H22" s="18">
        <v>50</v>
      </c>
      <c r="I22" s="58">
        <v>50</v>
      </c>
      <c r="J22" s="10">
        <v>50</v>
      </c>
      <c r="K22" s="56">
        <v>50</v>
      </c>
      <c r="L22" s="56">
        <v>50</v>
      </c>
      <c r="M22" s="176">
        <v>41598</v>
      </c>
      <c r="N22" s="99">
        <v>41599</v>
      </c>
      <c r="O22" s="99">
        <v>43143</v>
      </c>
      <c r="P22" s="9" t="s">
        <v>170</v>
      </c>
      <c r="Q22" s="112" t="s">
        <v>494</v>
      </c>
      <c r="R22" s="112" t="s">
        <v>495</v>
      </c>
      <c r="S22" s="112">
        <v>692434393</v>
      </c>
      <c r="T22" s="105"/>
      <c r="U22" s="104" t="s">
        <v>496</v>
      </c>
      <c r="V22" s="102"/>
      <c r="W22" s="162">
        <v>95</v>
      </c>
      <c r="X22" s="203"/>
      <c r="Y22" s="20"/>
      <c r="Z22" s="20"/>
    </row>
    <row r="23" spans="1:26" ht="15.75" customHeight="1">
      <c r="A23" s="8">
        <v>22</v>
      </c>
      <c r="B23" s="104" t="s">
        <v>543</v>
      </c>
      <c r="C23" s="104" t="s">
        <v>544</v>
      </c>
      <c r="D23" s="159"/>
      <c r="E23" s="159"/>
      <c r="F23" s="159"/>
      <c r="G23" s="159"/>
      <c r="H23" s="18">
        <v>50</v>
      </c>
      <c r="I23" s="58">
        <v>50</v>
      </c>
      <c r="J23" s="10"/>
      <c r="K23" s="56">
        <v>50</v>
      </c>
      <c r="L23" s="56"/>
      <c r="M23" s="176">
        <v>41871</v>
      </c>
      <c r="N23" s="99">
        <v>41871</v>
      </c>
      <c r="O23" s="99">
        <v>42821</v>
      </c>
      <c r="P23" s="9" t="s">
        <v>170</v>
      </c>
      <c r="Q23" s="39" t="s">
        <v>605</v>
      </c>
      <c r="R23" s="39" t="s">
        <v>606</v>
      </c>
      <c r="S23" s="18">
        <v>604254331</v>
      </c>
      <c r="T23" s="39" t="s">
        <v>607</v>
      </c>
      <c r="U23" s="104" t="s">
        <v>547</v>
      </c>
      <c r="V23" s="104"/>
      <c r="W23" s="104">
        <v>107</v>
      </c>
      <c r="X23" s="203"/>
      <c r="Y23" s="20" t="s">
        <v>743</v>
      </c>
      <c r="Z23" s="20"/>
    </row>
    <row r="24" spans="1:26" ht="15.75" customHeight="1">
      <c r="A24" s="8">
        <v>23</v>
      </c>
      <c r="B24" s="104" t="s">
        <v>688</v>
      </c>
      <c r="C24" s="104" t="s">
        <v>569</v>
      </c>
      <c r="D24" s="159"/>
      <c r="E24" s="159"/>
      <c r="F24" s="159"/>
      <c r="G24" s="159"/>
      <c r="H24" s="18">
        <v>50</v>
      </c>
      <c r="I24" s="101">
        <v>50</v>
      </c>
      <c r="J24" s="18">
        <v>50</v>
      </c>
      <c r="K24" s="152">
        <v>50</v>
      </c>
      <c r="L24" s="152"/>
      <c r="M24" s="176">
        <v>41982</v>
      </c>
      <c r="N24" s="99">
        <v>41997</v>
      </c>
      <c r="O24" s="99">
        <v>43009</v>
      </c>
      <c r="P24" s="18" t="s">
        <v>689</v>
      </c>
      <c r="Q24" s="18" t="s">
        <v>570</v>
      </c>
      <c r="R24" s="18" t="s">
        <v>571</v>
      </c>
      <c r="S24" s="18">
        <v>783419327</v>
      </c>
      <c r="T24" s="104"/>
      <c r="U24" s="7" t="s">
        <v>572</v>
      </c>
      <c r="V24" s="104"/>
      <c r="W24" s="104">
        <v>113</v>
      </c>
      <c r="X24" s="203"/>
      <c r="Y24" s="20"/>
      <c r="Z24" s="20"/>
    </row>
    <row r="25" spans="1:26" ht="15.75" customHeight="1">
      <c r="A25" s="8">
        <v>24</v>
      </c>
      <c r="B25" s="104" t="s">
        <v>481</v>
      </c>
      <c r="C25" s="104" t="s">
        <v>613</v>
      </c>
      <c r="D25" s="159"/>
      <c r="E25" s="159"/>
      <c r="F25" s="159"/>
      <c r="G25" s="159"/>
      <c r="H25" s="159"/>
      <c r="I25" s="101">
        <v>50</v>
      </c>
      <c r="J25" s="18">
        <v>100</v>
      </c>
      <c r="K25" s="152"/>
      <c r="L25" s="152">
        <v>50</v>
      </c>
      <c r="M25" s="176">
        <v>42024</v>
      </c>
      <c r="N25" s="99">
        <v>42024</v>
      </c>
      <c r="O25" s="99">
        <v>43102</v>
      </c>
      <c r="P25" s="9" t="s">
        <v>170</v>
      </c>
      <c r="Q25" s="167" t="s">
        <v>614</v>
      </c>
      <c r="R25" s="18" t="s">
        <v>615</v>
      </c>
      <c r="S25" s="18">
        <v>698088272</v>
      </c>
      <c r="T25" s="104" t="s">
        <v>616</v>
      </c>
      <c r="U25" s="104" t="s">
        <v>617</v>
      </c>
      <c r="V25" s="104"/>
      <c r="W25" s="104">
        <v>115</v>
      </c>
      <c r="X25" s="203"/>
      <c r="Y25" s="20"/>
      <c r="Z25" s="20"/>
    </row>
    <row r="26" spans="1:26" ht="15.75" customHeight="1">
      <c r="A26" s="8">
        <v>25</v>
      </c>
      <c r="B26" s="104" t="s">
        <v>108</v>
      </c>
      <c r="C26" s="104" t="s">
        <v>544</v>
      </c>
      <c r="D26" s="159"/>
      <c r="E26" s="159"/>
      <c r="F26" s="159"/>
      <c r="G26" s="159"/>
      <c r="H26" s="159"/>
      <c r="I26" s="101">
        <v>50</v>
      </c>
      <c r="J26" s="18">
        <v>50</v>
      </c>
      <c r="K26" s="152">
        <v>50</v>
      </c>
      <c r="L26" s="152">
        <v>50</v>
      </c>
      <c r="M26" s="179"/>
      <c r="N26" s="169">
        <v>42165</v>
      </c>
      <c r="O26" s="169">
        <v>43395</v>
      </c>
      <c r="P26" s="9" t="s">
        <v>170</v>
      </c>
      <c r="Q26" s="167" t="s">
        <v>643</v>
      </c>
      <c r="R26" s="18" t="s">
        <v>644</v>
      </c>
      <c r="S26" s="20"/>
      <c r="T26" s="20"/>
      <c r="U26" s="20"/>
      <c r="V26" s="20"/>
      <c r="W26" s="20">
        <v>119</v>
      </c>
      <c r="X26" s="204"/>
      <c r="Y26" s="20"/>
      <c r="Z26" s="20"/>
    </row>
    <row r="27" spans="1:26" ht="15.75" customHeight="1">
      <c r="A27" s="8">
        <v>26</v>
      </c>
      <c r="B27" s="104" t="s">
        <v>701</v>
      </c>
      <c r="C27" s="104" t="s">
        <v>702</v>
      </c>
      <c r="D27" s="159"/>
      <c r="E27" s="159"/>
      <c r="F27" s="159"/>
      <c r="G27" s="159"/>
      <c r="H27" s="159"/>
      <c r="I27" s="159"/>
      <c r="J27" s="18">
        <v>50</v>
      </c>
      <c r="K27" s="18">
        <v>50</v>
      </c>
      <c r="L27" s="18">
        <v>50</v>
      </c>
      <c r="M27" s="169">
        <v>42429</v>
      </c>
      <c r="N27" s="169">
        <v>42429</v>
      </c>
      <c r="O27" s="169">
        <v>43213</v>
      </c>
      <c r="P27" s="20" t="s">
        <v>170</v>
      </c>
      <c r="Q27" s="167" t="s">
        <v>744</v>
      </c>
      <c r="R27" s="167" t="s">
        <v>745</v>
      </c>
      <c r="S27" s="181">
        <v>600294958</v>
      </c>
      <c r="T27" s="20"/>
      <c r="U27" s="20" t="s">
        <v>705</v>
      </c>
      <c r="V27" s="20"/>
      <c r="W27" s="20">
        <v>130</v>
      </c>
      <c r="X27" s="204"/>
      <c r="Y27" s="20"/>
      <c r="Z27" s="20"/>
    </row>
    <row r="28" spans="1:26" ht="15.75" customHeight="1">
      <c r="A28" s="8">
        <v>27</v>
      </c>
      <c r="B28" s="17" t="s">
        <v>239</v>
      </c>
      <c r="C28" s="17" t="s">
        <v>305</v>
      </c>
      <c r="D28" s="59"/>
      <c r="E28" s="26">
        <v>30</v>
      </c>
      <c r="F28" s="63"/>
      <c r="G28" s="97"/>
      <c r="H28" s="97"/>
      <c r="I28" s="97"/>
      <c r="J28" s="97"/>
      <c r="K28" s="97">
        <v>50</v>
      </c>
      <c r="L28" s="97"/>
      <c r="M28" s="192">
        <v>40748</v>
      </c>
      <c r="N28" s="193">
        <v>40788</v>
      </c>
      <c r="O28" s="107">
        <v>42737</v>
      </c>
      <c r="P28" s="194" t="s">
        <v>170</v>
      </c>
      <c r="Q28" s="47" t="s">
        <v>306</v>
      </c>
      <c r="R28" s="164" t="s">
        <v>307</v>
      </c>
      <c r="S28" s="39">
        <v>737767704</v>
      </c>
      <c r="T28" s="63" t="s">
        <v>308</v>
      </c>
      <c r="U28" s="20" t="s">
        <v>750</v>
      </c>
      <c r="V28" s="64"/>
      <c r="W28" s="195">
        <v>60</v>
      </c>
      <c r="X28" s="63"/>
      <c r="Y28" s="104"/>
      <c r="Z28" s="104"/>
    </row>
    <row r="29" spans="1:26" ht="15.75" customHeight="1">
      <c r="A29" s="8">
        <v>28</v>
      </c>
      <c r="B29" s="104" t="s">
        <v>217</v>
      </c>
      <c r="C29" s="104" t="s">
        <v>671</v>
      </c>
      <c r="D29" s="159"/>
      <c r="E29" s="159"/>
      <c r="F29" s="159"/>
      <c r="G29" s="159"/>
      <c r="H29" s="159"/>
      <c r="I29" s="159"/>
      <c r="J29" s="159"/>
      <c r="K29" s="20">
        <v>50</v>
      </c>
      <c r="L29" s="20">
        <v>50</v>
      </c>
      <c r="M29" s="169">
        <v>42744</v>
      </c>
      <c r="N29" s="169">
        <v>42744</v>
      </c>
      <c r="O29" s="169">
        <v>42744</v>
      </c>
      <c r="P29" s="9" t="s">
        <v>170</v>
      </c>
      <c r="Q29" s="135" t="s">
        <v>751</v>
      </c>
      <c r="R29" s="135" t="s">
        <v>752</v>
      </c>
      <c r="S29" s="196">
        <v>663912988</v>
      </c>
      <c r="T29" s="20"/>
      <c r="U29" s="20" t="s">
        <v>753</v>
      </c>
      <c r="V29" s="20"/>
      <c r="W29" s="20">
        <v>140</v>
      </c>
      <c r="X29" s="204"/>
      <c r="Y29" s="20"/>
      <c r="Z29" s="20"/>
    </row>
    <row r="30" spans="1:26" ht="15.75" customHeight="1">
      <c r="A30" s="8">
        <v>29</v>
      </c>
      <c r="B30" s="97" t="s">
        <v>754</v>
      </c>
      <c r="C30" s="183" t="s">
        <v>755</v>
      </c>
      <c r="D30" s="163"/>
      <c r="E30" s="163"/>
      <c r="F30" s="163"/>
      <c r="G30" s="163"/>
      <c r="H30" s="163"/>
      <c r="I30" s="163"/>
      <c r="J30" s="163"/>
      <c r="K30" s="183">
        <v>50</v>
      </c>
      <c r="L30" s="183"/>
      <c r="M30" s="182">
        <v>42769</v>
      </c>
      <c r="N30" s="182">
        <v>42769</v>
      </c>
      <c r="O30" s="182">
        <v>42769</v>
      </c>
      <c r="P30" s="17" t="s">
        <v>170</v>
      </c>
      <c r="Q30" s="197" t="s">
        <v>756</v>
      </c>
      <c r="R30" s="197" t="s">
        <v>757</v>
      </c>
      <c r="S30" s="198">
        <v>696453314</v>
      </c>
      <c r="T30" s="183"/>
      <c r="U30" s="183" t="s">
        <v>758</v>
      </c>
      <c r="V30" s="183"/>
      <c r="W30" s="183">
        <v>141</v>
      </c>
      <c r="X30" s="205"/>
      <c r="Y30" s="20"/>
      <c r="Z30" s="20"/>
    </row>
    <row r="31" spans="1:26" ht="15.75" customHeight="1">
      <c r="A31" s="8">
        <v>30</v>
      </c>
      <c r="B31" s="104" t="s">
        <v>759</v>
      </c>
      <c r="C31" s="20" t="s">
        <v>760</v>
      </c>
      <c r="D31" s="159"/>
      <c r="E31" s="159"/>
      <c r="F31" s="159"/>
      <c r="G31" s="159"/>
      <c r="H31" s="159"/>
      <c r="I31" s="159"/>
      <c r="J31" s="159"/>
      <c r="K31" s="20">
        <v>50</v>
      </c>
      <c r="L31" s="20"/>
      <c r="M31" s="169">
        <v>42760</v>
      </c>
      <c r="N31" s="169">
        <v>42780</v>
      </c>
      <c r="O31" s="169">
        <v>42780</v>
      </c>
      <c r="P31" s="9" t="s">
        <v>170</v>
      </c>
      <c r="Q31" s="167" t="s">
        <v>761</v>
      </c>
      <c r="R31" s="167" t="s">
        <v>762</v>
      </c>
      <c r="S31" s="186">
        <v>781111843</v>
      </c>
      <c r="T31" s="20" t="s">
        <v>763</v>
      </c>
      <c r="U31" s="20" t="s">
        <v>764</v>
      </c>
      <c r="V31" s="20"/>
      <c r="W31" s="20">
        <v>142</v>
      </c>
      <c r="X31" s="204"/>
      <c r="Y31" s="20" t="s">
        <v>765</v>
      </c>
      <c r="Z31" s="20"/>
    </row>
    <row r="32" spans="1:26" ht="15.75" customHeight="1">
      <c r="A32" s="8">
        <v>31</v>
      </c>
      <c r="B32" s="104" t="s">
        <v>212</v>
      </c>
      <c r="C32" s="20" t="s">
        <v>766</v>
      </c>
      <c r="D32" s="159"/>
      <c r="E32" s="159"/>
      <c r="F32" s="159"/>
      <c r="G32" s="159"/>
      <c r="H32" s="159"/>
      <c r="I32" s="159"/>
      <c r="J32" s="159"/>
      <c r="K32" s="20">
        <v>50</v>
      </c>
      <c r="L32" s="20"/>
      <c r="M32" s="169">
        <v>42803</v>
      </c>
      <c r="N32" s="169">
        <v>42804</v>
      </c>
      <c r="O32" s="169">
        <v>42804</v>
      </c>
      <c r="P32" s="9" t="s">
        <v>170</v>
      </c>
      <c r="Q32" s="167" t="s">
        <v>767</v>
      </c>
      <c r="R32" s="167" t="s">
        <v>768</v>
      </c>
      <c r="S32" s="186">
        <v>782750103</v>
      </c>
      <c r="T32" s="20" t="s">
        <v>769</v>
      </c>
      <c r="U32" s="199" t="s">
        <v>769</v>
      </c>
      <c r="V32" s="20"/>
      <c r="W32" s="20">
        <v>143</v>
      </c>
      <c r="X32" s="204"/>
      <c r="Y32" s="20" t="s">
        <v>770</v>
      </c>
      <c r="Z32" s="20"/>
    </row>
    <row r="33" spans="1:26" ht="15.75" customHeight="1">
      <c r="A33" s="8">
        <v>32</v>
      </c>
      <c r="B33" s="104" t="s">
        <v>21</v>
      </c>
      <c r="C33" s="20" t="s">
        <v>771</v>
      </c>
      <c r="D33" s="159"/>
      <c r="E33" s="159"/>
      <c r="F33" s="159"/>
      <c r="G33" s="159"/>
      <c r="H33" s="159"/>
      <c r="I33" s="159"/>
      <c r="J33" s="159"/>
      <c r="K33" s="20">
        <v>50</v>
      </c>
      <c r="L33" s="20"/>
      <c r="M33" s="169">
        <v>42811</v>
      </c>
      <c r="N33" s="169">
        <v>42830</v>
      </c>
      <c r="O33" s="169">
        <v>42830</v>
      </c>
      <c r="P33" s="9" t="s">
        <v>170</v>
      </c>
      <c r="Q33" s="167" t="s">
        <v>772</v>
      </c>
      <c r="R33" s="20" t="s">
        <v>773</v>
      </c>
      <c r="S33" s="186">
        <v>788511930</v>
      </c>
      <c r="T33" s="20"/>
      <c r="U33" s="20" t="s">
        <v>774</v>
      </c>
      <c r="V33" s="20"/>
      <c r="W33" s="20">
        <v>145</v>
      </c>
      <c r="X33" s="204"/>
      <c r="Y33" s="20"/>
      <c r="Z33" s="20"/>
    </row>
    <row r="34" spans="1:26" ht="15.75" customHeight="1">
      <c r="A34" s="8">
        <v>33</v>
      </c>
      <c r="B34" s="97" t="s">
        <v>775</v>
      </c>
      <c r="C34" s="97" t="s">
        <v>776</v>
      </c>
      <c r="D34" s="163"/>
      <c r="E34" s="163"/>
      <c r="F34" s="163"/>
      <c r="G34" s="163"/>
      <c r="H34" s="163"/>
      <c r="I34" s="163"/>
      <c r="J34" s="163"/>
      <c r="K34" s="183">
        <v>50</v>
      </c>
      <c r="L34" s="183">
        <v>50</v>
      </c>
      <c r="M34" s="182">
        <v>42606</v>
      </c>
      <c r="N34" s="182">
        <v>42822</v>
      </c>
      <c r="O34" s="182">
        <v>43090</v>
      </c>
      <c r="P34" s="9" t="s">
        <v>170</v>
      </c>
      <c r="Q34" s="184" t="s">
        <v>777</v>
      </c>
      <c r="R34" s="184" t="s">
        <v>778</v>
      </c>
      <c r="S34" s="184">
        <v>781504852</v>
      </c>
      <c r="T34" s="200" t="s">
        <v>779</v>
      </c>
      <c r="U34" s="183" t="s">
        <v>780</v>
      </c>
      <c r="V34" s="200">
        <v>587361570</v>
      </c>
      <c r="W34" s="183">
        <v>134</v>
      </c>
      <c r="X34" s="205"/>
      <c r="Y34" s="20"/>
      <c r="Z34" s="20"/>
    </row>
    <row r="35" spans="1:26" ht="15.75" customHeight="1">
      <c r="A35" s="8">
        <v>34</v>
      </c>
      <c r="B35" s="104" t="s">
        <v>559</v>
      </c>
      <c r="C35" s="20" t="s">
        <v>781</v>
      </c>
      <c r="D35" s="163"/>
      <c r="E35" s="163"/>
      <c r="F35" s="163"/>
      <c r="G35" s="163"/>
      <c r="H35" s="163"/>
      <c r="I35" s="163"/>
      <c r="J35" s="163"/>
      <c r="K35" s="20">
        <v>50</v>
      </c>
      <c r="L35" s="20"/>
      <c r="M35" s="169">
        <v>42875</v>
      </c>
      <c r="N35" s="169">
        <v>42878</v>
      </c>
      <c r="O35" s="169">
        <v>42878</v>
      </c>
      <c r="P35" s="9" t="s">
        <v>170</v>
      </c>
      <c r="Q35" s="167" t="s">
        <v>782</v>
      </c>
      <c r="R35" s="167" t="s">
        <v>783</v>
      </c>
      <c r="S35" s="167">
        <v>609058740</v>
      </c>
      <c r="T35" s="20"/>
      <c r="U35" s="20" t="s">
        <v>784</v>
      </c>
      <c r="V35" s="20"/>
      <c r="W35" s="20">
        <v>146</v>
      </c>
      <c r="X35" s="204"/>
      <c r="Y35" s="20" t="s">
        <v>785</v>
      </c>
      <c r="Z35" s="20"/>
    </row>
    <row r="36" spans="1:26" ht="15.75" customHeight="1">
      <c r="A36" s="8">
        <v>35</v>
      </c>
      <c r="B36" s="104" t="s">
        <v>568</v>
      </c>
      <c r="C36" s="20" t="s">
        <v>786</v>
      </c>
      <c r="D36" s="159"/>
      <c r="E36" s="159"/>
      <c r="F36" s="159"/>
      <c r="G36" s="159"/>
      <c r="H36" s="159"/>
      <c r="I36" s="159"/>
      <c r="J36" s="159"/>
      <c r="K36" s="20">
        <v>50</v>
      </c>
      <c r="L36" s="20"/>
      <c r="M36" s="169">
        <v>42891</v>
      </c>
      <c r="N36" s="169">
        <v>42891</v>
      </c>
      <c r="O36" s="169">
        <v>42891</v>
      </c>
      <c r="P36" s="9" t="s">
        <v>170</v>
      </c>
      <c r="Q36" s="167" t="s">
        <v>787</v>
      </c>
      <c r="R36" s="167" t="s">
        <v>788</v>
      </c>
      <c r="S36" s="167">
        <v>510514130</v>
      </c>
      <c r="T36" s="20"/>
      <c r="U36" s="20" t="s">
        <v>789</v>
      </c>
      <c r="V36" s="20"/>
      <c r="W36" s="20">
        <v>147</v>
      </c>
      <c r="X36" s="206" t="s">
        <v>200</v>
      </c>
      <c r="Y36" s="20" t="s">
        <v>790</v>
      </c>
      <c r="Z36" s="20"/>
    </row>
    <row r="37" spans="1:26" ht="15.75" customHeight="1">
      <c r="A37" s="8">
        <v>36</v>
      </c>
      <c r="B37" s="104" t="s">
        <v>791</v>
      </c>
      <c r="C37" s="20" t="s">
        <v>792</v>
      </c>
      <c r="D37" s="159"/>
      <c r="E37" s="159"/>
      <c r="F37" s="159"/>
      <c r="G37" s="159"/>
      <c r="H37" s="159"/>
      <c r="I37" s="159"/>
      <c r="J37" s="159"/>
      <c r="K37" s="20">
        <v>50</v>
      </c>
      <c r="L37" s="20"/>
      <c r="M37" s="169">
        <v>42830</v>
      </c>
      <c r="N37" s="169">
        <v>42895</v>
      </c>
      <c r="O37" s="169">
        <v>42895</v>
      </c>
      <c r="P37" s="9" t="s">
        <v>170</v>
      </c>
      <c r="Q37" s="167" t="s">
        <v>793</v>
      </c>
      <c r="R37" s="167" t="s">
        <v>794</v>
      </c>
      <c r="S37" s="167">
        <v>531239771</v>
      </c>
      <c r="T37" s="20"/>
      <c r="U37" s="20" t="s">
        <v>795</v>
      </c>
      <c r="V37" s="20"/>
      <c r="W37" s="20">
        <v>148</v>
      </c>
      <c r="X37" s="204"/>
      <c r="Y37" s="20"/>
      <c r="Z37" s="20"/>
    </row>
    <row r="38" spans="1:26" ht="15.75" customHeight="1">
      <c r="A38" s="8">
        <v>37</v>
      </c>
      <c r="B38" s="104" t="s">
        <v>568</v>
      </c>
      <c r="C38" s="20" t="s">
        <v>796</v>
      </c>
      <c r="D38" s="159"/>
      <c r="E38" s="159"/>
      <c r="F38" s="159"/>
      <c r="G38" s="159"/>
      <c r="H38" s="159"/>
      <c r="I38" s="159"/>
      <c r="J38" s="159"/>
      <c r="K38" s="20">
        <v>50</v>
      </c>
      <c r="L38" s="20"/>
      <c r="M38" s="169">
        <v>42920</v>
      </c>
      <c r="N38" s="169">
        <v>42920</v>
      </c>
      <c r="O38" s="169">
        <v>42920</v>
      </c>
      <c r="P38" s="9" t="s">
        <v>170</v>
      </c>
      <c r="Q38" s="167" t="s">
        <v>797</v>
      </c>
      <c r="R38" s="167" t="s">
        <v>798</v>
      </c>
      <c r="S38" s="167">
        <v>514153259</v>
      </c>
      <c r="T38" s="20"/>
      <c r="U38" s="20" t="s">
        <v>799</v>
      </c>
      <c r="V38" s="20"/>
      <c r="W38" s="20">
        <v>149</v>
      </c>
      <c r="X38" s="204"/>
      <c r="Y38" s="20"/>
      <c r="Z38" s="20"/>
    </row>
    <row r="39" spans="1:26" ht="15.75" customHeight="1">
      <c r="A39" s="8">
        <v>38</v>
      </c>
      <c r="B39" s="20" t="s">
        <v>800</v>
      </c>
      <c r="C39" s="20" t="s">
        <v>801</v>
      </c>
      <c r="D39" s="159"/>
      <c r="E39" s="159"/>
      <c r="F39" s="159"/>
      <c r="G39" s="159"/>
      <c r="H39" s="159"/>
      <c r="I39" s="159"/>
      <c r="J39" s="159"/>
      <c r="K39" s="20">
        <v>50</v>
      </c>
      <c r="L39" s="20"/>
      <c r="M39" s="169">
        <v>42976</v>
      </c>
      <c r="N39" s="169">
        <v>43011</v>
      </c>
      <c r="O39" s="169">
        <v>43011</v>
      </c>
      <c r="P39" s="9" t="s">
        <v>170</v>
      </c>
      <c r="Q39" s="167" t="s">
        <v>802</v>
      </c>
      <c r="R39" s="167" t="s">
        <v>803</v>
      </c>
      <c r="S39" s="167">
        <v>510045847</v>
      </c>
      <c r="T39" s="20" t="s">
        <v>804</v>
      </c>
      <c r="U39" s="20" t="s">
        <v>805</v>
      </c>
      <c r="V39" s="20"/>
      <c r="W39" s="20">
        <v>150</v>
      </c>
      <c r="X39" s="204"/>
      <c r="Y39" s="20" t="s">
        <v>806</v>
      </c>
      <c r="Z39" s="20"/>
    </row>
    <row r="40" spans="1:26" ht="15.75" customHeight="1">
      <c r="A40" s="8">
        <v>39</v>
      </c>
      <c r="B40" s="104" t="s">
        <v>631</v>
      </c>
      <c r="C40" s="20" t="s">
        <v>807</v>
      </c>
      <c r="D40" s="159"/>
      <c r="E40" s="159"/>
      <c r="F40" s="159"/>
      <c r="G40" s="159"/>
      <c r="H40" s="159"/>
      <c r="I40" s="159"/>
      <c r="J40" s="159"/>
      <c r="K40" s="20">
        <v>50</v>
      </c>
      <c r="L40" s="20"/>
      <c r="M40" s="169">
        <v>43036</v>
      </c>
      <c r="N40" s="169">
        <v>43038</v>
      </c>
      <c r="O40" s="169">
        <v>43038</v>
      </c>
      <c r="P40" s="9" t="s">
        <v>170</v>
      </c>
      <c r="Q40" s="167" t="s">
        <v>808</v>
      </c>
      <c r="R40" s="167" t="s">
        <v>809</v>
      </c>
      <c r="S40" s="167">
        <v>785635315</v>
      </c>
      <c r="T40" s="20"/>
      <c r="U40" s="20" t="s">
        <v>810</v>
      </c>
      <c r="V40" s="20"/>
      <c r="W40" s="20">
        <v>151</v>
      </c>
      <c r="X40" s="204"/>
      <c r="Y40" s="20" t="s">
        <v>811</v>
      </c>
      <c r="Z40" s="20"/>
    </row>
    <row r="41" spans="1:26" ht="15.75" customHeight="1">
      <c r="A41" s="8">
        <v>40</v>
      </c>
      <c r="B41" s="104" t="s">
        <v>812</v>
      </c>
      <c r="C41" s="20" t="s">
        <v>813</v>
      </c>
      <c r="D41" s="159"/>
      <c r="E41" s="159"/>
      <c r="F41" s="159"/>
      <c r="G41" s="159"/>
      <c r="H41" s="159"/>
      <c r="I41" s="159"/>
      <c r="J41" s="159"/>
      <c r="K41" s="20">
        <v>50</v>
      </c>
      <c r="L41" s="207">
        <v>50</v>
      </c>
      <c r="M41" s="169">
        <v>43084</v>
      </c>
      <c r="N41" s="169">
        <v>43084</v>
      </c>
      <c r="O41" s="169">
        <v>43445</v>
      </c>
      <c r="P41" s="9" t="s">
        <v>170</v>
      </c>
      <c r="Q41" s="167" t="s">
        <v>814</v>
      </c>
      <c r="R41" s="167" t="s">
        <v>815</v>
      </c>
      <c r="S41" s="167">
        <v>506427836</v>
      </c>
      <c r="T41" s="20" t="s">
        <v>816</v>
      </c>
      <c r="U41" s="20" t="s">
        <v>817</v>
      </c>
      <c r="V41" s="20"/>
      <c r="W41" s="20">
        <v>152</v>
      </c>
      <c r="X41" s="204"/>
      <c r="Y41" s="20"/>
      <c r="Z41" s="20"/>
    </row>
    <row r="42" spans="1:26" ht="15.75" customHeight="1">
      <c r="A42" s="8">
        <v>41</v>
      </c>
      <c r="B42" s="104" t="s">
        <v>818</v>
      </c>
      <c r="C42" s="20" t="s">
        <v>819</v>
      </c>
      <c r="D42" s="159"/>
      <c r="E42" s="159"/>
      <c r="F42" s="159"/>
      <c r="G42" s="159"/>
      <c r="H42" s="159"/>
      <c r="I42" s="159"/>
      <c r="J42" s="159"/>
      <c r="K42" s="20">
        <v>50</v>
      </c>
      <c r="L42" s="20"/>
      <c r="M42" s="169">
        <v>43087</v>
      </c>
      <c r="N42" s="169">
        <v>43087</v>
      </c>
      <c r="O42" s="169">
        <v>43087</v>
      </c>
      <c r="P42" s="9" t="s">
        <v>170</v>
      </c>
      <c r="Q42" s="167" t="s">
        <v>820</v>
      </c>
      <c r="R42" s="167" t="s">
        <v>821</v>
      </c>
      <c r="S42" s="167">
        <v>696545836</v>
      </c>
      <c r="T42" s="20"/>
      <c r="U42" s="20" t="s">
        <v>822</v>
      </c>
      <c r="V42" s="20"/>
      <c r="W42" s="20">
        <v>153</v>
      </c>
      <c r="X42" s="204"/>
      <c r="Y42" s="20"/>
      <c r="Z42" s="20"/>
    </row>
    <row r="43" spans="1:26" ht="15.75" customHeight="1">
      <c r="A43" s="8">
        <v>42</v>
      </c>
      <c r="B43" s="104" t="s">
        <v>824</v>
      </c>
      <c r="C43" s="20" t="s">
        <v>825</v>
      </c>
      <c r="D43" s="159"/>
      <c r="E43" s="159"/>
      <c r="F43" s="159"/>
      <c r="G43" s="159"/>
      <c r="H43" s="159"/>
      <c r="I43" s="159"/>
      <c r="J43" s="159"/>
      <c r="K43" s="159"/>
      <c r="L43" s="20">
        <v>50</v>
      </c>
      <c r="M43" s="169">
        <v>43110</v>
      </c>
      <c r="N43" s="169">
        <v>43110</v>
      </c>
      <c r="O43" s="169">
        <v>43110</v>
      </c>
      <c r="P43" s="9" t="s">
        <v>170</v>
      </c>
      <c r="Q43" s="167" t="s">
        <v>826</v>
      </c>
      <c r="R43" s="167" t="s">
        <v>748</v>
      </c>
      <c r="S43" s="167">
        <v>782680373</v>
      </c>
      <c r="T43" s="20" t="s">
        <v>827</v>
      </c>
      <c r="U43" s="20" t="s">
        <v>828</v>
      </c>
      <c r="V43" s="20"/>
      <c r="W43" s="20">
        <v>154</v>
      </c>
      <c r="X43" s="204"/>
      <c r="Y43" s="20"/>
      <c r="Z43" s="20"/>
    </row>
    <row r="44" spans="1:26" ht="15.75" customHeight="1">
      <c r="A44" s="8">
        <v>43</v>
      </c>
      <c r="B44" s="20" t="s">
        <v>296</v>
      </c>
      <c r="C44" s="20" t="s">
        <v>829</v>
      </c>
      <c r="D44" s="159"/>
      <c r="E44" s="159"/>
      <c r="F44" s="159"/>
      <c r="G44" s="159"/>
      <c r="H44" s="159"/>
      <c r="I44" s="159"/>
      <c r="J44" s="159"/>
      <c r="K44" s="159"/>
      <c r="L44" s="20">
        <v>50</v>
      </c>
      <c r="M44" s="169">
        <v>43117</v>
      </c>
      <c r="N44" s="169">
        <v>43118</v>
      </c>
      <c r="O44" s="169">
        <v>43118</v>
      </c>
      <c r="P44" s="9" t="s">
        <v>170</v>
      </c>
      <c r="Q44" s="167" t="s">
        <v>830</v>
      </c>
      <c r="R44" s="167" t="s">
        <v>191</v>
      </c>
      <c r="S44" s="167">
        <v>532288356</v>
      </c>
      <c r="T44" s="20" t="s">
        <v>831</v>
      </c>
      <c r="U44" s="20" t="s">
        <v>832</v>
      </c>
      <c r="V44" s="20"/>
      <c r="W44" s="20">
        <v>155</v>
      </c>
      <c r="X44" s="204"/>
      <c r="Y44" s="20" t="s">
        <v>833</v>
      </c>
      <c r="Z44" s="20"/>
    </row>
    <row r="45" spans="1:26" ht="15.75" customHeight="1">
      <c r="A45" s="8">
        <v>44</v>
      </c>
      <c r="B45" s="20" t="s">
        <v>618</v>
      </c>
      <c r="C45" s="20" t="s">
        <v>834</v>
      </c>
      <c r="D45" s="159"/>
      <c r="E45" s="159"/>
      <c r="F45" s="159"/>
      <c r="G45" s="159"/>
      <c r="H45" s="159"/>
      <c r="I45" s="159"/>
      <c r="J45" s="159"/>
      <c r="K45" s="159"/>
      <c r="L45" s="20">
        <v>50</v>
      </c>
      <c r="M45" s="169">
        <v>43126</v>
      </c>
      <c r="N45" s="169">
        <v>43129</v>
      </c>
      <c r="O45" s="169">
        <v>43129</v>
      </c>
      <c r="P45" s="9" t="s">
        <v>170</v>
      </c>
      <c r="Q45" s="167" t="s">
        <v>835</v>
      </c>
      <c r="R45" s="167" t="s">
        <v>836</v>
      </c>
      <c r="S45" s="167">
        <v>539923904</v>
      </c>
      <c r="T45" s="20" t="s">
        <v>837</v>
      </c>
      <c r="U45" s="20" t="s">
        <v>838</v>
      </c>
      <c r="V45" s="20"/>
      <c r="W45" s="20">
        <v>156</v>
      </c>
      <c r="X45" s="204"/>
      <c r="Y45" s="20"/>
      <c r="Z45" s="20"/>
    </row>
    <row r="46" spans="1:26" ht="15.75" customHeight="1">
      <c r="A46" s="8">
        <v>45</v>
      </c>
      <c r="B46" s="20" t="s">
        <v>839</v>
      </c>
      <c r="C46" s="20" t="s">
        <v>840</v>
      </c>
      <c r="D46" s="159"/>
      <c r="E46" s="159"/>
      <c r="F46" s="159"/>
      <c r="G46" s="159"/>
      <c r="H46" s="159"/>
      <c r="I46" s="159"/>
      <c r="J46" s="159"/>
      <c r="K46" s="159"/>
      <c r="L46" s="20">
        <v>50</v>
      </c>
      <c r="M46" s="169">
        <v>43134</v>
      </c>
      <c r="N46" s="169">
        <v>43134</v>
      </c>
      <c r="O46" s="169">
        <v>43134</v>
      </c>
      <c r="P46" s="9" t="s">
        <v>170</v>
      </c>
      <c r="Q46" s="167" t="s">
        <v>841</v>
      </c>
      <c r="R46" s="167" t="s">
        <v>842</v>
      </c>
      <c r="S46" s="167">
        <v>698180922</v>
      </c>
      <c r="T46" s="20"/>
      <c r="U46" s="20" t="s">
        <v>843</v>
      </c>
      <c r="V46" s="20"/>
      <c r="W46" s="20">
        <v>157</v>
      </c>
      <c r="X46" s="204"/>
      <c r="Y46" s="20" t="s">
        <v>844</v>
      </c>
      <c r="Z46" s="20"/>
    </row>
    <row r="47" spans="1:26" ht="15.75" customHeight="1">
      <c r="A47" s="8">
        <v>46</v>
      </c>
      <c r="B47" s="20" t="s">
        <v>759</v>
      </c>
      <c r="C47" s="20" t="s">
        <v>845</v>
      </c>
      <c r="D47" s="159"/>
      <c r="E47" s="159"/>
      <c r="F47" s="159"/>
      <c r="G47" s="159"/>
      <c r="H47" s="159"/>
      <c r="I47" s="159"/>
      <c r="J47" s="159"/>
      <c r="K47" s="159"/>
      <c r="L47" s="20">
        <v>50</v>
      </c>
      <c r="M47" s="169">
        <v>43136</v>
      </c>
      <c r="N47" s="169">
        <v>43136</v>
      </c>
      <c r="O47" s="169">
        <v>43136</v>
      </c>
      <c r="P47" s="9" t="s">
        <v>170</v>
      </c>
      <c r="Q47" s="167" t="s">
        <v>846</v>
      </c>
      <c r="R47" s="167" t="s">
        <v>847</v>
      </c>
      <c r="S47" s="167">
        <v>515042238</v>
      </c>
      <c r="T47" s="20"/>
      <c r="U47" s="20" t="s">
        <v>848</v>
      </c>
      <c r="V47" s="20"/>
      <c r="W47" s="20">
        <v>158</v>
      </c>
      <c r="X47" s="204"/>
      <c r="Y47" s="20" t="s">
        <v>849</v>
      </c>
      <c r="Z47" s="20"/>
    </row>
    <row r="48" spans="1:26" ht="15.75" customHeight="1">
      <c r="A48" s="8">
        <v>47</v>
      </c>
      <c r="B48" s="20" t="s">
        <v>850</v>
      </c>
      <c r="C48" s="20" t="s">
        <v>851</v>
      </c>
      <c r="D48" s="159"/>
      <c r="E48" s="159"/>
      <c r="F48" s="159"/>
      <c r="G48" s="159"/>
      <c r="H48" s="159"/>
      <c r="I48" s="159"/>
      <c r="J48" s="159"/>
      <c r="K48" s="159"/>
      <c r="L48" s="20">
        <v>50</v>
      </c>
      <c r="M48" s="169">
        <v>43146</v>
      </c>
      <c r="N48" s="169">
        <v>43147</v>
      </c>
      <c r="O48" s="169">
        <v>43147</v>
      </c>
      <c r="P48" s="9" t="s">
        <v>170</v>
      </c>
      <c r="Q48" s="167" t="s">
        <v>852</v>
      </c>
      <c r="R48" s="167" t="s">
        <v>853</v>
      </c>
      <c r="S48" s="167">
        <v>609835895</v>
      </c>
      <c r="T48" s="20"/>
      <c r="U48" s="20" t="s">
        <v>854</v>
      </c>
      <c r="V48" s="20"/>
      <c r="W48" s="20">
        <v>159</v>
      </c>
      <c r="X48" s="204"/>
      <c r="Y48" s="20"/>
      <c r="Z48" s="20"/>
    </row>
    <row r="49" spans="1:27" ht="15.75" customHeight="1">
      <c r="A49" s="8">
        <v>48</v>
      </c>
      <c r="B49" s="20" t="s">
        <v>543</v>
      </c>
      <c r="C49" s="20" t="s">
        <v>855</v>
      </c>
      <c r="D49" s="159"/>
      <c r="E49" s="159"/>
      <c r="F49" s="159"/>
      <c r="G49" s="159"/>
      <c r="H49" s="159"/>
      <c r="I49" s="159"/>
      <c r="J49" s="159"/>
      <c r="K49" s="159"/>
      <c r="L49" s="20">
        <v>50</v>
      </c>
      <c r="M49" s="169">
        <v>43151</v>
      </c>
      <c r="N49" s="169">
        <v>43152</v>
      </c>
      <c r="O49" s="169">
        <v>43152</v>
      </c>
      <c r="P49" s="9" t="s">
        <v>170</v>
      </c>
      <c r="Q49" s="167" t="s">
        <v>856</v>
      </c>
      <c r="R49" s="167" t="s">
        <v>321</v>
      </c>
      <c r="S49" s="167">
        <v>601069973</v>
      </c>
      <c r="T49" s="20"/>
      <c r="U49" s="20" t="s">
        <v>857</v>
      </c>
      <c r="V49" s="20"/>
      <c r="W49" s="20">
        <v>160</v>
      </c>
      <c r="X49" s="204"/>
      <c r="Y49" s="20"/>
      <c r="Z49" s="20"/>
    </row>
    <row r="50" spans="1:27" ht="15.75" customHeight="1">
      <c r="A50" s="8">
        <v>49</v>
      </c>
      <c r="B50" s="20" t="s">
        <v>21</v>
      </c>
      <c r="C50" s="20" t="s">
        <v>858</v>
      </c>
      <c r="D50" s="159"/>
      <c r="E50" s="159"/>
      <c r="F50" s="159"/>
      <c r="G50" s="159"/>
      <c r="H50" s="159"/>
      <c r="I50" s="159"/>
      <c r="J50" s="159"/>
      <c r="K50" s="159"/>
      <c r="L50" s="20">
        <v>50</v>
      </c>
      <c r="M50" s="169">
        <v>43153</v>
      </c>
      <c r="N50" s="169">
        <v>43153</v>
      </c>
      <c r="O50" s="169">
        <v>43153</v>
      </c>
      <c r="P50" s="9" t="s">
        <v>170</v>
      </c>
      <c r="Q50" s="208" t="s">
        <v>859</v>
      </c>
      <c r="R50" s="208" t="s">
        <v>860</v>
      </c>
      <c r="S50" s="167">
        <v>510180652</v>
      </c>
      <c r="T50" s="20" t="s">
        <v>861</v>
      </c>
      <c r="U50" s="20" t="s">
        <v>862</v>
      </c>
      <c r="V50" s="20"/>
      <c r="W50" s="20">
        <v>161</v>
      </c>
      <c r="X50" s="204"/>
      <c r="Y50" s="20" t="s">
        <v>863</v>
      </c>
      <c r="Z50" s="20"/>
    </row>
    <row r="51" spans="1:27" ht="15.75" customHeight="1">
      <c r="A51" s="8">
        <v>50</v>
      </c>
      <c r="B51" s="20" t="s">
        <v>239</v>
      </c>
      <c r="C51" s="20" t="s">
        <v>864</v>
      </c>
      <c r="D51" s="159"/>
      <c r="E51" s="159"/>
      <c r="F51" s="159"/>
      <c r="G51" s="159"/>
      <c r="H51" s="159"/>
      <c r="I51" s="159"/>
      <c r="J51" s="159"/>
      <c r="K51" s="159"/>
      <c r="L51" s="20">
        <v>50</v>
      </c>
      <c r="M51" s="169">
        <v>43156</v>
      </c>
      <c r="N51" s="169">
        <v>43157</v>
      </c>
      <c r="O51" s="169">
        <v>43157</v>
      </c>
      <c r="P51" s="9" t="s">
        <v>170</v>
      </c>
      <c r="Q51" s="167" t="s">
        <v>865</v>
      </c>
      <c r="R51" s="167" t="s">
        <v>866</v>
      </c>
      <c r="S51" s="167">
        <v>884952721</v>
      </c>
      <c r="T51" s="20"/>
      <c r="U51" s="20" t="s">
        <v>867</v>
      </c>
      <c r="V51" s="20"/>
      <c r="W51" s="20">
        <v>162</v>
      </c>
      <c r="X51" s="204"/>
      <c r="Y51" s="20" t="s">
        <v>868</v>
      </c>
      <c r="Z51" s="20"/>
    </row>
    <row r="52" spans="1:27" ht="15.75" customHeight="1">
      <c r="A52" s="8">
        <v>51</v>
      </c>
      <c r="B52" s="20" t="s">
        <v>481</v>
      </c>
      <c r="C52" s="20" t="s">
        <v>548</v>
      </c>
      <c r="D52" s="159"/>
      <c r="E52" s="159"/>
      <c r="F52" s="159"/>
      <c r="G52" s="159"/>
      <c r="H52" s="209">
        <v>50</v>
      </c>
      <c r="I52" s="209">
        <v>50</v>
      </c>
      <c r="J52" s="204">
        <v>50</v>
      </c>
      <c r="K52" s="20"/>
      <c r="L52" s="204">
        <v>50</v>
      </c>
      <c r="M52" s="99">
        <v>41896</v>
      </c>
      <c r="N52" s="99">
        <v>41899</v>
      </c>
      <c r="O52" s="169">
        <v>43648</v>
      </c>
      <c r="P52" s="9" t="s">
        <v>170</v>
      </c>
      <c r="Q52" s="167" t="s">
        <v>869</v>
      </c>
      <c r="R52" s="167" t="s">
        <v>550</v>
      </c>
      <c r="S52" s="108">
        <v>604235534</v>
      </c>
      <c r="T52" s="104"/>
      <c r="U52" s="104" t="s">
        <v>551</v>
      </c>
      <c r="V52" s="104"/>
      <c r="W52" s="104">
        <v>108</v>
      </c>
      <c r="X52" s="204"/>
      <c r="Y52" s="20"/>
      <c r="Z52" s="20"/>
      <c r="AA52" s="20"/>
    </row>
    <row r="53" spans="1:27" ht="15.75" customHeight="1">
      <c r="A53" s="8">
        <v>52</v>
      </c>
      <c r="B53" s="20" t="s">
        <v>645</v>
      </c>
      <c r="C53" s="20" t="s">
        <v>870</v>
      </c>
      <c r="D53" s="159"/>
      <c r="E53" s="159"/>
      <c r="F53" s="159"/>
      <c r="G53" s="159"/>
      <c r="H53" s="159"/>
      <c r="I53" s="159"/>
      <c r="J53" s="159"/>
      <c r="K53" s="159"/>
      <c r="L53" s="20">
        <v>50</v>
      </c>
      <c r="M53" s="169">
        <v>43165</v>
      </c>
      <c r="N53" s="169">
        <v>43165</v>
      </c>
      <c r="O53" s="169">
        <v>43165</v>
      </c>
      <c r="P53" s="9" t="s">
        <v>170</v>
      </c>
      <c r="Q53" s="167" t="s">
        <v>871</v>
      </c>
      <c r="R53" s="167" t="s">
        <v>872</v>
      </c>
      <c r="S53" s="167">
        <v>693762620</v>
      </c>
      <c r="T53" s="20"/>
      <c r="U53" s="20" t="s">
        <v>873</v>
      </c>
      <c r="V53" s="20"/>
      <c r="W53" s="20">
        <v>163</v>
      </c>
      <c r="X53" s="204"/>
      <c r="Y53" s="20" t="s">
        <v>874</v>
      </c>
      <c r="Z53" s="20"/>
    </row>
    <row r="54" spans="1:27" ht="15.75" customHeight="1">
      <c r="A54" s="8">
        <v>53</v>
      </c>
      <c r="B54" s="20" t="s">
        <v>559</v>
      </c>
      <c r="C54" s="20" t="s">
        <v>875</v>
      </c>
      <c r="D54" s="159"/>
      <c r="E54" s="159"/>
      <c r="F54" s="159"/>
      <c r="G54" s="159"/>
      <c r="H54" s="159"/>
      <c r="I54" s="159"/>
      <c r="J54" s="159"/>
      <c r="K54" s="159"/>
      <c r="L54" s="20">
        <v>50</v>
      </c>
      <c r="M54" s="169">
        <v>43169</v>
      </c>
      <c r="N54" s="169">
        <v>43171</v>
      </c>
      <c r="O54" s="169">
        <v>43171</v>
      </c>
      <c r="P54" s="9" t="s">
        <v>170</v>
      </c>
      <c r="Q54" s="167" t="s">
        <v>876</v>
      </c>
      <c r="R54" s="167" t="s">
        <v>877</v>
      </c>
      <c r="S54" s="186">
        <v>664756377</v>
      </c>
      <c r="T54" s="20" t="s">
        <v>878</v>
      </c>
      <c r="U54" s="20" t="s">
        <v>879</v>
      </c>
      <c r="V54" s="20"/>
      <c r="W54" s="20">
        <v>164</v>
      </c>
      <c r="X54" s="204"/>
      <c r="Y54" s="20" t="s">
        <v>880</v>
      </c>
      <c r="Z54" s="20"/>
    </row>
    <row r="55" spans="1:27" ht="15.75" customHeight="1">
      <c r="A55" s="8">
        <v>54</v>
      </c>
      <c r="B55" s="20" t="s">
        <v>881</v>
      </c>
      <c r="C55" s="20" t="s">
        <v>882</v>
      </c>
      <c r="D55" s="159"/>
      <c r="E55" s="159"/>
      <c r="F55" s="159"/>
      <c r="G55" s="159"/>
      <c r="H55" s="159"/>
      <c r="I55" s="159"/>
      <c r="J55" s="159"/>
      <c r="K55" s="159"/>
      <c r="L55" s="20">
        <v>50</v>
      </c>
      <c r="M55" s="169">
        <v>43179</v>
      </c>
      <c r="N55" s="169">
        <v>43179</v>
      </c>
      <c r="O55" s="169">
        <v>43179</v>
      </c>
      <c r="P55" s="9" t="s">
        <v>170</v>
      </c>
      <c r="Q55" s="167" t="s">
        <v>883</v>
      </c>
      <c r="R55" s="167" t="s">
        <v>884</v>
      </c>
      <c r="S55" s="186">
        <v>509587470</v>
      </c>
      <c r="T55" s="20" t="s">
        <v>885</v>
      </c>
      <c r="U55" s="20" t="s">
        <v>886</v>
      </c>
      <c r="V55" s="210">
        <v>781808626</v>
      </c>
      <c r="W55" s="20">
        <v>165</v>
      </c>
      <c r="X55" s="204"/>
      <c r="Y55" s="20"/>
      <c r="Z55" s="20"/>
    </row>
    <row r="56" spans="1:27" ht="15.75" customHeight="1">
      <c r="A56" s="8">
        <v>55</v>
      </c>
      <c r="B56" s="20" t="s">
        <v>568</v>
      </c>
      <c r="C56" s="20" t="s">
        <v>887</v>
      </c>
      <c r="D56" s="159"/>
      <c r="E56" s="159"/>
      <c r="F56" s="159"/>
      <c r="G56" s="159"/>
      <c r="H56" s="159"/>
      <c r="I56" s="159"/>
      <c r="J56" s="159"/>
      <c r="K56" s="159"/>
      <c r="L56" s="20">
        <v>50</v>
      </c>
      <c r="M56" s="169">
        <v>43193</v>
      </c>
      <c r="N56" s="169">
        <v>43194</v>
      </c>
      <c r="O56" s="169">
        <v>43194</v>
      </c>
      <c r="P56" s="9" t="s">
        <v>170</v>
      </c>
      <c r="Q56" s="167" t="s">
        <v>888</v>
      </c>
      <c r="R56" s="167" t="s">
        <v>889</v>
      </c>
      <c r="S56" s="167">
        <v>731996984</v>
      </c>
      <c r="T56" s="20"/>
      <c r="U56" s="20" t="s">
        <v>890</v>
      </c>
      <c r="V56" s="20"/>
      <c r="W56" s="20">
        <v>166</v>
      </c>
      <c r="X56" s="204"/>
      <c r="Y56" s="20"/>
      <c r="Z56" s="20"/>
    </row>
    <row r="57" spans="1:27" ht="15.75" customHeight="1">
      <c r="A57" s="8">
        <v>56</v>
      </c>
      <c r="B57" s="20" t="s">
        <v>476</v>
      </c>
      <c r="C57" s="20" t="s">
        <v>891</v>
      </c>
      <c r="D57" s="159"/>
      <c r="E57" s="159"/>
      <c r="F57" s="159"/>
      <c r="G57" s="159"/>
      <c r="H57" s="159"/>
      <c r="I57" s="159"/>
      <c r="J57" s="159"/>
      <c r="K57" s="159"/>
      <c r="L57" s="20">
        <v>50</v>
      </c>
      <c r="M57" s="169">
        <v>43194</v>
      </c>
      <c r="N57" s="169">
        <v>43195</v>
      </c>
      <c r="O57" s="169">
        <v>43195</v>
      </c>
      <c r="P57" s="9" t="s">
        <v>170</v>
      </c>
      <c r="Q57" s="167" t="s">
        <v>892</v>
      </c>
      <c r="R57" s="167" t="s">
        <v>893</v>
      </c>
      <c r="S57" s="167">
        <v>788790612</v>
      </c>
      <c r="T57" s="20"/>
      <c r="U57" s="20" t="s">
        <v>894</v>
      </c>
      <c r="V57" s="20"/>
      <c r="W57" s="20">
        <v>167</v>
      </c>
      <c r="X57" s="204"/>
      <c r="Y57" s="20"/>
      <c r="Z57" s="20"/>
    </row>
    <row r="58" spans="1:27" ht="15.75" customHeight="1">
      <c r="A58" s="8">
        <v>57</v>
      </c>
      <c r="B58" s="20" t="s">
        <v>895</v>
      </c>
      <c r="C58" s="20" t="s">
        <v>896</v>
      </c>
      <c r="D58" s="159"/>
      <c r="E58" s="159"/>
      <c r="F58" s="159"/>
      <c r="G58" s="159"/>
      <c r="H58" s="159"/>
      <c r="I58" s="159"/>
      <c r="J58" s="159"/>
      <c r="K58" s="159"/>
      <c r="L58" s="20">
        <v>50</v>
      </c>
      <c r="M58" s="169">
        <v>43200</v>
      </c>
      <c r="N58" s="169">
        <v>43201</v>
      </c>
      <c r="O58" s="169">
        <v>43201</v>
      </c>
      <c r="P58" s="9" t="s">
        <v>170</v>
      </c>
      <c r="Q58" s="167" t="s">
        <v>897</v>
      </c>
      <c r="R58" s="167" t="s">
        <v>898</v>
      </c>
      <c r="S58" s="167">
        <v>733766151</v>
      </c>
      <c r="T58" s="20"/>
      <c r="U58" s="20" t="s">
        <v>899</v>
      </c>
      <c r="V58" s="20"/>
      <c r="W58" s="20">
        <v>168</v>
      </c>
      <c r="X58" s="204"/>
      <c r="Y58" s="20" t="s">
        <v>900</v>
      </c>
      <c r="Z58" s="20"/>
    </row>
    <row r="59" spans="1:27" ht="15.75" customHeight="1">
      <c r="A59" s="8">
        <v>58</v>
      </c>
      <c r="B59" s="20" t="s">
        <v>194</v>
      </c>
      <c r="C59" s="20" t="s">
        <v>901</v>
      </c>
      <c r="D59" s="159"/>
      <c r="E59" s="159"/>
      <c r="F59" s="159"/>
      <c r="G59" s="159"/>
      <c r="H59" s="159"/>
      <c r="I59" s="159"/>
      <c r="J59" s="159"/>
      <c r="K59" s="159"/>
      <c r="L59" s="20">
        <v>50</v>
      </c>
      <c r="M59" s="169">
        <v>43209</v>
      </c>
      <c r="N59" s="169">
        <v>43209</v>
      </c>
      <c r="O59" s="169">
        <v>43209</v>
      </c>
      <c r="P59" s="9" t="s">
        <v>170</v>
      </c>
      <c r="Q59" s="167" t="s">
        <v>902</v>
      </c>
      <c r="R59" s="167" t="s">
        <v>903</v>
      </c>
      <c r="S59" s="167">
        <v>514494038</v>
      </c>
      <c r="T59" s="20"/>
      <c r="U59" s="20" t="s">
        <v>904</v>
      </c>
      <c r="V59" s="20"/>
      <c r="W59" s="20">
        <v>169</v>
      </c>
      <c r="X59" s="204"/>
      <c r="Y59" s="20"/>
      <c r="Z59" s="20"/>
    </row>
    <row r="60" spans="1:27" ht="15.75" customHeight="1">
      <c r="A60" s="8">
        <v>59</v>
      </c>
      <c r="B60" s="20" t="s">
        <v>905</v>
      </c>
      <c r="C60" s="20" t="s">
        <v>906</v>
      </c>
      <c r="D60" s="159"/>
      <c r="E60" s="159"/>
      <c r="F60" s="159"/>
      <c r="G60" s="159"/>
      <c r="H60" s="159"/>
      <c r="I60" s="159"/>
      <c r="J60" s="159"/>
      <c r="K60" s="159"/>
      <c r="L60" s="20">
        <v>50</v>
      </c>
      <c r="M60" s="169">
        <v>43210</v>
      </c>
      <c r="N60" s="169">
        <v>43213</v>
      </c>
      <c r="O60" s="169">
        <v>43213</v>
      </c>
      <c r="P60" s="9" t="s">
        <v>170</v>
      </c>
      <c r="Q60" s="167" t="s">
        <v>907</v>
      </c>
      <c r="R60" s="167" t="s">
        <v>893</v>
      </c>
      <c r="S60" s="167">
        <v>781363705</v>
      </c>
      <c r="T60" s="20"/>
      <c r="U60" s="20" t="s">
        <v>908</v>
      </c>
      <c r="V60" s="20"/>
      <c r="W60" s="20">
        <v>170</v>
      </c>
      <c r="X60" s="204"/>
      <c r="Y60" s="20"/>
      <c r="Z60" s="20" t="s">
        <v>909</v>
      </c>
    </row>
    <row r="61" spans="1:27" ht="15.75" customHeight="1">
      <c r="A61" s="8">
        <v>60</v>
      </c>
      <c r="B61" s="20" t="s">
        <v>910</v>
      </c>
      <c r="C61" s="20" t="s">
        <v>702</v>
      </c>
      <c r="D61" s="159"/>
      <c r="E61" s="159"/>
      <c r="F61" s="159"/>
      <c r="G61" s="159"/>
      <c r="H61" s="159"/>
      <c r="I61" s="159"/>
      <c r="J61" s="159"/>
      <c r="K61" s="159"/>
      <c r="L61" s="20">
        <v>50</v>
      </c>
      <c r="M61" s="169">
        <v>43212</v>
      </c>
      <c r="N61" s="169">
        <v>43213</v>
      </c>
      <c r="O61" s="169">
        <v>43213</v>
      </c>
      <c r="P61" s="9" t="s">
        <v>170</v>
      </c>
      <c r="Q61" s="167" t="s">
        <v>744</v>
      </c>
      <c r="R61" s="167" t="s">
        <v>745</v>
      </c>
      <c r="S61" s="167">
        <v>794381301</v>
      </c>
      <c r="T61" s="20"/>
      <c r="U61" s="20" t="s">
        <v>911</v>
      </c>
      <c r="V61" s="20"/>
      <c r="W61" s="20">
        <v>171</v>
      </c>
      <c r="X61" s="204"/>
      <c r="Y61" s="20" t="s">
        <v>912</v>
      </c>
      <c r="Z61" s="20"/>
    </row>
    <row r="62" spans="1:27" ht="15.75" customHeight="1">
      <c r="A62" s="8">
        <v>61</v>
      </c>
      <c r="B62" s="20" t="s">
        <v>913</v>
      </c>
      <c r="C62" s="20" t="s">
        <v>914</v>
      </c>
      <c r="D62" s="159"/>
      <c r="E62" s="159"/>
      <c r="F62" s="159"/>
      <c r="G62" s="159"/>
      <c r="H62" s="159"/>
      <c r="I62" s="159"/>
      <c r="J62" s="159"/>
      <c r="K62" s="159"/>
      <c r="L62" s="20">
        <v>50</v>
      </c>
      <c r="M62" s="169">
        <v>43230</v>
      </c>
      <c r="N62" s="169">
        <v>43231</v>
      </c>
      <c r="O62" s="169">
        <v>43231</v>
      </c>
      <c r="P62" s="9" t="s">
        <v>170</v>
      </c>
      <c r="Q62" s="167" t="s">
        <v>915</v>
      </c>
      <c r="R62" s="167" t="s">
        <v>916</v>
      </c>
      <c r="S62" s="167">
        <v>519562001</v>
      </c>
      <c r="T62" s="20"/>
      <c r="U62" s="20" t="s">
        <v>917</v>
      </c>
      <c r="V62" s="20"/>
      <c r="W62" s="20">
        <v>172</v>
      </c>
      <c r="X62" s="204"/>
      <c r="Y62" s="20" t="s">
        <v>918</v>
      </c>
      <c r="Z62" s="20"/>
    </row>
    <row r="63" spans="1:27" ht="15.75" customHeight="1">
      <c r="A63" s="8">
        <v>62</v>
      </c>
      <c r="B63" s="20" t="s">
        <v>919</v>
      </c>
      <c r="C63" s="20" t="s">
        <v>920</v>
      </c>
      <c r="D63" s="159"/>
      <c r="E63" s="159"/>
      <c r="F63" s="159"/>
      <c r="G63" s="159"/>
      <c r="H63" s="159"/>
      <c r="I63" s="159"/>
      <c r="J63" s="159"/>
      <c r="K63" s="159"/>
      <c r="L63" s="20">
        <v>50</v>
      </c>
      <c r="M63" s="169">
        <v>43237</v>
      </c>
      <c r="N63" s="169">
        <v>43238</v>
      </c>
      <c r="O63" s="169">
        <v>43238</v>
      </c>
      <c r="P63" s="9" t="s">
        <v>170</v>
      </c>
      <c r="Q63" s="167" t="s">
        <v>921</v>
      </c>
      <c r="R63" s="167" t="s">
        <v>922</v>
      </c>
      <c r="S63" s="167">
        <v>514945980</v>
      </c>
      <c r="T63" s="20"/>
      <c r="U63" s="20" t="s">
        <v>923</v>
      </c>
      <c r="V63" s="20"/>
      <c r="W63" s="20">
        <v>173</v>
      </c>
      <c r="X63" s="204"/>
      <c r="Y63" s="20" t="s">
        <v>919</v>
      </c>
      <c r="Z63" s="20"/>
    </row>
    <row r="64" spans="1:27" ht="15.75" customHeight="1">
      <c r="A64" s="8">
        <v>63</v>
      </c>
      <c r="B64" s="20" t="s">
        <v>924</v>
      </c>
      <c r="C64" s="20" t="s">
        <v>925</v>
      </c>
      <c r="D64" s="159"/>
      <c r="E64" s="159"/>
      <c r="F64" s="159"/>
      <c r="G64" s="159"/>
      <c r="H64" s="159"/>
      <c r="I64" s="159"/>
      <c r="J64" s="159"/>
      <c r="K64" s="159"/>
      <c r="L64" s="20">
        <v>50</v>
      </c>
      <c r="M64" s="169">
        <v>43245</v>
      </c>
      <c r="N64" s="169">
        <v>43245</v>
      </c>
      <c r="O64" s="169">
        <v>43245</v>
      </c>
      <c r="P64" s="9" t="s">
        <v>170</v>
      </c>
      <c r="Q64" s="167" t="s">
        <v>926</v>
      </c>
      <c r="R64" s="167" t="s">
        <v>927</v>
      </c>
      <c r="S64" s="167">
        <v>509900664</v>
      </c>
      <c r="T64" s="20"/>
      <c r="U64" s="20" t="s">
        <v>928</v>
      </c>
      <c r="V64" s="20"/>
      <c r="W64" s="20">
        <v>174</v>
      </c>
      <c r="X64" s="204"/>
      <c r="Y64" s="20"/>
      <c r="Z64" s="20" t="s">
        <v>929</v>
      </c>
    </row>
    <row r="65" spans="1:26" ht="15.75" customHeight="1">
      <c r="A65" s="8">
        <v>64</v>
      </c>
      <c r="B65" s="20" t="s">
        <v>930</v>
      </c>
      <c r="C65" s="20" t="s">
        <v>931</v>
      </c>
      <c r="D65" s="159"/>
      <c r="E65" s="159"/>
      <c r="F65" s="159"/>
      <c r="G65" s="159"/>
      <c r="H65" s="159"/>
      <c r="I65" s="159"/>
      <c r="J65" s="159"/>
      <c r="K65" s="159"/>
      <c r="L65" s="20">
        <v>50</v>
      </c>
      <c r="M65" s="169">
        <v>43246</v>
      </c>
      <c r="N65" s="169">
        <v>43248</v>
      </c>
      <c r="O65" s="169">
        <v>43248</v>
      </c>
      <c r="P65" s="9" t="s">
        <v>170</v>
      </c>
      <c r="Q65" s="167" t="s">
        <v>932</v>
      </c>
      <c r="R65" s="167" t="s">
        <v>933</v>
      </c>
      <c r="S65" s="186">
        <v>531361998</v>
      </c>
      <c r="T65" s="20"/>
      <c r="U65" s="20" t="s">
        <v>934</v>
      </c>
      <c r="V65" s="20"/>
      <c r="W65" s="20">
        <v>175</v>
      </c>
      <c r="X65" s="204"/>
      <c r="Y65" s="20"/>
      <c r="Z65" s="20"/>
    </row>
    <row r="66" spans="1:26" ht="15.75" customHeight="1">
      <c r="A66" s="8">
        <v>65</v>
      </c>
      <c r="B66" s="20" t="s">
        <v>481</v>
      </c>
      <c r="C66" s="20" t="s">
        <v>935</v>
      </c>
      <c r="D66" s="159"/>
      <c r="E66" s="159"/>
      <c r="F66" s="159"/>
      <c r="G66" s="159"/>
      <c r="H66" s="159"/>
      <c r="I66" s="159"/>
      <c r="J66" s="159"/>
      <c r="K66" s="159"/>
      <c r="L66" s="20">
        <v>50</v>
      </c>
      <c r="M66" s="169">
        <v>43261</v>
      </c>
      <c r="N66" s="169">
        <v>43262</v>
      </c>
      <c r="O66" s="169">
        <v>43262</v>
      </c>
      <c r="P66" s="9" t="s">
        <v>170</v>
      </c>
      <c r="Q66" s="167" t="s">
        <v>936</v>
      </c>
      <c r="R66" s="167" t="s">
        <v>937</v>
      </c>
      <c r="S66" s="167">
        <v>601200235</v>
      </c>
      <c r="T66" s="20" t="s">
        <v>938</v>
      </c>
      <c r="U66" s="20" t="s">
        <v>939</v>
      </c>
      <c r="V66" s="20"/>
      <c r="W66" s="20">
        <v>176</v>
      </c>
      <c r="X66" s="204"/>
      <c r="Y66" s="20"/>
      <c r="Z66" s="20"/>
    </row>
    <row r="67" spans="1:26" ht="15.75" customHeight="1">
      <c r="A67" s="8">
        <v>66</v>
      </c>
      <c r="B67" s="20" t="s">
        <v>940</v>
      </c>
      <c r="C67" s="20" t="s">
        <v>941</v>
      </c>
      <c r="D67" s="159"/>
      <c r="E67" s="159"/>
      <c r="F67" s="159"/>
      <c r="G67" s="159"/>
      <c r="H67" s="159"/>
      <c r="I67" s="159"/>
      <c r="J67" s="159"/>
      <c r="K67" s="159"/>
      <c r="L67" s="20">
        <v>50</v>
      </c>
      <c r="M67" s="169">
        <v>43275</v>
      </c>
      <c r="N67" s="169">
        <v>43276</v>
      </c>
      <c r="O67" s="169">
        <v>43276</v>
      </c>
      <c r="P67" s="9" t="s">
        <v>170</v>
      </c>
      <c r="Q67" s="167" t="s">
        <v>942</v>
      </c>
      <c r="R67" s="167" t="s">
        <v>943</v>
      </c>
      <c r="S67" s="167">
        <v>690982541</v>
      </c>
      <c r="T67" s="20"/>
      <c r="U67" s="20" t="s">
        <v>944</v>
      </c>
      <c r="V67" s="20"/>
      <c r="W67" s="20">
        <v>177</v>
      </c>
      <c r="X67" s="204"/>
      <c r="Y67" s="20"/>
      <c r="Z67" s="20"/>
    </row>
    <row r="68" spans="1:26" ht="15.75" customHeight="1">
      <c r="A68" s="8">
        <v>67</v>
      </c>
      <c r="B68" s="20" t="s">
        <v>924</v>
      </c>
      <c r="C68" s="20" t="s">
        <v>945</v>
      </c>
      <c r="D68" s="159"/>
      <c r="E68" s="159"/>
      <c r="F68" s="159"/>
      <c r="G68" s="159"/>
      <c r="H68" s="159"/>
      <c r="I68" s="159"/>
      <c r="J68" s="159"/>
      <c r="K68" s="159"/>
      <c r="L68" s="20">
        <v>50</v>
      </c>
      <c r="M68" s="169">
        <v>43317</v>
      </c>
      <c r="N68" s="169">
        <v>43318</v>
      </c>
      <c r="O68" s="169">
        <v>43318</v>
      </c>
      <c r="P68" s="18" t="s">
        <v>689</v>
      </c>
      <c r="Q68" s="167" t="s">
        <v>946</v>
      </c>
      <c r="R68" s="167" t="s">
        <v>947</v>
      </c>
      <c r="S68" s="167">
        <v>607299999</v>
      </c>
      <c r="T68" s="20" t="s">
        <v>948</v>
      </c>
      <c r="U68" s="20" t="s">
        <v>949</v>
      </c>
      <c r="V68" s="20"/>
      <c r="W68" s="20">
        <v>178</v>
      </c>
      <c r="X68" s="204"/>
      <c r="Y68" s="20"/>
      <c r="Z68" s="20"/>
    </row>
    <row r="69" spans="1:26" ht="15.75" customHeight="1">
      <c r="A69" s="8">
        <v>68</v>
      </c>
      <c r="B69" s="20" t="s">
        <v>559</v>
      </c>
      <c r="C69" s="20" t="s">
        <v>128</v>
      </c>
      <c r="D69" s="159"/>
      <c r="E69" s="159"/>
      <c r="F69" s="159"/>
      <c r="G69" s="159"/>
      <c r="H69" s="159"/>
      <c r="I69" s="159"/>
      <c r="J69" s="159"/>
      <c r="K69" s="159"/>
      <c r="L69" s="20">
        <v>50</v>
      </c>
      <c r="M69" s="169">
        <v>43333</v>
      </c>
      <c r="N69" s="169">
        <v>43333</v>
      </c>
      <c r="O69" s="169">
        <v>43333</v>
      </c>
      <c r="P69" s="8" t="s">
        <v>170</v>
      </c>
      <c r="Q69" s="167" t="s">
        <v>950</v>
      </c>
      <c r="R69" s="167" t="s">
        <v>951</v>
      </c>
      <c r="S69" s="186">
        <v>604516243</v>
      </c>
      <c r="T69" s="20" t="s">
        <v>952</v>
      </c>
      <c r="U69" s="20" t="s">
        <v>953</v>
      </c>
      <c r="V69" s="20"/>
      <c r="W69" s="20">
        <v>179</v>
      </c>
      <c r="X69" s="204"/>
      <c r="Y69" s="20" t="s">
        <v>954</v>
      </c>
      <c r="Z69" s="20"/>
    </row>
    <row r="70" spans="1:26" ht="15.75" customHeight="1">
      <c r="A70" s="8">
        <v>69</v>
      </c>
      <c r="B70" s="20" t="s">
        <v>568</v>
      </c>
      <c r="C70" s="20" t="s">
        <v>116</v>
      </c>
      <c r="D70" s="159"/>
      <c r="E70" s="159"/>
      <c r="F70" s="159"/>
      <c r="G70" s="159"/>
      <c r="H70" s="159"/>
      <c r="I70" s="159"/>
      <c r="J70" s="159"/>
      <c r="K70" s="159"/>
      <c r="L70" s="20">
        <v>50</v>
      </c>
      <c r="M70" s="169">
        <v>43341</v>
      </c>
      <c r="N70" s="169">
        <v>43342</v>
      </c>
      <c r="O70" s="169">
        <v>43342</v>
      </c>
      <c r="P70" s="8" t="s">
        <v>170</v>
      </c>
      <c r="Q70" s="167" t="s">
        <v>955</v>
      </c>
      <c r="R70" s="167" t="s">
        <v>956</v>
      </c>
      <c r="S70" s="167">
        <v>721120282</v>
      </c>
      <c r="T70" s="20"/>
      <c r="U70" s="20" t="s">
        <v>957</v>
      </c>
      <c r="V70" s="20"/>
      <c r="W70" s="20">
        <v>180</v>
      </c>
      <c r="X70" s="204"/>
      <c r="Y70" s="20"/>
      <c r="Z70" s="20"/>
    </row>
    <row r="71" spans="1:26" ht="15.75" customHeight="1">
      <c r="A71" s="8">
        <v>70</v>
      </c>
      <c r="B71" s="20" t="s">
        <v>48</v>
      </c>
      <c r="C71" s="20" t="s">
        <v>958</v>
      </c>
      <c r="D71" s="159"/>
      <c r="E71" s="159"/>
      <c r="F71" s="159"/>
      <c r="G71" s="159"/>
      <c r="H71" s="159"/>
      <c r="I71" s="159"/>
      <c r="J71" s="159"/>
      <c r="K71" s="159"/>
      <c r="L71" s="20">
        <v>50</v>
      </c>
      <c r="M71" s="169">
        <v>43353</v>
      </c>
      <c r="N71" s="169">
        <v>43354</v>
      </c>
      <c r="O71" s="169">
        <v>43354</v>
      </c>
      <c r="P71" s="8" t="s">
        <v>170</v>
      </c>
      <c r="Q71" s="167" t="s">
        <v>959</v>
      </c>
      <c r="R71" s="167" t="s">
        <v>960</v>
      </c>
      <c r="S71" s="186">
        <v>791142314</v>
      </c>
      <c r="T71" s="20"/>
      <c r="U71" s="20" t="s">
        <v>961</v>
      </c>
      <c r="V71" s="20"/>
      <c r="W71" s="20">
        <v>181</v>
      </c>
      <c r="X71" s="204"/>
      <c r="Y71" s="20"/>
      <c r="Z71" s="20"/>
    </row>
    <row r="72" spans="1:26" ht="15.75" customHeight="1">
      <c r="A72" s="8">
        <v>71</v>
      </c>
      <c r="B72" s="20" t="s">
        <v>239</v>
      </c>
      <c r="C72" s="20" t="s">
        <v>962</v>
      </c>
      <c r="D72" s="159"/>
      <c r="E72" s="159"/>
      <c r="F72" s="159"/>
      <c r="G72" s="159"/>
      <c r="H72" s="159"/>
      <c r="I72" s="159"/>
      <c r="J72" s="159"/>
      <c r="K72" s="159"/>
      <c r="L72" s="20">
        <v>50</v>
      </c>
      <c r="M72" s="169">
        <v>43368</v>
      </c>
      <c r="N72" s="169">
        <v>43369</v>
      </c>
      <c r="O72" s="169">
        <v>43369</v>
      </c>
      <c r="P72" s="8" t="s">
        <v>170</v>
      </c>
      <c r="Q72" s="167" t="s">
        <v>963</v>
      </c>
      <c r="R72" s="167" t="s">
        <v>964</v>
      </c>
      <c r="S72" s="186">
        <v>664733883</v>
      </c>
      <c r="T72" s="20"/>
      <c r="U72" s="20" t="s">
        <v>965</v>
      </c>
      <c r="V72" s="20"/>
      <c r="W72" s="20">
        <v>182</v>
      </c>
      <c r="X72" s="204"/>
      <c r="Y72" s="20" t="s">
        <v>966</v>
      </c>
      <c r="Z72" s="20"/>
    </row>
    <row r="73" spans="1:26" ht="15.75" customHeight="1">
      <c r="A73" s="8">
        <v>72</v>
      </c>
      <c r="B73" s="20" t="s">
        <v>55</v>
      </c>
      <c r="C73" s="20" t="s">
        <v>402</v>
      </c>
      <c r="D73" s="159"/>
      <c r="E73" s="159"/>
      <c r="F73" s="159"/>
      <c r="G73" s="159"/>
      <c r="H73" s="159"/>
      <c r="I73" s="159"/>
      <c r="J73" s="159"/>
      <c r="K73" s="159"/>
      <c r="L73" s="20">
        <v>50</v>
      </c>
      <c r="M73" s="169">
        <v>43397</v>
      </c>
      <c r="N73" s="169">
        <v>43398</v>
      </c>
      <c r="O73" s="169">
        <v>43398</v>
      </c>
      <c r="P73" s="8" t="s">
        <v>170</v>
      </c>
      <c r="Q73" s="167" t="s">
        <v>967</v>
      </c>
      <c r="R73" s="167" t="s">
        <v>968</v>
      </c>
      <c r="S73" s="167">
        <v>609295232</v>
      </c>
      <c r="T73" s="20"/>
      <c r="U73" s="20" t="s">
        <v>969</v>
      </c>
      <c r="V73" s="20"/>
      <c r="W73" s="20">
        <v>183</v>
      </c>
      <c r="X73" s="204"/>
      <c r="Y73" s="20"/>
      <c r="Z73" s="20"/>
    </row>
    <row r="74" spans="1:26" ht="15.75" customHeight="1">
      <c r="A74" s="8">
        <v>73</v>
      </c>
      <c r="B74" s="20" t="s">
        <v>13</v>
      </c>
      <c r="C74" s="20" t="s">
        <v>970</v>
      </c>
      <c r="D74" s="159"/>
      <c r="E74" s="159"/>
      <c r="F74" s="159"/>
      <c r="G74" s="159"/>
      <c r="H74" s="159"/>
      <c r="I74" s="159"/>
      <c r="J74" s="159"/>
      <c r="K74" s="159"/>
      <c r="L74" s="20">
        <v>50</v>
      </c>
      <c r="M74" s="169">
        <v>43398</v>
      </c>
      <c r="N74" s="169">
        <v>43399</v>
      </c>
      <c r="O74" s="169">
        <v>43399</v>
      </c>
      <c r="P74" s="8" t="s">
        <v>170</v>
      </c>
      <c r="Q74" s="167" t="s">
        <v>971</v>
      </c>
      <c r="R74" s="167" t="s">
        <v>972</v>
      </c>
      <c r="S74" s="167">
        <v>506162905</v>
      </c>
      <c r="T74" s="20"/>
      <c r="U74" s="20" t="s">
        <v>973</v>
      </c>
      <c r="V74" s="20"/>
      <c r="W74" s="20">
        <v>184</v>
      </c>
      <c r="X74" s="204"/>
      <c r="Y74" s="20"/>
      <c r="Z74" s="20"/>
    </row>
    <row r="75" spans="1:26" ht="15.75" customHeight="1">
      <c r="A75" s="8">
        <v>74</v>
      </c>
      <c r="B75" s="20" t="s">
        <v>300</v>
      </c>
      <c r="C75" s="20" t="s">
        <v>974</v>
      </c>
      <c r="D75" s="159"/>
      <c r="E75" s="159"/>
      <c r="F75" s="159"/>
      <c r="G75" s="159"/>
      <c r="H75" s="159"/>
      <c r="I75" s="159"/>
      <c r="J75" s="159"/>
      <c r="K75" s="159"/>
      <c r="L75" s="20">
        <v>50</v>
      </c>
      <c r="M75" s="169">
        <v>43402</v>
      </c>
      <c r="N75" s="169">
        <v>43403</v>
      </c>
      <c r="O75" s="169">
        <v>43403</v>
      </c>
      <c r="P75" s="8" t="s">
        <v>170</v>
      </c>
      <c r="Q75" s="167" t="s">
        <v>975</v>
      </c>
      <c r="R75" s="167" t="s">
        <v>976</v>
      </c>
      <c r="S75" s="167">
        <v>881438135</v>
      </c>
      <c r="T75" s="20"/>
      <c r="U75" s="20" t="s">
        <v>977</v>
      </c>
      <c r="V75" s="20"/>
      <c r="W75" s="20">
        <v>185</v>
      </c>
      <c r="X75" s="204"/>
      <c r="Y75" s="20" t="s">
        <v>978</v>
      </c>
      <c r="Z75" s="20" t="s">
        <v>979</v>
      </c>
    </row>
    <row r="76" spans="1:26" ht="15.75" customHeight="1">
      <c r="A76" s="8">
        <v>75</v>
      </c>
      <c r="B76" s="20" t="s">
        <v>980</v>
      </c>
      <c r="C76" s="20" t="s">
        <v>981</v>
      </c>
      <c r="D76" s="159"/>
      <c r="E76" s="159"/>
      <c r="F76" s="159"/>
      <c r="G76" s="159"/>
      <c r="H76" s="159"/>
      <c r="I76" s="159"/>
      <c r="J76" s="159"/>
      <c r="K76" s="159"/>
      <c r="L76" s="20">
        <v>50</v>
      </c>
      <c r="M76" s="169">
        <v>43417</v>
      </c>
      <c r="N76" s="169">
        <v>43418</v>
      </c>
      <c r="O76" s="169">
        <v>43418</v>
      </c>
      <c r="P76" s="8" t="s">
        <v>170</v>
      </c>
      <c r="Q76" s="167" t="s">
        <v>982</v>
      </c>
      <c r="R76" s="167" t="s">
        <v>983</v>
      </c>
      <c r="S76" s="167">
        <v>600367361</v>
      </c>
      <c r="T76" s="20"/>
      <c r="U76" s="20" t="s">
        <v>984</v>
      </c>
      <c r="V76" s="20"/>
      <c r="W76" s="20">
        <v>186</v>
      </c>
      <c r="X76" s="204"/>
      <c r="Y76" s="20" t="s">
        <v>985</v>
      </c>
      <c r="Z76" s="20"/>
    </row>
    <row r="77" spans="1:26" ht="15.75" customHeight="1">
      <c r="A77" s="8">
        <v>76</v>
      </c>
      <c r="B77" s="20" t="s">
        <v>559</v>
      </c>
      <c r="C77" s="20" t="s">
        <v>986</v>
      </c>
      <c r="D77" s="159"/>
      <c r="E77" s="159"/>
      <c r="F77" s="159"/>
      <c r="G77" s="159"/>
      <c r="H77" s="159"/>
      <c r="I77" s="159"/>
      <c r="J77" s="159"/>
      <c r="K77" s="159"/>
      <c r="L77" s="207">
        <v>50</v>
      </c>
      <c r="M77" s="169">
        <v>43418</v>
      </c>
      <c r="N77" s="169">
        <v>43419</v>
      </c>
      <c r="O77" s="169">
        <v>43419</v>
      </c>
      <c r="P77" s="8" t="s">
        <v>170</v>
      </c>
      <c r="Q77" s="167" t="s">
        <v>987</v>
      </c>
      <c r="R77" s="167" t="s">
        <v>988</v>
      </c>
      <c r="S77" s="167">
        <v>669609981</v>
      </c>
      <c r="T77" s="20"/>
      <c r="U77" s="20" t="s">
        <v>989</v>
      </c>
      <c r="V77" s="20"/>
      <c r="W77" s="20">
        <v>187</v>
      </c>
      <c r="X77" s="20"/>
      <c r="Y77" s="20"/>
      <c r="Z77" s="20"/>
    </row>
    <row r="78" spans="1:26" ht="15.75" customHeight="1"/>
    <row r="79" spans="1:26" ht="15.75" customHeight="1"/>
    <row r="80" spans="1:2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ef="U16" r:id="rId1" xr:uid="{00000000-0004-0000-0800-000000000000}"/>
  </hyperlink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10"/>
  <dimension ref="A1:AA1000"/>
  <sheetViews>
    <sheetView workbookViewId="0">
      <pane ySplit="1" topLeftCell="A2" activePane="bottomLeft" state="frozen"/>
      <selection pane="bottomLeft" activeCell="B3" sqref="B3"/>
    </sheetView>
  </sheetViews>
  <sheetFormatPr defaultColWidth="14.44140625" defaultRowHeight="15" customHeight="1"/>
  <cols>
    <col min="1" max="1" width="9.44140625" customWidth="1"/>
    <col min="2" max="2" width="13.33203125" customWidth="1"/>
    <col min="3" max="3" width="14" customWidth="1"/>
    <col min="4" max="4" width="6.6640625" customWidth="1"/>
    <col min="5" max="5" width="6.5546875" customWidth="1"/>
    <col min="6" max="7" width="6" customWidth="1"/>
    <col min="8" max="8" width="5.88671875" customWidth="1"/>
    <col min="9" max="10" width="5.33203125" customWidth="1"/>
    <col min="11" max="11" width="5" customWidth="1"/>
    <col min="12" max="12" width="5.109375" customWidth="1"/>
    <col min="13" max="13" width="5.33203125" customWidth="1"/>
    <col min="14" max="14" width="12.88671875" customWidth="1"/>
    <col min="15" max="15" width="13.33203125" customWidth="1"/>
    <col min="16" max="16" width="15.6640625" customWidth="1"/>
    <col min="17" max="17" width="24.33203125" customWidth="1"/>
    <col min="18" max="18" width="37.44140625" customWidth="1"/>
    <col min="19" max="19" width="27.5546875" customWidth="1"/>
    <col min="20" max="20" width="16.44140625" customWidth="1"/>
    <col min="21" max="21" width="21.5546875" customWidth="1"/>
    <col min="22" max="22" width="30.6640625" customWidth="1"/>
    <col min="23" max="23" width="16.109375" customWidth="1"/>
    <col min="24" max="25" width="8.6640625" customWidth="1"/>
    <col min="26" max="26" width="17" customWidth="1"/>
    <col min="27" max="27" width="47.5546875" customWidth="1"/>
  </cols>
  <sheetData>
    <row r="1" spans="1:27" ht="14.4">
      <c r="A1" s="1" t="s">
        <v>0</v>
      </c>
      <c r="B1" s="2" t="s">
        <v>1</v>
      </c>
      <c r="C1" s="2" t="s">
        <v>2</v>
      </c>
      <c r="D1" s="1">
        <v>2010</v>
      </c>
      <c r="E1" s="1">
        <v>2011</v>
      </c>
      <c r="F1" s="1">
        <v>2012</v>
      </c>
      <c r="G1" s="1">
        <v>2013</v>
      </c>
      <c r="H1" s="1">
        <v>2014</v>
      </c>
      <c r="I1" s="1">
        <v>2015</v>
      </c>
      <c r="J1" s="1">
        <v>2016</v>
      </c>
      <c r="K1" s="1">
        <v>2017</v>
      </c>
      <c r="L1" s="211">
        <v>2018</v>
      </c>
      <c r="M1" s="212">
        <v>2019</v>
      </c>
      <c r="N1" s="213" t="s">
        <v>3</v>
      </c>
      <c r="O1" s="116" t="s">
        <v>199</v>
      </c>
      <c r="P1" s="116" t="s">
        <v>573</v>
      </c>
      <c r="Q1" s="85" t="s">
        <v>5</v>
      </c>
      <c r="R1" s="1" t="s">
        <v>6</v>
      </c>
      <c r="S1" s="1" t="s">
        <v>574</v>
      </c>
      <c r="T1" s="1" t="s">
        <v>7</v>
      </c>
      <c r="U1" s="1" t="s">
        <v>8</v>
      </c>
      <c r="V1" s="1" t="s">
        <v>9</v>
      </c>
      <c r="W1" s="1" t="s">
        <v>10</v>
      </c>
      <c r="X1" s="85" t="s">
        <v>11</v>
      </c>
      <c r="Y1" s="117" t="s">
        <v>12</v>
      </c>
      <c r="Z1" s="189" t="s">
        <v>740</v>
      </c>
      <c r="AA1" s="189" t="s">
        <v>741</v>
      </c>
    </row>
    <row r="2" spans="1:27" ht="14.4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0">
        <v>120</v>
      </c>
      <c r="G2" s="10">
        <v>50</v>
      </c>
      <c r="H2" s="10">
        <v>50</v>
      </c>
      <c r="I2" s="10">
        <v>50</v>
      </c>
      <c r="J2" s="10">
        <v>50</v>
      </c>
      <c r="K2" s="10"/>
      <c r="L2" s="214"/>
      <c r="M2" s="8">
        <v>50</v>
      </c>
      <c r="N2" s="190">
        <v>40316</v>
      </c>
      <c r="O2" s="11">
        <v>40229</v>
      </c>
      <c r="P2" s="11">
        <v>43951</v>
      </c>
      <c r="Q2" s="8" t="s">
        <v>575</v>
      </c>
      <c r="R2" s="12" t="s">
        <v>16</v>
      </c>
      <c r="S2" s="12" t="s">
        <v>17</v>
      </c>
      <c r="T2" s="10">
        <v>502534510</v>
      </c>
      <c r="U2" s="10" t="s">
        <v>18</v>
      </c>
      <c r="V2" s="43" t="s">
        <v>19</v>
      </c>
      <c r="W2" s="10" t="s">
        <v>20</v>
      </c>
      <c r="X2" s="45">
        <v>2</v>
      </c>
      <c r="Y2" s="40" t="s">
        <v>200</v>
      </c>
      <c r="Z2" s="22"/>
      <c r="AA2" s="22"/>
    </row>
    <row r="3" spans="1:27" ht="14.4">
      <c r="A3" s="8">
        <v>2</v>
      </c>
      <c r="B3" s="23" t="s">
        <v>21</v>
      </c>
      <c r="C3" s="23" t="s">
        <v>22</v>
      </c>
      <c r="D3" s="136">
        <v>120</v>
      </c>
      <c r="E3" s="136">
        <v>120</v>
      </c>
      <c r="F3" s="136">
        <v>120</v>
      </c>
      <c r="G3" s="136">
        <v>50</v>
      </c>
      <c r="H3" s="136">
        <v>50</v>
      </c>
      <c r="I3" s="136">
        <v>50</v>
      </c>
      <c r="J3" s="136">
        <v>50</v>
      </c>
      <c r="K3" s="136">
        <v>50</v>
      </c>
      <c r="L3" s="215">
        <v>50</v>
      </c>
      <c r="M3" s="10">
        <v>50</v>
      </c>
      <c r="N3" s="216">
        <v>40316</v>
      </c>
      <c r="O3" s="137">
        <v>40229</v>
      </c>
      <c r="P3" s="137" t="s">
        <v>990</v>
      </c>
      <c r="Q3" s="8" t="s">
        <v>590</v>
      </c>
      <c r="R3" s="27" t="s">
        <v>24</v>
      </c>
      <c r="S3" s="27" t="s">
        <v>25</v>
      </c>
      <c r="T3" s="25">
        <v>605230859</v>
      </c>
      <c r="U3" s="25" t="s">
        <v>26</v>
      </c>
      <c r="V3" s="138" t="s">
        <v>27</v>
      </c>
      <c r="W3" s="136" t="s">
        <v>28</v>
      </c>
      <c r="X3" s="139">
        <v>3</v>
      </c>
      <c r="Y3" s="201" t="s">
        <v>412</v>
      </c>
      <c r="Z3" s="20"/>
      <c r="AA3" s="20"/>
    </row>
    <row r="4" spans="1:27" ht="14.4">
      <c r="A4" s="8">
        <v>3</v>
      </c>
      <c r="B4" s="9" t="s">
        <v>35</v>
      </c>
      <c r="C4" s="9" t="s">
        <v>36</v>
      </c>
      <c r="D4" s="10">
        <v>120</v>
      </c>
      <c r="E4" s="10">
        <v>120</v>
      </c>
      <c r="F4" s="10">
        <v>120</v>
      </c>
      <c r="G4" s="10">
        <v>50</v>
      </c>
      <c r="H4" s="10">
        <v>100</v>
      </c>
      <c r="I4" s="10">
        <v>50</v>
      </c>
      <c r="J4" s="10">
        <v>50</v>
      </c>
      <c r="K4" s="10"/>
      <c r="L4" s="58">
        <v>50</v>
      </c>
      <c r="M4" s="10">
        <v>50</v>
      </c>
      <c r="N4" s="190">
        <v>40316</v>
      </c>
      <c r="O4" s="11">
        <v>40229</v>
      </c>
      <c r="P4" s="11">
        <v>44006</v>
      </c>
      <c r="Q4" s="8" t="s">
        <v>57</v>
      </c>
      <c r="R4" s="12" t="s">
        <v>37</v>
      </c>
      <c r="S4" s="12" t="s">
        <v>38</v>
      </c>
      <c r="T4" s="10">
        <v>608666164</v>
      </c>
      <c r="U4" s="10" t="s">
        <v>39</v>
      </c>
      <c r="V4" s="141" t="s">
        <v>577</v>
      </c>
      <c r="W4" s="10" t="s">
        <v>41</v>
      </c>
      <c r="X4" s="45">
        <v>4</v>
      </c>
      <c r="Y4" s="201" t="s">
        <v>200</v>
      </c>
      <c r="Z4" s="20"/>
      <c r="AA4" s="20"/>
    </row>
    <row r="5" spans="1:27" ht="14.4">
      <c r="A5" s="8">
        <v>4</v>
      </c>
      <c r="B5" s="9" t="s">
        <v>42</v>
      </c>
      <c r="C5" s="9" t="s">
        <v>36</v>
      </c>
      <c r="D5" s="10">
        <v>120</v>
      </c>
      <c r="E5" s="10">
        <v>120</v>
      </c>
      <c r="F5" s="10">
        <v>120</v>
      </c>
      <c r="G5" s="10">
        <v>50</v>
      </c>
      <c r="H5" s="10">
        <v>50</v>
      </c>
      <c r="I5" s="10">
        <v>100</v>
      </c>
      <c r="J5" s="10">
        <v>50</v>
      </c>
      <c r="K5" s="10">
        <v>50</v>
      </c>
      <c r="L5" s="58">
        <v>50</v>
      </c>
      <c r="M5" s="10">
        <v>50</v>
      </c>
      <c r="N5" s="190">
        <v>40316</v>
      </c>
      <c r="O5" s="11">
        <v>40229</v>
      </c>
      <c r="P5" s="11">
        <v>44006</v>
      </c>
      <c r="Q5" s="8" t="s">
        <v>136</v>
      </c>
      <c r="R5" s="12" t="s">
        <v>44</v>
      </c>
      <c r="S5" s="12" t="s">
        <v>45</v>
      </c>
      <c r="T5" s="8">
        <v>608666170</v>
      </c>
      <c r="U5" s="71" t="s">
        <v>46</v>
      </c>
      <c r="V5" s="20" t="s">
        <v>742</v>
      </c>
      <c r="W5" s="56" t="s">
        <v>32</v>
      </c>
      <c r="X5" s="45">
        <v>6</v>
      </c>
      <c r="Y5" s="201" t="s">
        <v>412</v>
      </c>
      <c r="Z5" s="20"/>
      <c r="AA5" s="20"/>
    </row>
    <row r="6" spans="1:27" ht="14.4">
      <c r="A6" s="8">
        <v>5</v>
      </c>
      <c r="B6" s="9" t="s">
        <v>141</v>
      </c>
      <c r="C6" s="9" t="s">
        <v>169</v>
      </c>
      <c r="D6" s="10">
        <v>30</v>
      </c>
      <c r="E6" s="10">
        <v>120</v>
      </c>
      <c r="F6" s="10">
        <v>120</v>
      </c>
      <c r="G6" s="10">
        <v>50</v>
      </c>
      <c r="H6" s="10">
        <v>50</v>
      </c>
      <c r="I6" s="10">
        <v>50</v>
      </c>
      <c r="J6" s="10">
        <v>50</v>
      </c>
      <c r="K6" s="10">
        <v>50</v>
      </c>
      <c r="L6" s="58"/>
      <c r="M6" s="10">
        <v>50</v>
      </c>
      <c r="N6" s="190">
        <v>40459</v>
      </c>
      <c r="O6" s="11">
        <v>40460</v>
      </c>
      <c r="P6" s="11">
        <v>43626</v>
      </c>
      <c r="Q6" s="8" t="s">
        <v>43</v>
      </c>
      <c r="R6" s="12" t="s">
        <v>171</v>
      </c>
      <c r="S6" s="12" t="s">
        <v>172</v>
      </c>
      <c r="T6" s="10">
        <v>793406015</v>
      </c>
      <c r="U6" s="58" t="s">
        <v>173</v>
      </c>
      <c r="V6" s="20" t="s">
        <v>579</v>
      </c>
      <c r="W6" s="56" t="s">
        <v>32</v>
      </c>
      <c r="X6" s="45">
        <v>5</v>
      </c>
      <c r="Y6" s="202"/>
      <c r="Z6" s="20"/>
      <c r="AA6" s="20"/>
    </row>
    <row r="7" spans="1:27" ht="14.4">
      <c r="A7" s="8">
        <v>6</v>
      </c>
      <c r="B7" s="9" t="s">
        <v>55</v>
      </c>
      <c r="C7" s="9" t="s">
        <v>63</v>
      </c>
      <c r="D7" s="10">
        <v>120</v>
      </c>
      <c r="E7" s="10">
        <v>120</v>
      </c>
      <c r="F7" s="10">
        <v>120</v>
      </c>
      <c r="G7" s="10">
        <v>50</v>
      </c>
      <c r="H7" s="10">
        <v>100</v>
      </c>
      <c r="I7" s="10">
        <v>100</v>
      </c>
      <c r="J7" s="10">
        <v>100</v>
      </c>
      <c r="K7" s="10">
        <v>100</v>
      </c>
      <c r="L7" s="58">
        <v>50</v>
      </c>
      <c r="M7" s="10"/>
      <c r="N7" s="190">
        <v>40316</v>
      </c>
      <c r="O7" s="11">
        <v>40229</v>
      </c>
      <c r="P7" s="19">
        <v>43875</v>
      </c>
      <c r="Q7" s="8" t="s">
        <v>43</v>
      </c>
      <c r="R7" s="18" t="s">
        <v>991</v>
      </c>
      <c r="S7" s="108" t="s">
        <v>992</v>
      </c>
      <c r="T7" s="8">
        <v>600118375</v>
      </c>
      <c r="U7" s="8" t="s">
        <v>67</v>
      </c>
      <c r="V7" s="138" t="s">
        <v>68</v>
      </c>
      <c r="W7" s="10" t="s">
        <v>32</v>
      </c>
      <c r="X7" s="45">
        <v>8</v>
      </c>
      <c r="Y7" s="201" t="s">
        <v>412</v>
      </c>
      <c r="Z7" s="20"/>
      <c r="AA7" s="20"/>
    </row>
    <row r="8" spans="1:27" ht="14.4">
      <c r="A8" s="8">
        <v>7</v>
      </c>
      <c r="B8" s="9" t="s">
        <v>42</v>
      </c>
      <c r="C8" s="9" t="s">
        <v>69</v>
      </c>
      <c r="D8" s="10">
        <v>120</v>
      </c>
      <c r="E8" s="10">
        <v>150</v>
      </c>
      <c r="F8" s="10">
        <v>120</v>
      </c>
      <c r="G8" s="10">
        <v>50</v>
      </c>
      <c r="H8" s="10">
        <v>50</v>
      </c>
      <c r="I8" s="10">
        <v>50</v>
      </c>
      <c r="J8" s="10">
        <v>50</v>
      </c>
      <c r="K8" s="10">
        <v>50</v>
      </c>
      <c r="L8" s="58">
        <v>50</v>
      </c>
      <c r="M8" s="10">
        <v>50</v>
      </c>
      <c r="N8" s="190">
        <v>40316</v>
      </c>
      <c r="O8" s="11">
        <v>40229</v>
      </c>
      <c r="P8" s="11">
        <v>43873</v>
      </c>
      <c r="Q8" s="8" t="s">
        <v>150</v>
      </c>
      <c r="R8" s="25" t="s">
        <v>71</v>
      </c>
      <c r="S8" s="12" t="s">
        <v>72</v>
      </c>
      <c r="T8" s="10">
        <v>603628256</v>
      </c>
      <c r="U8" s="10" t="s">
        <v>73</v>
      </c>
      <c r="V8" s="45" t="s">
        <v>74</v>
      </c>
      <c r="W8" s="10" t="s">
        <v>75</v>
      </c>
      <c r="X8" s="45">
        <v>7</v>
      </c>
      <c r="Y8" s="201" t="s">
        <v>200</v>
      </c>
      <c r="Z8" s="20"/>
      <c r="AA8" s="20"/>
    </row>
    <row r="9" spans="1:27" ht="14.4">
      <c r="A9" s="8">
        <v>8</v>
      </c>
      <c r="B9" s="9" t="s">
        <v>88</v>
      </c>
      <c r="C9" s="9" t="s">
        <v>89</v>
      </c>
      <c r="D9" s="10">
        <v>120</v>
      </c>
      <c r="E9" s="10">
        <v>120</v>
      </c>
      <c r="F9" s="10">
        <v>120</v>
      </c>
      <c r="G9" s="10">
        <v>50</v>
      </c>
      <c r="H9" s="10">
        <v>200</v>
      </c>
      <c r="I9" s="10">
        <v>100</v>
      </c>
      <c r="J9" s="10">
        <v>100</v>
      </c>
      <c r="K9" s="10">
        <v>200</v>
      </c>
      <c r="L9" s="58">
        <v>200</v>
      </c>
      <c r="M9" s="10">
        <v>200</v>
      </c>
      <c r="N9" s="190">
        <v>40316</v>
      </c>
      <c r="O9" s="11">
        <v>40229</v>
      </c>
      <c r="P9" s="67">
        <v>43920</v>
      </c>
      <c r="Q9" s="71" t="s">
        <v>43</v>
      </c>
      <c r="R9" s="10" t="s">
        <v>90</v>
      </c>
      <c r="S9" s="57" t="s">
        <v>91</v>
      </c>
      <c r="T9" s="10" t="s">
        <v>584</v>
      </c>
      <c r="U9" s="10" t="s">
        <v>92</v>
      </c>
      <c r="V9" s="141" t="s">
        <v>585</v>
      </c>
      <c r="W9" s="10">
        <v>48223783633</v>
      </c>
      <c r="X9" s="45">
        <v>10</v>
      </c>
      <c r="Y9" s="202"/>
      <c r="Z9" s="20"/>
      <c r="AA9" s="20"/>
    </row>
    <row r="10" spans="1:27" ht="14.4">
      <c r="A10" s="8">
        <v>9</v>
      </c>
      <c r="B10" s="9" t="s">
        <v>94</v>
      </c>
      <c r="C10" s="9" t="s">
        <v>95</v>
      </c>
      <c r="D10" s="10">
        <v>60</v>
      </c>
      <c r="E10" s="10">
        <v>60</v>
      </c>
      <c r="F10" s="10">
        <v>120</v>
      </c>
      <c r="G10" s="10">
        <v>50</v>
      </c>
      <c r="H10" s="10">
        <v>50</v>
      </c>
      <c r="I10" s="10">
        <v>50</v>
      </c>
      <c r="J10" s="10">
        <v>50</v>
      </c>
      <c r="K10" s="10">
        <v>50</v>
      </c>
      <c r="L10" s="58">
        <v>50</v>
      </c>
      <c r="M10" s="10">
        <v>50</v>
      </c>
      <c r="N10" s="190">
        <v>40316</v>
      </c>
      <c r="O10" s="11">
        <v>40229</v>
      </c>
      <c r="P10" s="11">
        <v>43965</v>
      </c>
      <c r="Q10" s="8" t="s">
        <v>578</v>
      </c>
      <c r="R10" s="27" t="s">
        <v>96</v>
      </c>
      <c r="S10" s="12" t="s">
        <v>97</v>
      </c>
      <c r="T10" s="10">
        <v>514474608</v>
      </c>
      <c r="U10" s="10" t="s">
        <v>98</v>
      </c>
      <c r="V10" s="45" t="s">
        <v>99</v>
      </c>
      <c r="W10" s="10" t="s">
        <v>100</v>
      </c>
      <c r="X10" s="45">
        <v>9</v>
      </c>
      <c r="Y10" s="201" t="s">
        <v>686</v>
      </c>
      <c r="Z10" s="20"/>
      <c r="AA10" s="20"/>
    </row>
    <row r="11" spans="1:27" ht="14.4">
      <c r="A11" s="8">
        <v>10</v>
      </c>
      <c r="B11" s="9" t="s">
        <v>108</v>
      </c>
      <c r="C11" s="9" t="s">
        <v>109</v>
      </c>
      <c r="D11" s="10">
        <v>120</v>
      </c>
      <c r="E11" s="10">
        <v>120</v>
      </c>
      <c r="F11" s="10">
        <v>120</v>
      </c>
      <c r="G11" s="10"/>
      <c r="H11" s="10">
        <v>50</v>
      </c>
      <c r="I11" s="10"/>
      <c r="J11" s="10"/>
      <c r="K11" s="10"/>
      <c r="L11" s="58"/>
      <c r="M11" s="10">
        <v>50</v>
      </c>
      <c r="N11" s="190">
        <v>40316</v>
      </c>
      <c r="O11" s="11">
        <v>40229</v>
      </c>
      <c r="P11" s="11">
        <v>43479</v>
      </c>
      <c r="Q11" s="8" t="s">
        <v>43</v>
      </c>
      <c r="R11" s="27" t="s">
        <v>111</v>
      </c>
      <c r="S11" s="12" t="s">
        <v>112</v>
      </c>
      <c r="T11" s="10">
        <v>721696982</v>
      </c>
      <c r="U11" s="10" t="s">
        <v>113</v>
      </c>
      <c r="V11" s="45" t="s">
        <v>587</v>
      </c>
      <c r="W11" s="10" t="s">
        <v>115</v>
      </c>
      <c r="X11" s="45">
        <v>26</v>
      </c>
      <c r="Y11" s="58"/>
      <c r="Z11" s="20"/>
      <c r="AA11" s="20"/>
    </row>
    <row r="12" spans="1:27" ht="14.4">
      <c r="A12" s="8">
        <v>11</v>
      </c>
      <c r="B12" s="9" t="s">
        <v>101</v>
      </c>
      <c r="C12" s="9" t="s">
        <v>102</v>
      </c>
      <c r="D12" s="10">
        <v>120</v>
      </c>
      <c r="E12" s="10">
        <v>120</v>
      </c>
      <c r="F12" s="10">
        <v>120</v>
      </c>
      <c r="G12" s="10">
        <v>120</v>
      </c>
      <c r="H12" s="10">
        <v>100</v>
      </c>
      <c r="I12" s="10">
        <v>100</v>
      </c>
      <c r="J12" s="10">
        <v>100</v>
      </c>
      <c r="K12" s="10">
        <v>100</v>
      </c>
      <c r="L12" s="58">
        <v>100</v>
      </c>
      <c r="M12" s="10">
        <v>100</v>
      </c>
      <c r="N12" s="190">
        <v>40316</v>
      </c>
      <c r="O12" s="11">
        <v>40229</v>
      </c>
      <c r="P12" s="11">
        <v>43805</v>
      </c>
      <c r="Q12" s="8" t="s">
        <v>64</v>
      </c>
      <c r="R12" s="12" t="s">
        <v>103</v>
      </c>
      <c r="S12" s="12" t="s">
        <v>104</v>
      </c>
      <c r="T12" s="10">
        <v>501228703</v>
      </c>
      <c r="U12" s="10" t="s">
        <v>105</v>
      </c>
      <c r="V12" s="43" t="s">
        <v>106</v>
      </c>
      <c r="W12" s="10" t="s">
        <v>107</v>
      </c>
      <c r="X12" s="45">
        <v>21</v>
      </c>
      <c r="Y12" s="201" t="s">
        <v>412</v>
      </c>
      <c r="Z12" s="20"/>
      <c r="AA12" s="20"/>
    </row>
    <row r="13" spans="1:27" ht="14.4">
      <c r="A13" s="8">
        <v>12</v>
      </c>
      <c r="B13" s="9" t="s">
        <v>188</v>
      </c>
      <c r="C13" s="9" t="s">
        <v>223</v>
      </c>
      <c r="D13" s="149"/>
      <c r="E13" s="10">
        <v>120</v>
      </c>
      <c r="F13" s="10">
        <v>120</v>
      </c>
      <c r="G13" s="10">
        <v>50</v>
      </c>
      <c r="H13" s="10"/>
      <c r="I13" s="10">
        <v>50</v>
      </c>
      <c r="J13" s="63">
        <v>50</v>
      </c>
      <c r="K13" s="26"/>
      <c r="L13" s="63">
        <v>50</v>
      </c>
      <c r="M13" s="10"/>
      <c r="N13" s="190">
        <v>40530</v>
      </c>
      <c r="O13" s="11">
        <v>40676</v>
      </c>
      <c r="P13" s="11">
        <v>43147</v>
      </c>
      <c r="Q13" s="8" t="s">
        <v>170</v>
      </c>
      <c r="R13" s="8" t="s">
        <v>224</v>
      </c>
      <c r="S13" s="12" t="s">
        <v>225</v>
      </c>
      <c r="T13" s="10">
        <v>793258511</v>
      </c>
      <c r="U13" s="10" t="s">
        <v>226</v>
      </c>
      <c r="V13" s="45" t="s">
        <v>227</v>
      </c>
      <c r="W13" s="10">
        <v>413003499</v>
      </c>
      <c r="X13" s="45">
        <v>22</v>
      </c>
      <c r="Y13" s="201" t="s">
        <v>200</v>
      </c>
      <c r="Z13" s="20"/>
      <c r="AA13" s="20"/>
    </row>
    <row r="14" spans="1:27" ht="14.4">
      <c r="A14" s="8">
        <v>13</v>
      </c>
      <c r="B14" s="9" t="s">
        <v>188</v>
      </c>
      <c r="C14" s="9" t="s">
        <v>246</v>
      </c>
      <c r="D14" s="149"/>
      <c r="E14" s="10">
        <v>70</v>
      </c>
      <c r="F14" s="10">
        <v>120</v>
      </c>
      <c r="G14" s="10">
        <v>50</v>
      </c>
      <c r="H14" s="10">
        <v>50</v>
      </c>
      <c r="I14" s="217">
        <v>50</v>
      </c>
      <c r="J14" s="10"/>
      <c r="K14" s="10"/>
      <c r="L14" s="58"/>
      <c r="M14" s="10">
        <v>50</v>
      </c>
      <c r="N14" s="190">
        <v>40737</v>
      </c>
      <c r="O14" s="11">
        <v>40731</v>
      </c>
      <c r="P14" s="67">
        <v>43521</v>
      </c>
      <c r="Q14" s="8" t="s">
        <v>170</v>
      </c>
      <c r="R14" s="8" t="s">
        <v>588</v>
      </c>
      <c r="S14" s="12" t="s">
        <v>589</v>
      </c>
      <c r="T14" s="10" t="s">
        <v>249</v>
      </c>
      <c r="U14" s="10"/>
      <c r="V14" s="45" t="s">
        <v>250</v>
      </c>
      <c r="W14" s="10"/>
      <c r="X14" s="45">
        <v>43</v>
      </c>
      <c r="Y14" s="58"/>
      <c r="Z14" s="20"/>
      <c r="AA14" s="20"/>
    </row>
    <row r="15" spans="1:27" ht="14.4">
      <c r="A15" s="8">
        <v>14</v>
      </c>
      <c r="B15" s="9" t="s">
        <v>194</v>
      </c>
      <c r="C15" s="9" t="s">
        <v>234</v>
      </c>
      <c r="D15" s="149"/>
      <c r="E15" s="10">
        <v>30</v>
      </c>
      <c r="F15" s="10">
        <v>60</v>
      </c>
      <c r="G15" s="10">
        <v>50</v>
      </c>
      <c r="H15" s="10">
        <v>50</v>
      </c>
      <c r="I15" s="10"/>
      <c r="J15" s="136">
        <v>50</v>
      </c>
      <c r="K15" s="136"/>
      <c r="L15" s="215">
        <v>50</v>
      </c>
      <c r="M15" s="10"/>
      <c r="N15" s="190">
        <v>40698</v>
      </c>
      <c r="O15" s="11">
        <v>40707</v>
      </c>
      <c r="P15" s="11">
        <v>43395</v>
      </c>
      <c r="Q15" s="8" t="s">
        <v>575</v>
      </c>
      <c r="R15" s="8" t="s">
        <v>235</v>
      </c>
      <c r="S15" s="12" t="s">
        <v>236</v>
      </c>
      <c r="T15" s="191">
        <v>519386163</v>
      </c>
      <c r="U15" s="10"/>
      <c r="V15" s="45" t="s">
        <v>238</v>
      </c>
      <c r="W15" s="10"/>
      <c r="X15" s="45">
        <v>45</v>
      </c>
      <c r="Y15" s="201" t="s">
        <v>200</v>
      </c>
      <c r="Z15" s="20"/>
      <c r="AA15" s="20"/>
    </row>
    <row r="16" spans="1:27" ht="14.4">
      <c r="A16" s="8">
        <v>15</v>
      </c>
      <c r="B16" s="9" t="s">
        <v>217</v>
      </c>
      <c r="C16" s="9" t="s">
        <v>116</v>
      </c>
      <c r="D16" s="149"/>
      <c r="E16" s="10">
        <v>20</v>
      </c>
      <c r="F16" s="10">
        <v>100</v>
      </c>
      <c r="G16" s="10">
        <v>150</v>
      </c>
      <c r="H16" s="10">
        <v>50</v>
      </c>
      <c r="I16" s="10">
        <v>50</v>
      </c>
      <c r="J16" s="10">
        <v>150</v>
      </c>
      <c r="K16" s="10"/>
      <c r="L16" s="58"/>
      <c r="M16" s="10">
        <v>150</v>
      </c>
      <c r="N16" s="190">
        <v>40847</v>
      </c>
      <c r="O16" s="11" t="s">
        <v>331</v>
      </c>
      <c r="P16" s="11">
        <v>43475</v>
      </c>
      <c r="Q16" s="8" t="s">
        <v>170</v>
      </c>
      <c r="R16" s="8" t="s">
        <v>332</v>
      </c>
      <c r="S16" s="12" t="s">
        <v>333</v>
      </c>
      <c r="T16" s="10">
        <v>504377500</v>
      </c>
      <c r="U16" s="10"/>
      <c r="V16" s="45" t="s">
        <v>334</v>
      </c>
      <c r="W16" s="10"/>
      <c r="X16" s="45">
        <v>61</v>
      </c>
      <c r="Y16" s="202"/>
      <c r="Z16" s="20"/>
      <c r="AA16" s="20"/>
    </row>
    <row r="17" spans="1:27" ht="14.4">
      <c r="A17" s="8">
        <v>16</v>
      </c>
      <c r="B17" s="104" t="s">
        <v>401</v>
      </c>
      <c r="C17" s="95" t="s">
        <v>402</v>
      </c>
      <c r="D17" s="149"/>
      <c r="E17" s="149"/>
      <c r="F17" s="18">
        <v>25</v>
      </c>
      <c r="G17" s="18">
        <v>50</v>
      </c>
      <c r="H17" s="18">
        <v>50</v>
      </c>
      <c r="I17" s="10">
        <v>50</v>
      </c>
      <c r="J17" s="63">
        <v>50</v>
      </c>
      <c r="K17" s="10">
        <v>50</v>
      </c>
      <c r="L17" s="58">
        <v>50</v>
      </c>
      <c r="M17" s="10"/>
      <c r="N17" s="176">
        <v>41137</v>
      </c>
      <c r="O17" s="99">
        <v>41137</v>
      </c>
      <c r="P17" s="99">
        <v>43136</v>
      </c>
      <c r="Q17" s="8" t="s">
        <v>110</v>
      </c>
      <c r="R17" s="91" t="s">
        <v>403</v>
      </c>
      <c r="S17" s="91" t="s">
        <v>404</v>
      </c>
      <c r="T17" s="18">
        <v>784918776</v>
      </c>
      <c r="U17" s="101" t="s">
        <v>405</v>
      </c>
      <c r="V17" s="104" t="s">
        <v>406</v>
      </c>
      <c r="W17" s="152"/>
      <c r="X17" s="104">
        <v>73</v>
      </c>
      <c r="Y17" s="201" t="s">
        <v>200</v>
      </c>
      <c r="Z17" s="20"/>
      <c r="AA17" s="20"/>
    </row>
    <row r="18" spans="1:27" ht="14.4">
      <c r="A18" s="8">
        <v>17</v>
      </c>
      <c r="B18" s="104" t="s">
        <v>429</v>
      </c>
      <c r="C18" s="104" t="s">
        <v>430</v>
      </c>
      <c r="D18" s="154"/>
      <c r="E18" s="154"/>
      <c r="F18" s="154"/>
      <c r="G18" s="18">
        <v>50</v>
      </c>
      <c r="H18" s="18">
        <v>50</v>
      </c>
      <c r="I18" s="58">
        <v>50</v>
      </c>
      <c r="J18" s="58"/>
      <c r="K18" s="10"/>
      <c r="L18" s="55">
        <v>50</v>
      </c>
      <c r="M18" s="10">
        <v>50</v>
      </c>
      <c r="N18" s="176">
        <v>41349</v>
      </c>
      <c r="O18" s="99">
        <v>41354</v>
      </c>
      <c r="P18" s="99">
        <v>43187</v>
      </c>
      <c r="Q18" s="8" t="s">
        <v>170</v>
      </c>
      <c r="R18" s="18" t="s">
        <v>595</v>
      </c>
      <c r="S18" s="18" t="s">
        <v>596</v>
      </c>
      <c r="T18" s="18">
        <v>512180992</v>
      </c>
      <c r="U18" s="105"/>
      <c r="V18" s="104" t="s">
        <v>433</v>
      </c>
      <c r="W18" s="102"/>
      <c r="X18" s="156">
        <v>79</v>
      </c>
      <c r="Y18" s="203"/>
      <c r="Z18" s="20"/>
      <c r="AA18" s="20" t="s">
        <v>823</v>
      </c>
    </row>
    <row r="19" spans="1:27" ht="14.4">
      <c r="A19" s="8">
        <v>18</v>
      </c>
      <c r="B19" s="104" t="s">
        <v>438</v>
      </c>
      <c r="C19" s="104" t="s">
        <v>95</v>
      </c>
      <c r="D19" s="154"/>
      <c r="E19" s="154"/>
      <c r="F19" s="154"/>
      <c r="G19" s="18">
        <v>50</v>
      </c>
      <c r="H19" s="18">
        <v>50</v>
      </c>
      <c r="I19" s="101">
        <v>50</v>
      </c>
      <c r="J19" s="18">
        <v>50</v>
      </c>
      <c r="K19" s="152">
        <v>50</v>
      </c>
      <c r="L19" s="218">
        <v>50</v>
      </c>
      <c r="M19" s="18">
        <v>50</v>
      </c>
      <c r="N19" s="177">
        <v>41352</v>
      </c>
      <c r="O19" s="99">
        <v>41358</v>
      </c>
      <c r="P19" s="11">
        <v>43969</v>
      </c>
      <c r="Q19" s="8" t="s">
        <v>170</v>
      </c>
      <c r="R19" s="18" t="s">
        <v>439</v>
      </c>
      <c r="S19" s="18" t="s">
        <v>97</v>
      </c>
      <c r="T19" s="18">
        <v>510639087</v>
      </c>
      <c r="U19" s="105"/>
      <c r="V19" s="104" t="s">
        <v>440</v>
      </c>
      <c r="W19" s="102"/>
      <c r="X19" s="156">
        <v>82</v>
      </c>
      <c r="Y19" s="40" t="s">
        <v>200</v>
      </c>
      <c r="Z19" s="20"/>
      <c r="AA19" s="20"/>
    </row>
    <row r="20" spans="1:27" ht="14.4">
      <c r="A20" s="8">
        <v>19</v>
      </c>
      <c r="B20" s="104" t="s">
        <v>441</v>
      </c>
      <c r="C20" s="104" t="s">
        <v>442</v>
      </c>
      <c r="D20" s="154"/>
      <c r="E20" s="154"/>
      <c r="F20" s="154"/>
      <c r="G20" s="18">
        <v>50</v>
      </c>
      <c r="H20" s="18">
        <v>50</v>
      </c>
      <c r="I20" s="101">
        <v>50</v>
      </c>
      <c r="J20" s="18">
        <v>100</v>
      </c>
      <c r="K20" s="152">
        <v>100</v>
      </c>
      <c r="L20" s="218">
        <v>50</v>
      </c>
      <c r="M20" s="18">
        <v>100</v>
      </c>
      <c r="N20" s="177">
        <v>41354</v>
      </c>
      <c r="O20" s="99">
        <v>41354</v>
      </c>
      <c r="P20" s="99">
        <v>43845</v>
      </c>
      <c r="Q20" s="8" t="s">
        <v>170</v>
      </c>
      <c r="R20" s="18" t="s">
        <v>443</v>
      </c>
      <c r="S20" s="18" t="s">
        <v>444</v>
      </c>
      <c r="T20" s="18">
        <v>607777011</v>
      </c>
      <c r="U20" s="105"/>
      <c r="V20" s="104" t="s">
        <v>445</v>
      </c>
      <c r="W20" s="102"/>
      <c r="X20" s="156">
        <v>83</v>
      </c>
      <c r="Y20" s="201" t="s">
        <v>412</v>
      </c>
      <c r="Z20" s="20"/>
      <c r="AA20" s="20"/>
    </row>
    <row r="21" spans="1:27" ht="15.75" customHeight="1">
      <c r="A21" s="8">
        <v>20</v>
      </c>
      <c r="B21" s="104" t="s">
        <v>134</v>
      </c>
      <c r="C21" s="104" t="s">
        <v>461</v>
      </c>
      <c r="D21" s="159"/>
      <c r="E21" s="159"/>
      <c r="F21" s="159"/>
      <c r="G21" s="18">
        <v>50</v>
      </c>
      <c r="H21" s="18">
        <v>50</v>
      </c>
      <c r="I21" s="101">
        <v>50</v>
      </c>
      <c r="J21" s="18">
        <v>50</v>
      </c>
      <c r="K21" s="152">
        <v>50</v>
      </c>
      <c r="L21" s="218">
        <v>50</v>
      </c>
      <c r="M21" s="18">
        <v>50</v>
      </c>
      <c r="N21" s="176">
        <v>41407</v>
      </c>
      <c r="O21" s="99">
        <v>41404</v>
      </c>
      <c r="P21" s="99">
        <v>43892</v>
      </c>
      <c r="Q21" s="8" t="s">
        <v>50</v>
      </c>
      <c r="R21" s="18" t="s">
        <v>462</v>
      </c>
      <c r="S21" s="18" t="s">
        <v>463</v>
      </c>
      <c r="T21" s="104"/>
      <c r="U21" s="105"/>
      <c r="V21" s="104" t="s">
        <v>464</v>
      </c>
      <c r="W21" s="102"/>
      <c r="X21" s="156">
        <v>88</v>
      </c>
      <c r="Y21" s="201" t="s">
        <v>412</v>
      </c>
      <c r="Z21" s="20"/>
      <c r="AA21" s="20"/>
    </row>
    <row r="22" spans="1:27" ht="15.75" customHeight="1">
      <c r="A22" s="8">
        <v>21</v>
      </c>
      <c r="B22" s="104" t="s">
        <v>492</v>
      </c>
      <c r="C22" s="104" t="s">
        <v>493</v>
      </c>
      <c r="D22" s="159"/>
      <c r="E22" s="159"/>
      <c r="F22" s="159"/>
      <c r="G22" s="18">
        <v>50</v>
      </c>
      <c r="H22" s="18">
        <v>50</v>
      </c>
      <c r="I22" s="219">
        <v>50</v>
      </c>
      <c r="J22" s="151">
        <v>50</v>
      </c>
      <c r="K22" s="220">
        <v>50</v>
      </c>
      <c r="L22" s="221">
        <v>50</v>
      </c>
      <c r="M22" s="151">
        <v>50</v>
      </c>
      <c r="N22" s="176">
        <v>41598</v>
      </c>
      <c r="O22" s="99">
        <v>41599</v>
      </c>
      <c r="P22" s="99">
        <v>43864</v>
      </c>
      <c r="Q22" s="18" t="s">
        <v>170</v>
      </c>
      <c r="R22" s="222" t="s">
        <v>494</v>
      </c>
      <c r="S22" s="222" t="s">
        <v>495</v>
      </c>
      <c r="T22" s="222">
        <v>692434393</v>
      </c>
      <c r="U22" s="105"/>
      <c r="V22" s="104" t="s">
        <v>496</v>
      </c>
      <c r="W22" s="102"/>
      <c r="X22" s="160">
        <v>95</v>
      </c>
      <c r="Y22" s="203"/>
      <c r="Z22" s="20"/>
      <c r="AA22" s="20"/>
    </row>
    <row r="23" spans="1:27" ht="15.75" customHeight="1">
      <c r="A23" s="8">
        <v>22</v>
      </c>
      <c r="B23" s="97" t="s">
        <v>188</v>
      </c>
      <c r="C23" s="97" t="s">
        <v>14</v>
      </c>
      <c r="D23" s="163"/>
      <c r="E23" s="163"/>
      <c r="F23" s="163"/>
      <c r="G23" s="91">
        <v>50</v>
      </c>
      <c r="H23" s="91">
        <v>50</v>
      </c>
      <c r="I23" s="101">
        <v>50</v>
      </c>
      <c r="J23" s="18">
        <v>50</v>
      </c>
      <c r="K23" s="21"/>
      <c r="L23" s="204"/>
      <c r="M23" s="167">
        <v>50</v>
      </c>
      <c r="N23" s="175">
        <v>41517</v>
      </c>
      <c r="O23" s="92">
        <v>41738</v>
      </c>
      <c r="P23" s="11">
        <v>43951</v>
      </c>
      <c r="Q23" s="18" t="s">
        <v>575</v>
      </c>
      <c r="R23" s="223" t="s">
        <v>16</v>
      </c>
      <c r="S23" s="223" t="s">
        <v>17</v>
      </c>
      <c r="T23" s="94">
        <v>514575915</v>
      </c>
      <c r="U23" s="104"/>
      <c r="V23" s="87" t="s">
        <v>600</v>
      </c>
      <c r="W23" s="97"/>
      <c r="X23" s="97">
        <v>102</v>
      </c>
      <c r="Y23" s="224" t="s">
        <v>200</v>
      </c>
      <c r="Z23" s="20"/>
      <c r="AA23" s="20"/>
    </row>
    <row r="24" spans="1:27" ht="15.75" customHeight="1">
      <c r="A24" s="8">
        <v>23</v>
      </c>
      <c r="B24" s="104" t="s">
        <v>429</v>
      </c>
      <c r="C24" s="104" t="s">
        <v>564</v>
      </c>
      <c r="D24" s="159"/>
      <c r="E24" s="159"/>
      <c r="F24" s="159"/>
      <c r="G24" s="159"/>
      <c r="H24" s="18">
        <v>50</v>
      </c>
      <c r="I24" s="101">
        <v>50</v>
      </c>
      <c r="J24" s="18">
        <v>50</v>
      </c>
      <c r="K24" s="152"/>
      <c r="L24" s="55"/>
      <c r="M24" s="10">
        <v>50</v>
      </c>
      <c r="N24" s="177">
        <v>41984</v>
      </c>
      <c r="O24" s="106">
        <v>41984</v>
      </c>
      <c r="P24" s="106">
        <v>43832</v>
      </c>
      <c r="Q24" s="8" t="s">
        <v>170</v>
      </c>
      <c r="R24" s="18" t="s">
        <v>565</v>
      </c>
      <c r="S24" s="18" t="s">
        <v>566</v>
      </c>
      <c r="T24" s="39">
        <v>604434095</v>
      </c>
      <c r="U24" s="167" t="s">
        <v>993</v>
      </c>
      <c r="V24" s="104" t="s">
        <v>567</v>
      </c>
      <c r="W24" s="104"/>
      <c r="X24" s="104">
        <v>112</v>
      </c>
      <c r="Y24" s="103"/>
      <c r="Z24" s="20"/>
      <c r="AA24" s="20"/>
    </row>
    <row r="25" spans="1:27" ht="15.75" customHeight="1">
      <c r="A25" s="8">
        <v>24</v>
      </c>
      <c r="B25" s="20" t="s">
        <v>481</v>
      </c>
      <c r="C25" s="20" t="s">
        <v>548</v>
      </c>
      <c r="D25" s="159"/>
      <c r="E25" s="159"/>
      <c r="F25" s="159"/>
      <c r="G25" s="159"/>
      <c r="H25" s="209">
        <v>50</v>
      </c>
      <c r="I25" s="209">
        <v>50</v>
      </c>
      <c r="J25" s="204">
        <v>50</v>
      </c>
      <c r="K25" s="20"/>
      <c r="L25" s="209">
        <v>50</v>
      </c>
      <c r="M25" s="167">
        <v>50</v>
      </c>
      <c r="N25" s="176">
        <v>41896</v>
      </c>
      <c r="O25" s="99">
        <v>41899</v>
      </c>
      <c r="P25" s="169">
        <v>43648</v>
      </c>
      <c r="Q25" s="8" t="s">
        <v>170</v>
      </c>
      <c r="R25" s="167" t="s">
        <v>869</v>
      </c>
      <c r="S25" s="167" t="s">
        <v>550</v>
      </c>
      <c r="T25" s="108">
        <v>604235534</v>
      </c>
      <c r="U25" s="104"/>
      <c r="V25" s="104" t="s">
        <v>551</v>
      </c>
      <c r="W25" s="104"/>
      <c r="X25" s="104">
        <v>108</v>
      </c>
      <c r="Y25" s="204"/>
      <c r="Z25" s="20"/>
      <c r="AA25" s="20"/>
    </row>
    <row r="26" spans="1:27" ht="15.75" customHeight="1">
      <c r="A26" s="8">
        <v>25</v>
      </c>
      <c r="B26" s="104" t="s">
        <v>481</v>
      </c>
      <c r="C26" s="104" t="s">
        <v>613</v>
      </c>
      <c r="D26" s="159"/>
      <c r="E26" s="159"/>
      <c r="F26" s="159"/>
      <c r="G26" s="159"/>
      <c r="H26" s="159"/>
      <c r="I26" s="101">
        <v>50</v>
      </c>
      <c r="J26" s="18">
        <v>100</v>
      </c>
      <c r="K26" s="152"/>
      <c r="L26" s="218">
        <v>50</v>
      </c>
      <c r="M26" s="18">
        <v>50</v>
      </c>
      <c r="N26" s="176">
        <v>42024</v>
      </c>
      <c r="O26" s="99">
        <v>42024</v>
      </c>
      <c r="P26" s="99">
        <v>43535</v>
      </c>
      <c r="Q26" s="8" t="s">
        <v>170</v>
      </c>
      <c r="R26" s="167" t="s">
        <v>614</v>
      </c>
      <c r="S26" s="18" t="s">
        <v>615</v>
      </c>
      <c r="T26" s="18">
        <v>698088272</v>
      </c>
      <c r="U26" s="104" t="s">
        <v>616</v>
      </c>
      <c r="V26" s="104" t="s">
        <v>617</v>
      </c>
      <c r="W26" s="104"/>
      <c r="X26" s="104">
        <v>115</v>
      </c>
      <c r="Y26" s="203"/>
      <c r="Z26" s="20"/>
      <c r="AA26" s="20"/>
    </row>
    <row r="27" spans="1:27" ht="15.75" customHeight="1">
      <c r="A27" s="8">
        <v>26</v>
      </c>
      <c r="B27" s="104" t="s">
        <v>108</v>
      </c>
      <c r="C27" s="104" t="s">
        <v>544</v>
      </c>
      <c r="D27" s="159"/>
      <c r="E27" s="159"/>
      <c r="F27" s="159"/>
      <c r="G27" s="159"/>
      <c r="H27" s="159"/>
      <c r="I27" s="101">
        <v>50</v>
      </c>
      <c r="J27" s="18">
        <v>50</v>
      </c>
      <c r="K27" s="152">
        <v>50</v>
      </c>
      <c r="L27" s="218">
        <v>50</v>
      </c>
      <c r="M27" s="10">
        <v>50</v>
      </c>
      <c r="N27" s="179"/>
      <c r="O27" s="169">
        <v>42165</v>
      </c>
      <c r="P27" s="169">
        <v>44000</v>
      </c>
      <c r="Q27" s="8" t="s">
        <v>170</v>
      </c>
      <c r="R27" s="167" t="s">
        <v>643</v>
      </c>
      <c r="S27" s="18" t="s">
        <v>994</v>
      </c>
      <c r="T27" s="20"/>
      <c r="U27" s="20"/>
      <c r="V27" s="20"/>
      <c r="W27" s="20"/>
      <c r="X27" s="20">
        <v>119</v>
      </c>
      <c r="Y27" s="204"/>
      <c r="Z27" s="20"/>
      <c r="AA27" s="20"/>
    </row>
    <row r="28" spans="1:27" ht="15.75" customHeight="1">
      <c r="A28" s="8">
        <v>27</v>
      </c>
      <c r="B28" s="104" t="s">
        <v>637</v>
      </c>
      <c r="C28" s="104" t="s">
        <v>638</v>
      </c>
      <c r="D28" s="159"/>
      <c r="E28" s="159"/>
      <c r="F28" s="159"/>
      <c r="G28" s="159"/>
      <c r="H28" s="159"/>
      <c r="I28" s="101">
        <v>50</v>
      </c>
      <c r="J28" s="18"/>
      <c r="K28" s="20"/>
      <c r="L28" s="204"/>
      <c r="M28" s="167">
        <v>50</v>
      </c>
      <c r="N28" s="178">
        <v>42144</v>
      </c>
      <c r="O28" s="169">
        <v>42144</v>
      </c>
      <c r="P28" s="169">
        <v>43684</v>
      </c>
      <c r="Q28" s="8" t="s">
        <v>170</v>
      </c>
      <c r="R28" s="167" t="s">
        <v>995</v>
      </c>
      <c r="S28" s="167" t="s">
        <v>640</v>
      </c>
      <c r="T28" s="167">
        <v>794751415</v>
      </c>
      <c r="U28" s="20" t="s">
        <v>641</v>
      </c>
      <c r="V28" s="20" t="s">
        <v>642</v>
      </c>
      <c r="W28" s="20"/>
      <c r="X28" s="20">
        <v>118</v>
      </c>
      <c r="Y28" s="20"/>
      <c r="Z28" s="20"/>
      <c r="AA28" s="20"/>
    </row>
    <row r="29" spans="1:27" ht="15.75" customHeight="1">
      <c r="A29" s="8">
        <v>28</v>
      </c>
      <c r="B29" s="104" t="s">
        <v>701</v>
      </c>
      <c r="C29" s="104" t="s">
        <v>702</v>
      </c>
      <c r="D29" s="159"/>
      <c r="E29" s="159"/>
      <c r="F29" s="159"/>
      <c r="G29" s="159"/>
      <c r="H29" s="159"/>
      <c r="I29" s="159"/>
      <c r="J29" s="18">
        <v>50</v>
      </c>
      <c r="K29" s="18">
        <v>50</v>
      </c>
      <c r="L29" s="101">
        <v>50</v>
      </c>
      <c r="M29" s="18"/>
      <c r="N29" s="178">
        <v>42429</v>
      </c>
      <c r="O29" s="169">
        <v>42429</v>
      </c>
      <c r="P29" s="169">
        <v>43871</v>
      </c>
      <c r="Q29" s="167" t="s">
        <v>170</v>
      </c>
      <c r="R29" s="167" t="s">
        <v>744</v>
      </c>
      <c r="S29" s="167" t="s">
        <v>745</v>
      </c>
      <c r="T29" s="181">
        <v>600294958</v>
      </c>
      <c r="U29" s="20"/>
      <c r="V29" s="20" t="s">
        <v>705</v>
      </c>
      <c r="W29" s="20"/>
      <c r="X29" s="20">
        <v>130</v>
      </c>
      <c r="Y29" s="204"/>
      <c r="Z29" s="20"/>
      <c r="AA29" s="20"/>
    </row>
    <row r="30" spans="1:27" ht="15.75" customHeight="1">
      <c r="A30" s="8">
        <v>29</v>
      </c>
      <c r="B30" s="104" t="s">
        <v>217</v>
      </c>
      <c r="C30" s="104" t="s">
        <v>671</v>
      </c>
      <c r="D30" s="159"/>
      <c r="E30" s="159"/>
      <c r="F30" s="159"/>
      <c r="G30" s="159"/>
      <c r="H30" s="159"/>
      <c r="I30" s="159"/>
      <c r="J30" s="159"/>
      <c r="K30" s="20">
        <v>50</v>
      </c>
      <c r="L30" s="204">
        <v>50</v>
      </c>
      <c r="M30" s="167"/>
      <c r="N30" s="178">
        <v>42744</v>
      </c>
      <c r="O30" s="169">
        <v>42744</v>
      </c>
      <c r="P30" s="169">
        <v>42744</v>
      </c>
      <c r="Q30" s="8" t="s">
        <v>170</v>
      </c>
      <c r="R30" s="135" t="s">
        <v>751</v>
      </c>
      <c r="S30" s="135" t="s">
        <v>752</v>
      </c>
      <c r="T30" s="196">
        <v>663912988</v>
      </c>
      <c r="U30" s="20"/>
      <c r="V30" s="20" t="s">
        <v>753</v>
      </c>
      <c r="W30" s="20"/>
      <c r="X30" s="20">
        <v>140</v>
      </c>
      <c r="Y30" s="204"/>
      <c r="Z30" s="20"/>
      <c r="AA30" s="20"/>
    </row>
    <row r="31" spans="1:27" ht="15.75" customHeight="1">
      <c r="A31" s="8">
        <v>30</v>
      </c>
      <c r="B31" s="97" t="s">
        <v>754</v>
      </c>
      <c r="C31" s="183" t="s">
        <v>755</v>
      </c>
      <c r="D31" s="163"/>
      <c r="E31" s="163"/>
      <c r="F31" s="163"/>
      <c r="G31" s="163"/>
      <c r="H31" s="163"/>
      <c r="I31" s="163"/>
      <c r="J31" s="163"/>
      <c r="K31" s="183">
        <v>50</v>
      </c>
      <c r="L31" s="205"/>
      <c r="M31" s="167"/>
      <c r="N31" s="225">
        <v>42769</v>
      </c>
      <c r="O31" s="182">
        <v>42769</v>
      </c>
      <c r="P31" s="182">
        <v>43832</v>
      </c>
      <c r="Q31" s="47" t="s">
        <v>170</v>
      </c>
      <c r="R31" s="197" t="s">
        <v>756</v>
      </c>
      <c r="S31" s="197" t="s">
        <v>757</v>
      </c>
      <c r="T31" s="198">
        <v>696453314</v>
      </c>
      <c r="U31" s="183"/>
      <c r="V31" s="141" t="s">
        <v>996</v>
      </c>
      <c r="W31" s="183"/>
      <c r="X31" s="183">
        <v>141</v>
      </c>
      <c r="Y31" s="205"/>
      <c r="Z31" s="20"/>
      <c r="AA31" s="20"/>
    </row>
    <row r="32" spans="1:27" ht="15.75" customHeight="1">
      <c r="A32" s="8">
        <v>31</v>
      </c>
      <c r="B32" s="97" t="s">
        <v>775</v>
      </c>
      <c r="C32" s="97" t="s">
        <v>776</v>
      </c>
      <c r="D32" s="163"/>
      <c r="E32" s="163"/>
      <c r="F32" s="163"/>
      <c r="G32" s="163"/>
      <c r="H32" s="163"/>
      <c r="I32" s="163"/>
      <c r="J32" s="163"/>
      <c r="K32" s="183">
        <v>50</v>
      </c>
      <c r="L32" s="205">
        <v>50</v>
      </c>
      <c r="M32" s="167"/>
      <c r="N32" s="225">
        <v>42606</v>
      </c>
      <c r="O32" s="182">
        <v>42822</v>
      </c>
      <c r="P32" s="182">
        <v>43090</v>
      </c>
      <c r="Q32" s="8" t="s">
        <v>170</v>
      </c>
      <c r="R32" s="184" t="s">
        <v>777</v>
      </c>
      <c r="S32" s="184" t="s">
        <v>778</v>
      </c>
      <c r="T32" s="184">
        <v>781504852</v>
      </c>
      <c r="U32" s="200" t="s">
        <v>779</v>
      </c>
      <c r="V32" s="183" t="s">
        <v>780</v>
      </c>
      <c r="W32" s="200">
        <v>587361570</v>
      </c>
      <c r="X32" s="183">
        <v>134</v>
      </c>
      <c r="Y32" s="205"/>
      <c r="Z32" s="20"/>
      <c r="AA32" s="20"/>
    </row>
    <row r="33" spans="1:27" ht="15.75" customHeight="1">
      <c r="A33" s="8">
        <v>32</v>
      </c>
      <c r="B33" s="104" t="s">
        <v>812</v>
      </c>
      <c r="C33" s="20" t="s">
        <v>813</v>
      </c>
      <c r="D33" s="159"/>
      <c r="E33" s="159"/>
      <c r="F33" s="159"/>
      <c r="G33" s="159"/>
      <c r="H33" s="159"/>
      <c r="I33" s="159"/>
      <c r="J33" s="159"/>
      <c r="K33" s="20">
        <v>50</v>
      </c>
      <c r="L33" s="204">
        <v>50</v>
      </c>
      <c r="M33" s="167"/>
      <c r="N33" s="178">
        <v>43084</v>
      </c>
      <c r="O33" s="169">
        <v>43084</v>
      </c>
      <c r="P33" s="169">
        <v>43445</v>
      </c>
      <c r="Q33" s="8" t="s">
        <v>170</v>
      </c>
      <c r="R33" s="167" t="s">
        <v>814</v>
      </c>
      <c r="S33" s="167" t="s">
        <v>815</v>
      </c>
      <c r="T33" s="167">
        <v>506427836</v>
      </c>
      <c r="U33" s="20" t="s">
        <v>816</v>
      </c>
      <c r="V33" s="20" t="s">
        <v>817</v>
      </c>
      <c r="W33" s="20"/>
      <c r="X33" s="20">
        <v>152</v>
      </c>
      <c r="Y33" s="204"/>
      <c r="Z33" s="20"/>
      <c r="AA33" s="20"/>
    </row>
    <row r="34" spans="1:27" ht="15.75" customHeight="1">
      <c r="A34" s="8">
        <v>33</v>
      </c>
      <c r="B34" s="104" t="s">
        <v>818</v>
      </c>
      <c r="C34" s="20" t="s">
        <v>819</v>
      </c>
      <c r="D34" s="159"/>
      <c r="E34" s="159"/>
      <c r="F34" s="159"/>
      <c r="G34" s="159"/>
      <c r="H34" s="159"/>
      <c r="I34" s="159"/>
      <c r="J34" s="159"/>
      <c r="K34" s="20">
        <v>50</v>
      </c>
      <c r="L34" s="204"/>
      <c r="M34" s="167">
        <v>50</v>
      </c>
      <c r="N34" s="178">
        <v>43087</v>
      </c>
      <c r="O34" s="169">
        <v>43087</v>
      </c>
      <c r="P34" s="169">
        <v>43969</v>
      </c>
      <c r="Q34" s="8" t="s">
        <v>170</v>
      </c>
      <c r="R34" s="167" t="s">
        <v>820</v>
      </c>
      <c r="S34" s="167" t="s">
        <v>821</v>
      </c>
      <c r="T34" s="167">
        <v>696545836</v>
      </c>
      <c r="U34" s="20"/>
      <c r="V34" s="20" t="s">
        <v>822</v>
      </c>
      <c r="W34" s="20"/>
      <c r="X34" s="20">
        <v>153</v>
      </c>
      <c r="Y34" s="204"/>
      <c r="Z34" s="20"/>
      <c r="AA34" s="20"/>
    </row>
    <row r="35" spans="1:27" ht="15.75" customHeight="1">
      <c r="A35" s="8">
        <v>34</v>
      </c>
      <c r="B35" s="104" t="s">
        <v>824</v>
      </c>
      <c r="C35" s="20" t="s">
        <v>825</v>
      </c>
      <c r="D35" s="159"/>
      <c r="E35" s="159"/>
      <c r="F35" s="159"/>
      <c r="G35" s="159"/>
      <c r="H35" s="159"/>
      <c r="I35" s="159"/>
      <c r="J35" s="159"/>
      <c r="K35" s="159"/>
      <c r="L35" s="204">
        <v>50</v>
      </c>
      <c r="M35" s="167"/>
      <c r="N35" s="178">
        <v>43110</v>
      </c>
      <c r="O35" s="169">
        <v>43110</v>
      </c>
      <c r="P35" s="169">
        <v>43110</v>
      </c>
      <c r="Q35" s="8" t="s">
        <v>170</v>
      </c>
      <c r="R35" s="167" t="s">
        <v>826</v>
      </c>
      <c r="S35" s="167" t="s">
        <v>748</v>
      </c>
      <c r="T35" s="167">
        <v>782680373</v>
      </c>
      <c r="U35" s="20" t="s">
        <v>827</v>
      </c>
      <c r="V35" s="20" t="s">
        <v>828</v>
      </c>
      <c r="W35" s="20"/>
      <c r="X35" s="20">
        <v>154</v>
      </c>
      <c r="Y35" s="204"/>
      <c r="Z35" s="20"/>
      <c r="AA35" s="20"/>
    </row>
    <row r="36" spans="1:27" ht="15.75" customHeight="1">
      <c r="A36" s="8">
        <v>35</v>
      </c>
      <c r="B36" s="20" t="s">
        <v>296</v>
      </c>
      <c r="C36" s="20" t="s">
        <v>829</v>
      </c>
      <c r="D36" s="159"/>
      <c r="E36" s="159"/>
      <c r="F36" s="159"/>
      <c r="G36" s="159"/>
      <c r="H36" s="159"/>
      <c r="I36" s="159"/>
      <c r="J36" s="159"/>
      <c r="K36" s="159"/>
      <c r="L36" s="204">
        <v>50</v>
      </c>
      <c r="M36" s="167"/>
      <c r="N36" s="178">
        <v>43117</v>
      </c>
      <c r="O36" s="169">
        <v>43118</v>
      </c>
      <c r="P36" s="169">
        <v>43118</v>
      </c>
      <c r="Q36" s="8" t="s">
        <v>170</v>
      </c>
      <c r="R36" s="167" t="s">
        <v>830</v>
      </c>
      <c r="S36" s="167" t="s">
        <v>191</v>
      </c>
      <c r="T36" s="167">
        <v>532288356</v>
      </c>
      <c r="U36" s="20" t="s">
        <v>831</v>
      </c>
      <c r="V36" s="20" t="s">
        <v>832</v>
      </c>
      <c r="W36" s="20"/>
      <c r="X36" s="20">
        <v>155</v>
      </c>
      <c r="Y36" s="204"/>
      <c r="Z36" s="20" t="s">
        <v>833</v>
      </c>
      <c r="AA36" s="20"/>
    </row>
    <row r="37" spans="1:27" ht="15.75" customHeight="1">
      <c r="A37" s="8">
        <v>36</v>
      </c>
      <c r="B37" s="20" t="s">
        <v>618</v>
      </c>
      <c r="C37" s="20" t="s">
        <v>834</v>
      </c>
      <c r="D37" s="159"/>
      <c r="E37" s="159"/>
      <c r="F37" s="159"/>
      <c r="G37" s="159"/>
      <c r="H37" s="159"/>
      <c r="I37" s="159"/>
      <c r="J37" s="159"/>
      <c r="K37" s="159"/>
      <c r="L37" s="204">
        <v>50</v>
      </c>
      <c r="M37" s="167"/>
      <c r="N37" s="178">
        <v>43126</v>
      </c>
      <c r="O37" s="169">
        <v>43129</v>
      </c>
      <c r="P37" s="169">
        <v>43129</v>
      </c>
      <c r="Q37" s="8" t="s">
        <v>170</v>
      </c>
      <c r="R37" s="167" t="s">
        <v>835</v>
      </c>
      <c r="S37" s="167" t="s">
        <v>836</v>
      </c>
      <c r="T37" s="167">
        <v>539923904</v>
      </c>
      <c r="U37" s="20" t="s">
        <v>837</v>
      </c>
      <c r="V37" s="20" t="s">
        <v>838</v>
      </c>
      <c r="W37" s="20"/>
      <c r="X37" s="20">
        <v>156</v>
      </c>
      <c r="Y37" s="204"/>
      <c r="Z37" s="20"/>
      <c r="AA37" s="20"/>
    </row>
    <row r="38" spans="1:27" ht="15.75" customHeight="1">
      <c r="A38" s="8">
        <v>37</v>
      </c>
      <c r="B38" s="20" t="s">
        <v>839</v>
      </c>
      <c r="C38" s="20" t="s">
        <v>840</v>
      </c>
      <c r="D38" s="159"/>
      <c r="E38" s="159"/>
      <c r="F38" s="159"/>
      <c r="G38" s="159"/>
      <c r="H38" s="159"/>
      <c r="I38" s="159"/>
      <c r="J38" s="159"/>
      <c r="K38" s="159"/>
      <c r="L38" s="204">
        <v>50</v>
      </c>
      <c r="M38" s="167"/>
      <c r="N38" s="178">
        <v>43134</v>
      </c>
      <c r="O38" s="169">
        <v>43134</v>
      </c>
      <c r="P38" s="169">
        <v>43134</v>
      </c>
      <c r="Q38" s="8" t="s">
        <v>170</v>
      </c>
      <c r="R38" s="167" t="s">
        <v>841</v>
      </c>
      <c r="S38" s="167" t="s">
        <v>842</v>
      </c>
      <c r="T38" s="167">
        <v>698180922</v>
      </c>
      <c r="U38" s="20"/>
      <c r="V38" s="20" t="s">
        <v>843</v>
      </c>
      <c r="W38" s="20"/>
      <c r="X38" s="20">
        <v>157</v>
      </c>
      <c r="Y38" s="204"/>
      <c r="Z38" s="20" t="s">
        <v>844</v>
      </c>
      <c r="AA38" s="20"/>
    </row>
    <row r="39" spans="1:27" ht="15.75" customHeight="1">
      <c r="A39" s="8">
        <v>38</v>
      </c>
      <c r="B39" s="20" t="s">
        <v>759</v>
      </c>
      <c r="C39" s="20" t="s">
        <v>845</v>
      </c>
      <c r="D39" s="159"/>
      <c r="E39" s="159"/>
      <c r="F39" s="159"/>
      <c r="G39" s="159"/>
      <c r="H39" s="159"/>
      <c r="I39" s="159"/>
      <c r="J39" s="159"/>
      <c r="K39" s="159"/>
      <c r="L39" s="204">
        <v>50</v>
      </c>
      <c r="M39" s="167"/>
      <c r="N39" s="178">
        <v>43136</v>
      </c>
      <c r="O39" s="169">
        <v>43136</v>
      </c>
      <c r="P39" s="169">
        <v>43136</v>
      </c>
      <c r="Q39" s="8" t="s">
        <v>170</v>
      </c>
      <c r="R39" s="167" t="s">
        <v>846</v>
      </c>
      <c r="S39" s="167" t="s">
        <v>847</v>
      </c>
      <c r="T39" s="167">
        <v>515042238</v>
      </c>
      <c r="U39" s="20"/>
      <c r="V39" s="20" t="s">
        <v>848</v>
      </c>
      <c r="W39" s="20"/>
      <c r="X39" s="20">
        <v>158</v>
      </c>
      <c r="Y39" s="204"/>
      <c r="Z39" s="20" t="s">
        <v>849</v>
      </c>
      <c r="AA39" s="20"/>
    </row>
    <row r="40" spans="1:27" ht="15.75" customHeight="1">
      <c r="A40" s="8">
        <v>39</v>
      </c>
      <c r="B40" s="20" t="s">
        <v>850</v>
      </c>
      <c r="C40" s="20" t="s">
        <v>851</v>
      </c>
      <c r="D40" s="159"/>
      <c r="E40" s="159"/>
      <c r="F40" s="159"/>
      <c r="G40" s="159"/>
      <c r="H40" s="159"/>
      <c r="I40" s="159"/>
      <c r="J40" s="159"/>
      <c r="K40" s="159"/>
      <c r="L40" s="204">
        <v>50</v>
      </c>
      <c r="M40" s="167"/>
      <c r="N40" s="178">
        <v>43146</v>
      </c>
      <c r="O40" s="169">
        <v>43147</v>
      </c>
      <c r="P40" s="169">
        <v>43147</v>
      </c>
      <c r="Q40" s="8" t="s">
        <v>170</v>
      </c>
      <c r="R40" s="167" t="s">
        <v>852</v>
      </c>
      <c r="S40" s="167" t="s">
        <v>853</v>
      </c>
      <c r="T40" s="167">
        <v>609835895</v>
      </c>
      <c r="U40" s="20"/>
      <c r="V40" s="20" t="s">
        <v>854</v>
      </c>
      <c r="W40" s="20"/>
      <c r="X40" s="20">
        <v>159</v>
      </c>
      <c r="Y40" s="204"/>
      <c r="Z40" s="20"/>
      <c r="AA40" s="20"/>
    </row>
    <row r="41" spans="1:27" ht="15.75" customHeight="1">
      <c r="A41" s="8">
        <v>40</v>
      </c>
      <c r="B41" s="20" t="s">
        <v>543</v>
      </c>
      <c r="C41" s="20" t="s">
        <v>855</v>
      </c>
      <c r="D41" s="159"/>
      <c r="E41" s="159"/>
      <c r="F41" s="159"/>
      <c r="G41" s="159"/>
      <c r="H41" s="159"/>
      <c r="I41" s="159"/>
      <c r="J41" s="159"/>
      <c r="K41" s="159"/>
      <c r="L41" s="204">
        <v>50</v>
      </c>
      <c r="M41" s="167"/>
      <c r="N41" s="178">
        <v>43151</v>
      </c>
      <c r="O41" s="169">
        <v>43152</v>
      </c>
      <c r="P41" s="169">
        <v>43152</v>
      </c>
      <c r="Q41" s="8" t="s">
        <v>170</v>
      </c>
      <c r="R41" s="167" t="s">
        <v>856</v>
      </c>
      <c r="S41" s="167" t="s">
        <v>321</v>
      </c>
      <c r="T41" s="167">
        <v>601069973</v>
      </c>
      <c r="U41" s="20"/>
      <c r="V41" s="20" t="s">
        <v>857</v>
      </c>
      <c r="W41" s="20"/>
      <c r="X41" s="20">
        <v>160</v>
      </c>
      <c r="Y41" s="204"/>
      <c r="Z41" s="20"/>
      <c r="AA41" s="20"/>
    </row>
    <row r="42" spans="1:27" ht="15.75" customHeight="1">
      <c r="A42" s="8">
        <v>41</v>
      </c>
      <c r="B42" s="20" t="s">
        <v>21</v>
      </c>
      <c r="C42" s="20" t="s">
        <v>858</v>
      </c>
      <c r="D42" s="159"/>
      <c r="E42" s="159"/>
      <c r="F42" s="159"/>
      <c r="G42" s="159"/>
      <c r="H42" s="159"/>
      <c r="I42" s="159"/>
      <c r="J42" s="159"/>
      <c r="K42" s="159"/>
      <c r="L42" s="204">
        <v>50</v>
      </c>
      <c r="M42" s="167">
        <v>50</v>
      </c>
      <c r="N42" s="178">
        <v>43153</v>
      </c>
      <c r="O42" s="169">
        <v>43153</v>
      </c>
      <c r="P42" s="169">
        <v>43749</v>
      </c>
      <c r="Q42" s="8" t="s">
        <v>15</v>
      </c>
      <c r="R42" s="208" t="s">
        <v>859</v>
      </c>
      <c r="S42" s="208" t="s">
        <v>860</v>
      </c>
      <c r="T42" s="167">
        <v>510180652</v>
      </c>
      <c r="U42" s="20" t="s">
        <v>861</v>
      </c>
      <c r="V42" s="20" t="s">
        <v>862</v>
      </c>
      <c r="W42" s="20"/>
      <c r="X42" s="20">
        <v>161</v>
      </c>
      <c r="Y42" s="204"/>
      <c r="Z42" s="20" t="s">
        <v>863</v>
      </c>
      <c r="AA42" s="20" t="s">
        <v>997</v>
      </c>
    </row>
    <row r="43" spans="1:27" ht="15.75" customHeight="1">
      <c r="A43" s="8">
        <v>42</v>
      </c>
      <c r="B43" s="20" t="s">
        <v>239</v>
      </c>
      <c r="C43" s="20" t="s">
        <v>864</v>
      </c>
      <c r="D43" s="159"/>
      <c r="E43" s="159"/>
      <c r="F43" s="159"/>
      <c r="G43" s="159"/>
      <c r="H43" s="159"/>
      <c r="I43" s="159"/>
      <c r="J43" s="159"/>
      <c r="K43" s="159"/>
      <c r="L43" s="204">
        <v>50</v>
      </c>
      <c r="M43" s="167">
        <v>50</v>
      </c>
      <c r="N43" s="178">
        <v>43156</v>
      </c>
      <c r="O43" s="169">
        <v>43157</v>
      </c>
      <c r="P43" s="169">
        <v>43752</v>
      </c>
      <c r="Q43" s="8" t="s">
        <v>170</v>
      </c>
      <c r="R43" s="167" t="s">
        <v>865</v>
      </c>
      <c r="S43" s="167" t="s">
        <v>866</v>
      </c>
      <c r="T43" s="167">
        <v>884952721</v>
      </c>
      <c r="U43" s="20"/>
      <c r="V43" s="20" t="s">
        <v>867</v>
      </c>
      <c r="W43" s="20"/>
      <c r="X43" s="20">
        <v>162</v>
      </c>
      <c r="Y43" s="204"/>
      <c r="Z43" s="20" t="s">
        <v>868</v>
      </c>
      <c r="AA43" s="20"/>
    </row>
    <row r="44" spans="1:27" ht="15.75" customHeight="1">
      <c r="A44" s="8">
        <v>43</v>
      </c>
      <c r="B44" s="20" t="s">
        <v>645</v>
      </c>
      <c r="C44" s="20" t="s">
        <v>870</v>
      </c>
      <c r="D44" s="159"/>
      <c r="E44" s="159"/>
      <c r="F44" s="159"/>
      <c r="G44" s="159"/>
      <c r="H44" s="159"/>
      <c r="I44" s="159"/>
      <c r="J44" s="159"/>
      <c r="K44" s="159"/>
      <c r="L44" s="204">
        <v>50</v>
      </c>
      <c r="M44" s="167">
        <v>50</v>
      </c>
      <c r="N44" s="178">
        <v>43165</v>
      </c>
      <c r="O44" s="169">
        <v>43165</v>
      </c>
      <c r="P44" s="169">
        <v>43530</v>
      </c>
      <c r="Q44" s="8" t="s">
        <v>170</v>
      </c>
      <c r="R44" s="167" t="s">
        <v>871</v>
      </c>
      <c r="S44" s="167" t="s">
        <v>872</v>
      </c>
      <c r="T44" s="167">
        <v>693762620</v>
      </c>
      <c r="U44" s="20"/>
      <c r="V44" s="20" t="s">
        <v>873</v>
      </c>
      <c r="W44" s="20"/>
      <c r="X44" s="20">
        <v>163</v>
      </c>
      <c r="Y44" s="204"/>
      <c r="Z44" s="20" t="s">
        <v>874</v>
      </c>
      <c r="AA44" s="20"/>
    </row>
    <row r="45" spans="1:27" ht="15.75" customHeight="1">
      <c r="A45" s="8">
        <v>44</v>
      </c>
      <c r="B45" s="20" t="s">
        <v>559</v>
      </c>
      <c r="C45" s="20" t="s">
        <v>875</v>
      </c>
      <c r="D45" s="159"/>
      <c r="E45" s="159"/>
      <c r="F45" s="159"/>
      <c r="G45" s="159"/>
      <c r="H45" s="159"/>
      <c r="I45" s="159"/>
      <c r="J45" s="159"/>
      <c r="K45" s="159"/>
      <c r="L45" s="204">
        <v>50</v>
      </c>
      <c r="M45" s="167"/>
      <c r="N45" s="178">
        <v>43169</v>
      </c>
      <c r="O45" s="169">
        <v>43171</v>
      </c>
      <c r="P45" s="169">
        <v>43171</v>
      </c>
      <c r="Q45" s="8" t="s">
        <v>170</v>
      </c>
      <c r="R45" s="167" t="s">
        <v>876</v>
      </c>
      <c r="S45" s="167" t="s">
        <v>877</v>
      </c>
      <c r="T45" s="186">
        <v>664756377</v>
      </c>
      <c r="U45" s="20" t="s">
        <v>878</v>
      </c>
      <c r="V45" s="20" t="s">
        <v>879</v>
      </c>
      <c r="W45" s="20"/>
      <c r="X45" s="20">
        <v>164</v>
      </c>
      <c r="Y45" s="204"/>
      <c r="Z45" s="20" t="s">
        <v>880</v>
      </c>
      <c r="AA45" s="20"/>
    </row>
    <row r="46" spans="1:27" ht="15.75" customHeight="1">
      <c r="A46" s="8">
        <v>45</v>
      </c>
      <c r="B46" s="20" t="s">
        <v>881</v>
      </c>
      <c r="C46" s="20" t="s">
        <v>882</v>
      </c>
      <c r="D46" s="159"/>
      <c r="E46" s="159"/>
      <c r="F46" s="159"/>
      <c r="G46" s="159"/>
      <c r="H46" s="159"/>
      <c r="I46" s="159"/>
      <c r="J46" s="159"/>
      <c r="K46" s="159"/>
      <c r="L46" s="204">
        <v>50</v>
      </c>
      <c r="M46" s="167"/>
      <c r="N46" s="178">
        <v>43179</v>
      </c>
      <c r="O46" s="169">
        <v>43179</v>
      </c>
      <c r="P46" s="169">
        <v>43179</v>
      </c>
      <c r="Q46" s="8" t="s">
        <v>170</v>
      </c>
      <c r="R46" s="167" t="s">
        <v>883</v>
      </c>
      <c r="S46" s="167" t="s">
        <v>884</v>
      </c>
      <c r="T46" s="186">
        <v>509587470</v>
      </c>
      <c r="U46" s="20" t="s">
        <v>885</v>
      </c>
      <c r="V46" s="20" t="s">
        <v>886</v>
      </c>
      <c r="W46" s="210">
        <v>781808626</v>
      </c>
      <c r="X46" s="20">
        <v>165</v>
      </c>
      <c r="Y46" s="204"/>
      <c r="Z46" s="20"/>
      <c r="AA46" s="20"/>
    </row>
    <row r="47" spans="1:27" ht="15.75" customHeight="1">
      <c r="A47" s="8">
        <v>46</v>
      </c>
      <c r="B47" s="20" t="s">
        <v>568</v>
      </c>
      <c r="C47" s="20" t="s">
        <v>887</v>
      </c>
      <c r="D47" s="159"/>
      <c r="E47" s="159"/>
      <c r="F47" s="159"/>
      <c r="G47" s="159"/>
      <c r="H47" s="159"/>
      <c r="I47" s="159"/>
      <c r="J47" s="159"/>
      <c r="K47" s="159"/>
      <c r="L47" s="204">
        <v>50</v>
      </c>
      <c r="M47" s="167"/>
      <c r="N47" s="178">
        <v>43193</v>
      </c>
      <c r="O47" s="169">
        <v>43194</v>
      </c>
      <c r="P47" s="169">
        <v>43194</v>
      </c>
      <c r="Q47" s="8" t="s">
        <v>170</v>
      </c>
      <c r="R47" s="167" t="s">
        <v>888</v>
      </c>
      <c r="S47" s="167" t="s">
        <v>889</v>
      </c>
      <c r="T47" s="167">
        <v>731996984</v>
      </c>
      <c r="U47" s="20"/>
      <c r="V47" s="20" t="s">
        <v>890</v>
      </c>
      <c r="W47" s="20"/>
      <c r="X47" s="20">
        <v>166</v>
      </c>
      <c r="Y47" s="204"/>
      <c r="Z47" s="20"/>
      <c r="AA47" s="20"/>
    </row>
    <row r="48" spans="1:27" ht="15.75" customHeight="1">
      <c r="A48" s="8">
        <v>47</v>
      </c>
      <c r="B48" s="20" t="s">
        <v>476</v>
      </c>
      <c r="C48" s="20" t="s">
        <v>891</v>
      </c>
      <c r="D48" s="159"/>
      <c r="E48" s="159"/>
      <c r="F48" s="159"/>
      <c r="G48" s="159"/>
      <c r="H48" s="159"/>
      <c r="I48" s="159"/>
      <c r="J48" s="159"/>
      <c r="K48" s="159"/>
      <c r="L48" s="204">
        <v>50</v>
      </c>
      <c r="M48" s="167"/>
      <c r="N48" s="178">
        <v>43194</v>
      </c>
      <c r="O48" s="169">
        <v>43195</v>
      </c>
      <c r="P48" s="169">
        <v>43195</v>
      </c>
      <c r="Q48" s="8" t="s">
        <v>170</v>
      </c>
      <c r="R48" s="167" t="s">
        <v>892</v>
      </c>
      <c r="S48" s="167" t="s">
        <v>893</v>
      </c>
      <c r="T48" s="167">
        <v>788790612</v>
      </c>
      <c r="U48" s="20"/>
      <c r="V48" s="20" t="s">
        <v>894</v>
      </c>
      <c r="W48" s="20"/>
      <c r="X48" s="20">
        <v>167</v>
      </c>
      <c r="Y48" s="204"/>
      <c r="Z48" s="20"/>
      <c r="AA48" s="20"/>
    </row>
    <row r="49" spans="1:27" ht="15.75" customHeight="1">
      <c r="A49" s="8">
        <v>48</v>
      </c>
      <c r="B49" s="20" t="s">
        <v>895</v>
      </c>
      <c r="C49" s="20" t="s">
        <v>896</v>
      </c>
      <c r="D49" s="159"/>
      <c r="E49" s="159"/>
      <c r="F49" s="159"/>
      <c r="G49" s="159"/>
      <c r="H49" s="159"/>
      <c r="I49" s="159"/>
      <c r="J49" s="159"/>
      <c r="K49" s="159"/>
      <c r="L49" s="204">
        <v>50</v>
      </c>
      <c r="M49" s="167">
        <v>50</v>
      </c>
      <c r="N49" s="178">
        <v>43200</v>
      </c>
      <c r="O49" s="169">
        <v>43201</v>
      </c>
      <c r="P49" s="169">
        <v>43789</v>
      </c>
      <c r="Q49" s="8" t="s">
        <v>170</v>
      </c>
      <c r="R49" s="167" t="s">
        <v>897</v>
      </c>
      <c r="S49" s="167" t="s">
        <v>898</v>
      </c>
      <c r="T49" s="167">
        <v>733766151</v>
      </c>
      <c r="U49" s="20"/>
      <c r="V49" s="20" t="s">
        <v>899</v>
      </c>
      <c r="W49" s="20"/>
      <c r="X49" s="20">
        <v>168</v>
      </c>
      <c r="Y49" s="204"/>
      <c r="Z49" s="20" t="s">
        <v>900</v>
      </c>
      <c r="AA49" s="20"/>
    </row>
    <row r="50" spans="1:27" ht="15.75" customHeight="1">
      <c r="A50" s="8">
        <v>49</v>
      </c>
      <c r="B50" s="20" t="s">
        <v>194</v>
      </c>
      <c r="C50" s="20" t="s">
        <v>901</v>
      </c>
      <c r="D50" s="159"/>
      <c r="E50" s="159"/>
      <c r="F50" s="159"/>
      <c r="G50" s="159"/>
      <c r="H50" s="159"/>
      <c r="I50" s="159"/>
      <c r="J50" s="159"/>
      <c r="K50" s="159"/>
      <c r="L50" s="204">
        <v>50</v>
      </c>
      <c r="M50" s="167">
        <v>50</v>
      </c>
      <c r="N50" s="178">
        <v>43209</v>
      </c>
      <c r="O50" s="169">
        <v>43209</v>
      </c>
      <c r="P50" s="169">
        <v>43969</v>
      </c>
      <c r="Q50" s="8" t="s">
        <v>170</v>
      </c>
      <c r="R50" s="167" t="s">
        <v>902</v>
      </c>
      <c r="S50" s="167" t="s">
        <v>903</v>
      </c>
      <c r="T50" s="167">
        <v>514494038</v>
      </c>
      <c r="U50" s="20"/>
      <c r="V50" s="20" t="s">
        <v>904</v>
      </c>
      <c r="W50" s="20"/>
      <c r="X50" s="20">
        <v>169</v>
      </c>
      <c r="Y50" s="204"/>
      <c r="Z50" s="20"/>
      <c r="AA50" s="20"/>
    </row>
    <row r="51" spans="1:27" ht="15.75" customHeight="1">
      <c r="A51" s="8">
        <v>50</v>
      </c>
      <c r="B51" s="20" t="s">
        <v>905</v>
      </c>
      <c r="C51" s="20" t="s">
        <v>906</v>
      </c>
      <c r="D51" s="159"/>
      <c r="E51" s="159"/>
      <c r="F51" s="159"/>
      <c r="G51" s="159"/>
      <c r="H51" s="159"/>
      <c r="I51" s="159"/>
      <c r="J51" s="159"/>
      <c r="K51" s="159"/>
      <c r="L51" s="204">
        <v>50</v>
      </c>
      <c r="M51" s="167">
        <v>50</v>
      </c>
      <c r="N51" s="178">
        <v>43210</v>
      </c>
      <c r="O51" s="169">
        <v>43213</v>
      </c>
      <c r="P51" s="169">
        <v>43789</v>
      </c>
      <c r="Q51" s="8" t="s">
        <v>170</v>
      </c>
      <c r="R51" s="167" t="s">
        <v>998</v>
      </c>
      <c r="S51" s="167" t="s">
        <v>999</v>
      </c>
      <c r="T51" s="167">
        <v>781363705</v>
      </c>
      <c r="U51" s="20"/>
      <c r="V51" s="20" t="s">
        <v>908</v>
      </c>
      <c r="W51" s="20"/>
      <c r="X51" s="20">
        <v>170</v>
      </c>
      <c r="Y51" s="204"/>
      <c r="Z51" s="141" t="s">
        <v>1000</v>
      </c>
      <c r="AA51" s="20" t="s">
        <v>1001</v>
      </c>
    </row>
    <row r="52" spans="1:27" ht="15.75" customHeight="1">
      <c r="A52" s="8">
        <v>51</v>
      </c>
      <c r="B52" s="20" t="s">
        <v>910</v>
      </c>
      <c r="C52" s="20" t="s">
        <v>702</v>
      </c>
      <c r="D52" s="159"/>
      <c r="E52" s="159"/>
      <c r="F52" s="159"/>
      <c r="G52" s="159"/>
      <c r="H52" s="159"/>
      <c r="I52" s="159"/>
      <c r="J52" s="159"/>
      <c r="K52" s="159"/>
      <c r="L52" s="204">
        <v>50</v>
      </c>
      <c r="M52" s="167"/>
      <c r="N52" s="178">
        <v>43212</v>
      </c>
      <c r="O52" s="169">
        <v>43213</v>
      </c>
      <c r="P52" s="169">
        <v>43871</v>
      </c>
      <c r="Q52" s="8" t="s">
        <v>170</v>
      </c>
      <c r="R52" s="167" t="s">
        <v>744</v>
      </c>
      <c r="S52" s="167" t="s">
        <v>745</v>
      </c>
      <c r="T52" s="167">
        <v>794381301</v>
      </c>
      <c r="U52" s="20"/>
      <c r="V52" s="20" t="s">
        <v>911</v>
      </c>
      <c r="W52" s="20"/>
      <c r="X52" s="20">
        <v>171</v>
      </c>
      <c r="Y52" s="204"/>
      <c r="Z52" s="20" t="s">
        <v>912</v>
      </c>
      <c r="AA52" s="20"/>
    </row>
    <row r="53" spans="1:27" ht="15.75" customHeight="1">
      <c r="A53" s="8">
        <v>52</v>
      </c>
      <c r="B53" s="20" t="s">
        <v>913</v>
      </c>
      <c r="C53" s="20" t="s">
        <v>914</v>
      </c>
      <c r="D53" s="159"/>
      <c r="E53" s="159"/>
      <c r="F53" s="159"/>
      <c r="G53" s="159"/>
      <c r="H53" s="159"/>
      <c r="I53" s="159"/>
      <c r="J53" s="159"/>
      <c r="K53" s="159"/>
      <c r="L53" s="204">
        <v>50</v>
      </c>
      <c r="M53" s="167"/>
      <c r="N53" s="178">
        <v>43230</v>
      </c>
      <c r="O53" s="169">
        <v>43231</v>
      </c>
      <c r="P53" s="169">
        <v>43231</v>
      </c>
      <c r="Q53" s="8" t="s">
        <v>170</v>
      </c>
      <c r="R53" s="167" t="s">
        <v>915</v>
      </c>
      <c r="S53" s="167" t="s">
        <v>916</v>
      </c>
      <c r="T53" s="167">
        <v>519562001</v>
      </c>
      <c r="U53" s="20"/>
      <c r="V53" s="20" t="s">
        <v>917</v>
      </c>
      <c r="W53" s="20"/>
      <c r="X53" s="20">
        <v>172</v>
      </c>
      <c r="Y53" s="204"/>
      <c r="Z53" s="20" t="s">
        <v>918</v>
      </c>
      <c r="AA53" s="20"/>
    </row>
    <row r="54" spans="1:27" ht="15.75" customHeight="1">
      <c r="A54" s="8">
        <v>53</v>
      </c>
      <c r="B54" s="20" t="s">
        <v>919</v>
      </c>
      <c r="C54" s="20" t="s">
        <v>920</v>
      </c>
      <c r="D54" s="159"/>
      <c r="E54" s="159"/>
      <c r="F54" s="159"/>
      <c r="G54" s="159"/>
      <c r="H54" s="159"/>
      <c r="I54" s="159"/>
      <c r="J54" s="159"/>
      <c r="K54" s="159"/>
      <c r="L54" s="204">
        <v>50</v>
      </c>
      <c r="M54" s="167"/>
      <c r="N54" s="178">
        <v>43237</v>
      </c>
      <c r="O54" s="169">
        <v>43238</v>
      </c>
      <c r="P54" s="169">
        <v>43238</v>
      </c>
      <c r="Q54" s="8" t="s">
        <v>170</v>
      </c>
      <c r="R54" s="167" t="s">
        <v>921</v>
      </c>
      <c r="S54" s="167" t="s">
        <v>922</v>
      </c>
      <c r="T54" s="167">
        <v>514945980</v>
      </c>
      <c r="U54" s="20"/>
      <c r="V54" s="20" t="s">
        <v>923</v>
      </c>
      <c r="W54" s="20"/>
      <c r="X54" s="20">
        <v>173</v>
      </c>
      <c r="Y54" s="204"/>
      <c r="Z54" s="20" t="s">
        <v>919</v>
      </c>
      <c r="AA54" s="20"/>
    </row>
    <row r="55" spans="1:27" ht="15.75" customHeight="1">
      <c r="A55" s="8">
        <v>54</v>
      </c>
      <c r="B55" s="20" t="s">
        <v>924</v>
      </c>
      <c r="C55" s="20" t="s">
        <v>925</v>
      </c>
      <c r="D55" s="159"/>
      <c r="E55" s="159"/>
      <c r="F55" s="159"/>
      <c r="G55" s="159"/>
      <c r="H55" s="159"/>
      <c r="I55" s="159"/>
      <c r="J55" s="159"/>
      <c r="K55" s="159"/>
      <c r="L55" s="204">
        <v>50</v>
      </c>
      <c r="M55" s="167"/>
      <c r="N55" s="178">
        <v>43245</v>
      </c>
      <c r="O55" s="169">
        <v>43245</v>
      </c>
      <c r="P55" s="169">
        <v>43245</v>
      </c>
      <c r="Q55" s="8" t="s">
        <v>170</v>
      </c>
      <c r="R55" s="167" t="s">
        <v>926</v>
      </c>
      <c r="S55" s="167" t="s">
        <v>927</v>
      </c>
      <c r="T55" s="167">
        <v>509900664</v>
      </c>
      <c r="U55" s="20"/>
      <c r="V55" s="20" t="s">
        <v>928</v>
      </c>
      <c r="W55" s="20"/>
      <c r="X55" s="20">
        <v>174</v>
      </c>
      <c r="Y55" s="204"/>
      <c r="Z55" s="20"/>
      <c r="AA55" s="20" t="s">
        <v>929</v>
      </c>
    </row>
    <row r="56" spans="1:27" ht="15.75" customHeight="1">
      <c r="A56" s="8">
        <v>55</v>
      </c>
      <c r="B56" s="20" t="s">
        <v>930</v>
      </c>
      <c r="C56" s="20" t="s">
        <v>931</v>
      </c>
      <c r="D56" s="159"/>
      <c r="E56" s="159"/>
      <c r="F56" s="159"/>
      <c r="G56" s="159"/>
      <c r="H56" s="159"/>
      <c r="I56" s="159"/>
      <c r="J56" s="159"/>
      <c r="K56" s="159"/>
      <c r="L56" s="204">
        <v>50</v>
      </c>
      <c r="M56" s="167"/>
      <c r="N56" s="178">
        <v>43246</v>
      </c>
      <c r="O56" s="169">
        <v>43248</v>
      </c>
      <c r="P56" s="169">
        <v>43248</v>
      </c>
      <c r="Q56" s="8" t="s">
        <v>170</v>
      </c>
      <c r="R56" s="167" t="s">
        <v>932</v>
      </c>
      <c r="S56" s="167" t="s">
        <v>933</v>
      </c>
      <c r="T56" s="186">
        <v>531361998</v>
      </c>
      <c r="U56" s="20"/>
      <c r="V56" s="20" t="s">
        <v>934</v>
      </c>
      <c r="W56" s="20"/>
      <c r="X56" s="20">
        <v>175</v>
      </c>
      <c r="Y56" s="204"/>
      <c r="Z56" s="20"/>
      <c r="AA56" s="20"/>
    </row>
    <row r="57" spans="1:27" ht="15.75" customHeight="1">
      <c r="A57" s="8">
        <v>56</v>
      </c>
      <c r="B57" s="20" t="s">
        <v>481</v>
      </c>
      <c r="C57" s="20" t="s">
        <v>935</v>
      </c>
      <c r="D57" s="159"/>
      <c r="E57" s="159"/>
      <c r="F57" s="159"/>
      <c r="G57" s="159"/>
      <c r="H57" s="159"/>
      <c r="I57" s="159"/>
      <c r="J57" s="159"/>
      <c r="K57" s="159"/>
      <c r="L57" s="204">
        <v>50</v>
      </c>
      <c r="M57" s="167"/>
      <c r="N57" s="178">
        <v>43261</v>
      </c>
      <c r="O57" s="169">
        <v>43262</v>
      </c>
      <c r="P57" s="169">
        <v>43262</v>
      </c>
      <c r="Q57" s="8" t="s">
        <v>170</v>
      </c>
      <c r="R57" s="167" t="s">
        <v>936</v>
      </c>
      <c r="S57" s="167" t="s">
        <v>937</v>
      </c>
      <c r="T57" s="167">
        <v>601200235</v>
      </c>
      <c r="U57" s="20" t="s">
        <v>938</v>
      </c>
      <c r="V57" s="20" t="s">
        <v>939</v>
      </c>
      <c r="W57" s="20"/>
      <c r="X57" s="20">
        <v>176</v>
      </c>
      <c r="Y57" s="204"/>
      <c r="Z57" s="20"/>
      <c r="AA57" s="20"/>
    </row>
    <row r="58" spans="1:27" ht="15.75" customHeight="1">
      <c r="A58" s="8">
        <v>57</v>
      </c>
      <c r="B58" s="20" t="s">
        <v>940</v>
      </c>
      <c r="C58" s="20" t="s">
        <v>941</v>
      </c>
      <c r="D58" s="159"/>
      <c r="E58" s="159"/>
      <c r="F58" s="159"/>
      <c r="G58" s="159"/>
      <c r="H58" s="159"/>
      <c r="I58" s="159"/>
      <c r="J58" s="159"/>
      <c r="K58" s="159"/>
      <c r="L58" s="204">
        <v>50</v>
      </c>
      <c r="M58" s="167"/>
      <c r="N58" s="178">
        <v>43275</v>
      </c>
      <c r="O58" s="169">
        <v>43276</v>
      </c>
      <c r="P58" s="169">
        <v>43276</v>
      </c>
      <c r="Q58" s="8" t="s">
        <v>170</v>
      </c>
      <c r="R58" s="167" t="s">
        <v>942</v>
      </c>
      <c r="S58" s="167" t="s">
        <v>943</v>
      </c>
      <c r="T58" s="167">
        <v>690982541</v>
      </c>
      <c r="U58" s="20"/>
      <c r="V58" s="20" t="s">
        <v>944</v>
      </c>
      <c r="W58" s="20"/>
      <c r="X58" s="20">
        <v>177</v>
      </c>
      <c r="Y58" s="204"/>
      <c r="Z58" s="20"/>
      <c r="AA58" s="20"/>
    </row>
    <row r="59" spans="1:27" ht="15.75" customHeight="1">
      <c r="A59" s="8">
        <v>58</v>
      </c>
      <c r="B59" s="20" t="s">
        <v>924</v>
      </c>
      <c r="C59" s="20" t="s">
        <v>945</v>
      </c>
      <c r="D59" s="159"/>
      <c r="E59" s="159"/>
      <c r="F59" s="159"/>
      <c r="G59" s="159"/>
      <c r="H59" s="159"/>
      <c r="I59" s="159"/>
      <c r="J59" s="159"/>
      <c r="K59" s="159"/>
      <c r="L59" s="204">
        <v>50</v>
      </c>
      <c r="M59" s="167">
        <v>50</v>
      </c>
      <c r="N59" s="178">
        <v>43317</v>
      </c>
      <c r="O59" s="169">
        <v>43318</v>
      </c>
      <c r="P59" s="169">
        <v>43707</v>
      </c>
      <c r="Q59" s="8" t="s">
        <v>170</v>
      </c>
      <c r="R59" s="167" t="s">
        <v>946</v>
      </c>
      <c r="S59" s="167" t="s">
        <v>947</v>
      </c>
      <c r="T59" s="167">
        <v>607299999</v>
      </c>
      <c r="U59" s="20" t="s">
        <v>948</v>
      </c>
      <c r="V59" s="20" t="s">
        <v>949</v>
      </c>
      <c r="W59" s="20"/>
      <c r="X59" s="20">
        <v>178</v>
      </c>
      <c r="Y59" s="204"/>
      <c r="Z59" s="20"/>
      <c r="AA59" s="20"/>
    </row>
    <row r="60" spans="1:27" ht="15.75" customHeight="1">
      <c r="A60" s="8">
        <v>59</v>
      </c>
      <c r="B60" s="20" t="s">
        <v>559</v>
      </c>
      <c r="C60" s="20" t="s">
        <v>128</v>
      </c>
      <c r="D60" s="159"/>
      <c r="E60" s="159"/>
      <c r="F60" s="159"/>
      <c r="G60" s="159"/>
      <c r="H60" s="159"/>
      <c r="I60" s="159"/>
      <c r="J60" s="159"/>
      <c r="K60" s="159"/>
      <c r="L60" s="204">
        <v>50</v>
      </c>
      <c r="M60" s="167"/>
      <c r="N60" s="178">
        <v>43333</v>
      </c>
      <c r="O60" s="169">
        <v>43333</v>
      </c>
      <c r="P60" s="169">
        <v>43333</v>
      </c>
      <c r="Q60" s="8" t="s">
        <v>170</v>
      </c>
      <c r="R60" s="167" t="s">
        <v>950</v>
      </c>
      <c r="S60" s="167" t="s">
        <v>951</v>
      </c>
      <c r="T60" s="186">
        <v>604516243</v>
      </c>
      <c r="U60" s="20" t="s">
        <v>952</v>
      </c>
      <c r="V60" s="20" t="s">
        <v>953</v>
      </c>
      <c r="W60" s="20"/>
      <c r="X60" s="20">
        <v>179</v>
      </c>
      <c r="Y60" s="204"/>
      <c r="Z60" s="20" t="s">
        <v>954</v>
      </c>
      <c r="AA60" s="20"/>
    </row>
    <row r="61" spans="1:27" ht="15.75" customHeight="1">
      <c r="A61" s="8">
        <v>60</v>
      </c>
      <c r="B61" s="20" t="s">
        <v>568</v>
      </c>
      <c r="C61" s="20" t="s">
        <v>116</v>
      </c>
      <c r="D61" s="159"/>
      <c r="E61" s="159"/>
      <c r="F61" s="159"/>
      <c r="G61" s="159"/>
      <c r="H61" s="159"/>
      <c r="I61" s="159"/>
      <c r="J61" s="159"/>
      <c r="K61" s="159"/>
      <c r="L61" s="204">
        <v>50</v>
      </c>
      <c r="M61" s="167"/>
      <c r="N61" s="178">
        <v>43341</v>
      </c>
      <c r="O61" s="169">
        <v>43342</v>
      </c>
      <c r="P61" s="169">
        <v>43342</v>
      </c>
      <c r="Q61" s="8" t="s">
        <v>170</v>
      </c>
      <c r="R61" s="167" t="s">
        <v>955</v>
      </c>
      <c r="S61" s="167" t="s">
        <v>956</v>
      </c>
      <c r="T61" s="167">
        <v>721120282</v>
      </c>
      <c r="U61" s="20"/>
      <c r="V61" s="20" t="s">
        <v>957</v>
      </c>
      <c r="W61" s="20"/>
      <c r="X61" s="20">
        <v>180</v>
      </c>
      <c r="Y61" s="204"/>
      <c r="Z61" s="20"/>
      <c r="AA61" s="20"/>
    </row>
    <row r="62" spans="1:27" ht="15.75" customHeight="1">
      <c r="A62" s="8">
        <v>61</v>
      </c>
      <c r="B62" s="20" t="s">
        <v>48</v>
      </c>
      <c r="C62" s="20" t="s">
        <v>958</v>
      </c>
      <c r="D62" s="159"/>
      <c r="E62" s="159"/>
      <c r="F62" s="159"/>
      <c r="G62" s="159"/>
      <c r="H62" s="159"/>
      <c r="I62" s="159"/>
      <c r="J62" s="159"/>
      <c r="K62" s="159"/>
      <c r="L62" s="204">
        <v>50</v>
      </c>
      <c r="M62" s="167"/>
      <c r="N62" s="178">
        <v>43353</v>
      </c>
      <c r="O62" s="169">
        <v>43354</v>
      </c>
      <c r="P62" s="169">
        <v>43936</v>
      </c>
      <c r="Q62" s="8" t="s">
        <v>170</v>
      </c>
      <c r="R62" s="167" t="s">
        <v>959</v>
      </c>
      <c r="S62" s="167" t="s">
        <v>960</v>
      </c>
      <c r="T62" s="186">
        <v>791142314</v>
      </c>
      <c r="U62" s="20"/>
      <c r="V62" s="20" t="s">
        <v>961</v>
      </c>
      <c r="W62" s="20"/>
      <c r="X62" s="20">
        <v>181</v>
      </c>
      <c r="Y62" s="204"/>
      <c r="Z62" s="20"/>
      <c r="AA62" s="20"/>
    </row>
    <row r="63" spans="1:27" ht="15.75" customHeight="1">
      <c r="A63" s="8">
        <v>62</v>
      </c>
      <c r="B63" s="20" t="s">
        <v>239</v>
      </c>
      <c r="C63" s="20" t="s">
        <v>962</v>
      </c>
      <c r="D63" s="159"/>
      <c r="E63" s="159"/>
      <c r="F63" s="159"/>
      <c r="G63" s="159"/>
      <c r="H63" s="159"/>
      <c r="I63" s="159"/>
      <c r="J63" s="159"/>
      <c r="K63" s="159"/>
      <c r="L63" s="204">
        <v>50</v>
      </c>
      <c r="M63" s="167"/>
      <c r="N63" s="178">
        <v>43368</v>
      </c>
      <c r="O63" s="169">
        <v>43369</v>
      </c>
      <c r="P63" s="169">
        <v>43369</v>
      </c>
      <c r="Q63" s="8" t="s">
        <v>170</v>
      </c>
      <c r="R63" s="167" t="s">
        <v>963</v>
      </c>
      <c r="S63" s="167" t="s">
        <v>964</v>
      </c>
      <c r="T63" s="186">
        <v>664733883</v>
      </c>
      <c r="U63" s="20"/>
      <c r="V63" s="20" t="s">
        <v>965</v>
      </c>
      <c r="W63" s="20"/>
      <c r="X63" s="20">
        <v>182</v>
      </c>
      <c r="Y63" s="204"/>
      <c r="Z63" s="20" t="s">
        <v>966</v>
      </c>
      <c r="AA63" s="20"/>
    </row>
    <row r="64" spans="1:27" ht="15.75" customHeight="1">
      <c r="A64" s="8">
        <v>63</v>
      </c>
      <c r="B64" s="20" t="s">
        <v>55</v>
      </c>
      <c r="C64" s="20" t="s">
        <v>402</v>
      </c>
      <c r="D64" s="159"/>
      <c r="E64" s="159"/>
      <c r="F64" s="159"/>
      <c r="G64" s="159"/>
      <c r="H64" s="159"/>
      <c r="I64" s="159"/>
      <c r="J64" s="159"/>
      <c r="K64" s="159"/>
      <c r="L64" s="204">
        <v>50</v>
      </c>
      <c r="M64" s="167"/>
      <c r="N64" s="178">
        <v>43397</v>
      </c>
      <c r="O64" s="169">
        <v>43398</v>
      </c>
      <c r="P64" s="169">
        <v>43398</v>
      </c>
      <c r="Q64" s="8" t="s">
        <v>170</v>
      </c>
      <c r="R64" s="167" t="s">
        <v>967</v>
      </c>
      <c r="S64" s="167" t="s">
        <v>968</v>
      </c>
      <c r="T64" s="167">
        <v>609295232</v>
      </c>
      <c r="U64" s="20"/>
      <c r="V64" s="20" t="s">
        <v>969</v>
      </c>
      <c r="W64" s="20"/>
      <c r="X64" s="20">
        <v>183</v>
      </c>
      <c r="Y64" s="204"/>
      <c r="Z64" s="20"/>
      <c r="AA64" s="20"/>
    </row>
    <row r="65" spans="1:27" ht="15.75" customHeight="1">
      <c r="A65" s="8">
        <v>64</v>
      </c>
      <c r="B65" s="20" t="s">
        <v>13</v>
      </c>
      <c r="C65" s="20" t="s">
        <v>970</v>
      </c>
      <c r="D65" s="159"/>
      <c r="E65" s="159"/>
      <c r="F65" s="159"/>
      <c r="G65" s="159"/>
      <c r="H65" s="159"/>
      <c r="I65" s="159"/>
      <c r="J65" s="159"/>
      <c r="K65" s="159"/>
      <c r="L65" s="204">
        <v>50</v>
      </c>
      <c r="M65" s="167">
        <v>50</v>
      </c>
      <c r="N65" s="178">
        <v>43398</v>
      </c>
      <c r="O65" s="169">
        <v>43399</v>
      </c>
      <c r="P65" s="169">
        <v>43762</v>
      </c>
      <c r="Q65" s="8" t="s">
        <v>170</v>
      </c>
      <c r="R65" s="167" t="s">
        <v>971</v>
      </c>
      <c r="S65" s="167" t="s">
        <v>972</v>
      </c>
      <c r="T65" s="167">
        <v>506162905</v>
      </c>
      <c r="U65" s="20"/>
      <c r="V65" s="20" t="s">
        <v>973</v>
      </c>
      <c r="W65" s="20"/>
      <c r="X65" s="20">
        <v>184</v>
      </c>
      <c r="Y65" s="204"/>
      <c r="Z65" s="20"/>
      <c r="AA65" s="20"/>
    </row>
    <row r="66" spans="1:27" ht="15.75" customHeight="1">
      <c r="A66" s="8">
        <v>65</v>
      </c>
      <c r="B66" s="20" t="s">
        <v>300</v>
      </c>
      <c r="C66" s="20" t="s">
        <v>974</v>
      </c>
      <c r="D66" s="159"/>
      <c r="E66" s="159"/>
      <c r="F66" s="159"/>
      <c r="G66" s="159"/>
      <c r="H66" s="159"/>
      <c r="I66" s="159"/>
      <c r="J66" s="159"/>
      <c r="K66" s="159"/>
      <c r="L66" s="204">
        <v>50</v>
      </c>
      <c r="M66" s="167">
        <v>50</v>
      </c>
      <c r="N66" s="178">
        <v>43402</v>
      </c>
      <c r="O66" s="169">
        <v>43403</v>
      </c>
      <c r="P66" s="169">
        <v>43776</v>
      </c>
      <c r="Q66" s="8" t="s">
        <v>170</v>
      </c>
      <c r="R66" s="167" t="s">
        <v>975</v>
      </c>
      <c r="S66" s="167" t="s">
        <v>976</v>
      </c>
      <c r="T66" s="167">
        <v>881438135</v>
      </c>
      <c r="U66" s="20"/>
      <c r="V66" s="20" t="s">
        <v>977</v>
      </c>
      <c r="W66" s="20"/>
      <c r="X66" s="20">
        <v>185</v>
      </c>
      <c r="Y66" s="204"/>
      <c r="Z66" s="20" t="s">
        <v>978</v>
      </c>
      <c r="AA66" s="20" t="s">
        <v>979</v>
      </c>
    </row>
    <row r="67" spans="1:27" ht="15.75" customHeight="1">
      <c r="A67" s="8">
        <v>66</v>
      </c>
      <c r="B67" s="20" t="s">
        <v>980</v>
      </c>
      <c r="C67" s="20" t="s">
        <v>981</v>
      </c>
      <c r="D67" s="159"/>
      <c r="E67" s="159"/>
      <c r="F67" s="159"/>
      <c r="G67" s="159"/>
      <c r="H67" s="159"/>
      <c r="I67" s="159"/>
      <c r="J67" s="159"/>
      <c r="K67" s="159"/>
      <c r="L67" s="204">
        <v>50</v>
      </c>
      <c r="M67" s="167"/>
      <c r="N67" s="178">
        <v>43417</v>
      </c>
      <c r="O67" s="169">
        <v>43418</v>
      </c>
      <c r="P67" s="169">
        <v>43418</v>
      </c>
      <c r="Q67" s="8" t="s">
        <v>170</v>
      </c>
      <c r="R67" s="167" t="s">
        <v>982</v>
      </c>
      <c r="S67" s="167" t="s">
        <v>983</v>
      </c>
      <c r="T67" s="167">
        <v>600367361</v>
      </c>
      <c r="U67" s="20"/>
      <c r="V67" s="20" t="s">
        <v>984</v>
      </c>
      <c r="W67" s="20"/>
      <c r="X67" s="20">
        <v>186</v>
      </c>
      <c r="Y67" s="204"/>
      <c r="Z67" s="20" t="s">
        <v>985</v>
      </c>
      <c r="AA67" s="20"/>
    </row>
    <row r="68" spans="1:27" ht="15.75" customHeight="1">
      <c r="A68" s="8">
        <v>67</v>
      </c>
      <c r="B68" s="20" t="s">
        <v>559</v>
      </c>
      <c r="C68" s="20" t="s">
        <v>986</v>
      </c>
      <c r="D68" s="159"/>
      <c r="E68" s="159"/>
      <c r="F68" s="159"/>
      <c r="G68" s="159"/>
      <c r="H68" s="159"/>
      <c r="I68" s="159"/>
      <c r="J68" s="159"/>
      <c r="K68" s="159"/>
      <c r="L68" s="204">
        <v>50</v>
      </c>
      <c r="M68" s="167"/>
      <c r="N68" s="178">
        <v>43418</v>
      </c>
      <c r="O68" s="169">
        <v>43419</v>
      </c>
      <c r="P68" s="169">
        <v>43419</v>
      </c>
      <c r="Q68" s="8" t="s">
        <v>170</v>
      </c>
      <c r="R68" s="167" t="s">
        <v>987</v>
      </c>
      <c r="S68" s="167" t="s">
        <v>988</v>
      </c>
      <c r="T68" s="167">
        <v>669609981</v>
      </c>
      <c r="U68" s="20"/>
      <c r="V68" s="20" t="s">
        <v>989</v>
      </c>
      <c r="W68" s="20"/>
      <c r="X68" s="20">
        <v>187</v>
      </c>
      <c r="Y68" s="20"/>
      <c r="Z68" s="20"/>
      <c r="AA68" s="20"/>
    </row>
    <row r="69" spans="1:27" ht="15.75" customHeight="1">
      <c r="A69" s="8">
        <v>68</v>
      </c>
      <c r="B69" s="20" t="s">
        <v>1002</v>
      </c>
      <c r="C69" s="20" t="s">
        <v>755</v>
      </c>
      <c r="D69" s="159"/>
      <c r="E69" s="159"/>
      <c r="F69" s="159"/>
      <c r="G69" s="159"/>
      <c r="H69" s="159"/>
      <c r="I69" s="159"/>
      <c r="J69" s="159"/>
      <c r="K69" s="159"/>
      <c r="L69" s="226"/>
      <c r="M69" s="167">
        <v>50</v>
      </c>
      <c r="N69" s="178">
        <v>43469</v>
      </c>
      <c r="O69" s="169">
        <v>43469</v>
      </c>
      <c r="P69" s="169">
        <v>43469</v>
      </c>
      <c r="Q69" s="8" t="s">
        <v>170</v>
      </c>
      <c r="R69" s="167" t="s">
        <v>1003</v>
      </c>
      <c r="S69" s="167" t="s">
        <v>757</v>
      </c>
      <c r="T69" s="186">
        <v>696453314</v>
      </c>
      <c r="U69" s="20"/>
      <c r="V69" s="20" t="s">
        <v>1004</v>
      </c>
      <c r="W69" s="20"/>
      <c r="X69" s="20">
        <v>188</v>
      </c>
      <c r="Y69" s="20"/>
      <c r="Z69" s="20"/>
      <c r="AA69" s="20"/>
    </row>
    <row r="70" spans="1:27" ht="15.75" customHeight="1">
      <c r="A70" s="8">
        <v>69</v>
      </c>
      <c r="B70" s="20" t="s">
        <v>511</v>
      </c>
      <c r="C70" s="20" t="s">
        <v>1005</v>
      </c>
      <c r="D70" s="159"/>
      <c r="E70" s="159"/>
      <c r="F70" s="159"/>
      <c r="G70" s="159"/>
      <c r="H70" s="159"/>
      <c r="I70" s="159"/>
      <c r="J70" s="159"/>
      <c r="K70" s="159"/>
      <c r="L70" s="226"/>
      <c r="M70" s="167">
        <v>50</v>
      </c>
      <c r="N70" s="178">
        <v>43503</v>
      </c>
      <c r="O70" s="169">
        <v>43503</v>
      </c>
      <c r="P70" s="169">
        <v>43865</v>
      </c>
      <c r="Q70" s="8" t="s">
        <v>170</v>
      </c>
      <c r="R70" s="167" t="s">
        <v>1006</v>
      </c>
      <c r="S70" s="167" t="s">
        <v>656</v>
      </c>
      <c r="T70" s="167">
        <v>729769112</v>
      </c>
      <c r="U70" s="20"/>
      <c r="V70" s="20" t="s">
        <v>1007</v>
      </c>
      <c r="W70" s="20"/>
      <c r="X70" s="20">
        <v>189</v>
      </c>
      <c r="Y70" s="20"/>
      <c r="Z70" s="20"/>
      <c r="AA70" s="20"/>
    </row>
    <row r="71" spans="1:27" ht="15.75" customHeight="1">
      <c r="A71" s="8">
        <v>70</v>
      </c>
      <c r="B71" s="20" t="s">
        <v>194</v>
      </c>
      <c r="C71" s="20" t="s">
        <v>1008</v>
      </c>
      <c r="D71" s="159"/>
      <c r="E71" s="159"/>
      <c r="F71" s="159"/>
      <c r="G71" s="159"/>
      <c r="H71" s="159"/>
      <c r="I71" s="159"/>
      <c r="J71" s="159"/>
      <c r="K71" s="159"/>
      <c r="L71" s="226"/>
      <c r="M71" s="167">
        <v>50</v>
      </c>
      <c r="N71" s="178">
        <v>43509</v>
      </c>
      <c r="O71" s="169">
        <v>43510</v>
      </c>
      <c r="P71" s="169">
        <v>43510</v>
      </c>
      <c r="Q71" s="8" t="s">
        <v>170</v>
      </c>
      <c r="R71" s="167" t="s">
        <v>1009</v>
      </c>
      <c r="S71" s="167" t="s">
        <v>1010</v>
      </c>
      <c r="T71" s="167">
        <v>507407737</v>
      </c>
      <c r="U71" s="20"/>
      <c r="V71" s="20" t="s">
        <v>1011</v>
      </c>
      <c r="W71" s="20"/>
      <c r="X71" s="20">
        <v>190</v>
      </c>
      <c r="Y71" s="20"/>
      <c r="Z71" s="20" t="s">
        <v>1012</v>
      </c>
      <c r="AA71" s="20"/>
    </row>
    <row r="72" spans="1:27" ht="15.75" customHeight="1">
      <c r="A72" s="8">
        <v>71</v>
      </c>
      <c r="B72" s="20" t="s">
        <v>1013</v>
      </c>
      <c r="C72" s="20" t="s">
        <v>1014</v>
      </c>
      <c r="D72" s="159"/>
      <c r="E72" s="159"/>
      <c r="F72" s="159"/>
      <c r="G72" s="159"/>
      <c r="H72" s="159"/>
      <c r="I72" s="159"/>
      <c r="J72" s="159"/>
      <c r="K72" s="159"/>
      <c r="L72" s="226"/>
      <c r="M72" s="167">
        <v>50</v>
      </c>
      <c r="N72" s="178">
        <v>43521</v>
      </c>
      <c r="O72" s="169">
        <v>43521</v>
      </c>
      <c r="P72" s="169">
        <v>43521</v>
      </c>
      <c r="Q72" s="8" t="s">
        <v>170</v>
      </c>
      <c r="R72" s="167" t="s">
        <v>1015</v>
      </c>
      <c r="S72" s="167" t="s">
        <v>1016</v>
      </c>
      <c r="T72" s="167">
        <v>503790338</v>
      </c>
      <c r="U72" s="20"/>
      <c r="V72" s="20" t="s">
        <v>1017</v>
      </c>
      <c r="W72" s="20"/>
      <c r="X72" s="20">
        <v>191</v>
      </c>
      <c r="Y72" s="40" t="s">
        <v>200</v>
      </c>
      <c r="Z72" s="20"/>
      <c r="AA72" s="20"/>
    </row>
    <row r="73" spans="1:27" ht="15.75" customHeight="1">
      <c r="A73" s="8">
        <v>72</v>
      </c>
      <c r="B73" s="20" t="s">
        <v>1018</v>
      </c>
      <c r="C73" s="20" t="s">
        <v>1019</v>
      </c>
      <c r="D73" s="159"/>
      <c r="E73" s="159"/>
      <c r="F73" s="159"/>
      <c r="G73" s="159"/>
      <c r="H73" s="159"/>
      <c r="I73" s="159"/>
      <c r="J73" s="159"/>
      <c r="K73" s="159"/>
      <c r="L73" s="226"/>
      <c r="M73" s="167">
        <v>50</v>
      </c>
      <c r="N73" s="178">
        <v>43521</v>
      </c>
      <c r="O73" s="169">
        <v>43522</v>
      </c>
      <c r="P73" s="169">
        <v>43522</v>
      </c>
      <c r="Q73" s="8" t="s">
        <v>170</v>
      </c>
      <c r="R73" s="167" t="s">
        <v>1020</v>
      </c>
      <c r="S73" s="167" t="s">
        <v>1021</v>
      </c>
      <c r="T73" s="167">
        <v>788500095</v>
      </c>
      <c r="U73" s="20"/>
      <c r="V73" s="20" t="s">
        <v>1022</v>
      </c>
      <c r="W73" s="20"/>
      <c r="X73" s="20">
        <v>192</v>
      </c>
      <c r="Y73" s="40" t="s">
        <v>200</v>
      </c>
      <c r="Z73" s="20"/>
      <c r="AA73" s="20" t="s">
        <v>1023</v>
      </c>
    </row>
    <row r="74" spans="1:27" ht="15.75" customHeight="1">
      <c r="A74" s="8">
        <v>73</v>
      </c>
      <c r="B74" s="20" t="s">
        <v>556</v>
      </c>
      <c r="C74" s="20" t="s">
        <v>48</v>
      </c>
      <c r="D74" s="159"/>
      <c r="E74" s="159"/>
      <c r="F74" s="159"/>
      <c r="G74" s="159"/>
      <c r="H74" s="159"/>
      <c r="I74" s="159"/>
      <c r="J74" s="159"/>
      <c r="K74" s="159"/>
      <c r="L74" s="226"/>
      <c r="M74" s="167">
        <v>50</v>
      </c>
      <c r="N74" s="178">
        <v>43538</v>
      </c>
      <c r="O74" s="169">
        <v>43538</v>
      </c>
      <c r="P74" s="169">
        <v>43538</v>
      </c>
      <c r="Q74" s="8" t="s">
        <v>170</v>
      </c>
      <c r="R74" s="167" t="s">
        <v>1024</v>
      </c>
      <c r="S74" s="167" t="s">
        <v>535</v>
      </c>
      <c r="T74" s="167">
        <v>601610131</v>
      </c>
      <c r="U74" s="20"/>
      <c r="V74" s="20" t="s">
        <v>536</v>
      </c>
      <c r="W74" s="20"/>
      <c r="X74" s="20">
        <v>193</v>
      </c>
      <c r="Y74" s="20"/>
      <c r="Z74" s="20" t="s">
        <v>1025</v>
      </c>
      <c r="AA74" s="20"/>
    </row>
    <row r="75" spans="1:27" ht="15.75" customHeight="1">
      <c r="A75" s="8">
        <v>74</v>
      </c>
      <c r="B75" s="20" t="s">
        <v>559</v>
      </c>
      <c r="C75" s="20" t="s">
        <v>1026</v>
      </c>
      <c r="D75" s="159"/>
      <c r="E75" s="159"/>
      <c r="F75" s="159"/>
      <c r="G75" s="159"/>
      <c r="H75" s="159"/>
      <c r="I75" s="159"/>
      <c r="J75" s="159"/>
      <c r="K75" s="159"/>
      <c r="L75" s="226"/>
      <c r="M75" s="167">
        <v>50</v>
      </c>
      <c r="N75" s="178">
        <v>43542</v>
      </c>
      <c r="O75" s="169">
        <v>43543</v>
      </c>
      <c r="P75" s="169">
        <v>43909</v>
      </c>
      <c r="Q75" s="18" t="s">
        <v>689</v>
      </c>
      <c r="R75" s="167" t="s">
        <v>1027</v>
      </c>
      <c r="S75" s="167" t="s">
        <v>1028</v>
      </c>
      <c r="T75" s="167">
        <v>532474731</v>
      </c>
      <c r="U75" s="20" t="s">
        <v>1029</v>
      </c>
      <c r="V75" s="20" t="s">
        <v>1030</v>
      </c>
      <c r="W75" s="20"/>
      <c r="X75" s="20">
        <v>194</v>
      </c>
      <c r="Y75" s="40" t="s">
        <v>200</v>
      </c>
      <c r="Z75" s="20" t="s">
        <v>1031</v>
      </c>
      <c r="AA75" s="20"/>
    </row>
    <row r="76" spans="1:27" ht="15.75" customHeight="1">
      <c r="A76" s="8">
        <v>75</v>
      </c>
      <c r="B76" s="20" t="s">
        <v>441</v>
      </c>
      <c r="C76" s="20" t="s">
        <v>1032</v>
      </c>
      <c r="D76" s="159"/>
      <c r="E76" s="159"/>
      <c r="F76" s="159"/>
      <c r="G76" s="159"/>
      <c r="H76" s="159"/>
      <c r="I76" s="159"/>
      <c r="J76" s="159"/>
      <c r="K76" s="159"/>
      <c r="L76" s="226"/>
      <c r="M76" s="167">
        <v>50</v>
      </c>
      <c r="N76" s="178">
        <v>43573</v>
      </c>
      <c r="O76" s="169">
        <v>43573</v>
      </c>
      <c r="P76" s="169">
        <v>43573</v>
      </c>
      <c r="Q76" s="8" t="s">
        <v>170</v>
      </c>
      <c r="R76" s="167" t="s">
        <v>1033</v>
      </c>
      <c r="S76" s="167" t="s">
        <v>1034</v>
      </c>
      <c r="T76" s="167">
        <v>608631929</v>
      </c>
      <c r="U76" s="20" t="s">
        <v>1035</v>
      </c>
      <c r="V76" s="20" t="s">
        <v>1036</v>
      </c>
      <c r="W76" s="20">
        <v>502754558</v>
      </c>
      <c r="X76" s="20">
        <v>195</v>
      </c>
      <c r="Y76" s="20"/>
      <c r="Z76" s="20"/>
      <c r="AA76" s="20"/>
    </row>
    <row r="77" spans="1:27" ht="15.75" customHeight="1">
      <c r="A77" s="8">
        <v>76</v>
      </c>
      <c r="B77" s="20" t="s">
        <v>905</v>
      </c>
      <c r="C77" s="20" t="s">
        <v>1037</v>
      </c>
      <c r="D77" s="159"/>
      <c r="E77" s="159"/>
      <c r="F77" s="159"/>
      <c r="G77" s="159"/>
      <c r="H77" s="159"/>
      <c r="I77" s="159"/>
      <c r="J77" s="159"/>
      <c r="K77" s="159"/>
      <c r="L77" s="226"/>
      <c r="M77" s="167">
        <v>50</v>
      </c>
      <c r="N77" s="178">
        <v>43577</v>
      </c>
      <c r="O77" s="169">
        <v>43577</v>
      </c>
      <c r="P77" s="169">
        <v>43577</v>
      </c>
      <c r="Q77" s="8" t="s">
        <v>170</v>
      </c>
      <c r="R77" s="167" t="s">
        <v>1038</v>
      </c>
      <c r="S77" s="167" t="s">
        <v>1039</v>
      </c>
      <c r="T77" s="167">
        <v>664081460</v>
      </c>
      <c r="U77" s="20"/>
      <c r="V77" s="20" t="s">
        <v>1040</v>
      </c>
      <c r="W77" s="20"/>
      <c r="X77" s="20">
        <v>196</v>
      </c>
      <c r="Y77" s="20"/>
      <c r="Z77" s="20"/>
      <c r="AA77" s="20"/>
    </row>
    <row r="78" spans="1:27" ht="15.75" customHeight="1">
      <c r="A78" s="8">
        <v>77</v>
      </c>
      <c r="B78" s="20" t="s">
        <v>194</v>
      </c>
      <c r="C78" s="20" t="s">
        <v>710</v>
      </c>
      <c r="D78" s="159"/>
      <c r="E78" s="159"/>
      <c r="F78" s="159"/>
      <c r="G78" s="159"/>
      <c r="H78" s="159"/>
      <c r="I78" s="159"/>
      <c r="J78" s="159"/>
      <c r="K78" s="159"/>
      <c r="L78" s="226"/>
      <c r="M78" s="167">
        <v>50</v>
      </c>
      <c r="N78" s="178">
        <v>43578</v>
      </c>
      <c r="O78" s="169">
        <v>43578</v>
      </c>
      <c r="P78" s="169">
        <v>43578</v>
      </c>
      <c r="Q78" s="8" t="s">
        <v>170</v>
      </c>
      <c r="R78" s="167" t="s">
        <v>1041</v>
      </c>
      <c r="S78" s="167" t="s">
        <v>712</v>
      </c>
      <c r="T78" s="167">
        <v>605206191</v>
      </c>
      <c r="U78" s="20"/>
      <c r="V78" s="20" t="s">
        <v>1042</v>
      </c>
      <c r="W78" s="20"/>
      <c r="X78" s="20">
        <v>197</v>
      </c>
      <c r="Y78" s="20"/>
      <c r="Z78" s="20"/>
      <c r="AA78" s="20"/>
    </row>
    <row r="79" spans="1:27" ht="15.75" customHeight="1">
      <c r="A79" s="8">
        <v>78</v>
      </c>
      <c r="B79" s="20" t="s">
        <v>127</v>
      </c>
      <c r="C79" s="20" t="s">
        <v>1043</v>
      </c>
      <c r="D79" s="159"/>
      <c r="E79" s="159"/>
      <c r="F79" s="159"/>
      <c r="G79" s="159"/>
      <c r="H79" s="159"/>
      <c r="I79" s="159"/>
      <c r="J79" s="159"/>
      <c r="K79" s="159"/>
      <c r="L79" s="226"/>
      <c r="M79" s="167">
        <v>50</v>
      </c>
      <c r="N79" s="178">
        <v>43579</v>
      </c>
      <c r="O79" s="169">
        <v>43580</v>
      </c>
      <c r="P79" s="169">
        <v>43959</v>
      </c>
      <c r="Q79" s="8" t="s">
        <v>170</v>
      </c>
      <c r="R79" s="167" t="s">
        <v>1044</v>
      </c>
      <c r="S79" s="167" t="s">
        <v>1045</v>
      </c>
      <c r="T79" s="167">
        <v>787944957</v>
      </c>
      <c r="U79" s="20" t="s">
        <v>1046</v>
      </c>
      <c r="V79" s="20" t="s">
        <v>1047</v>
      </c>
      <c r="W79" s="20">
        <v>797542446</v>
      </c>
      <c r="X79" s="20">
        <v>198</v>
      </c>
      <c r="Y79" s="20"/>
      <c r="Z79" s="20"/>
      <c r="AA79" s="20"/>
    </row>
    <row r="80" spans="1:27" ht="15.75" customHeight="1">
      <c r="A80" s="8">
        <v>79</v>
      </c>
      <c r="B80" s="20" t="s">
        <v>1048</v>
      </c>
      <c r="C80" s="20" t="s">
        <v>1049</v>
      </c>
      <c r="D80" s="159"/>
      <c r="E80" s="159"/>
      <c r="F80" s="159"/>
      <c r="G80" s="159"/>
      <c r="H80" s="159"/>
      <c r="I80" s="159"/>
      <c r="J80" s="159"/>
      <c r="K80" s="159"/>
      <c r="L80" s="226"/>
      <c r="M80" s="167">
        <v>50</v>
      </c>
      <c r="N80" s="178">
        <v>43642</v>
      </c>
      <c r="O80" s="169">
        <v>43642</v>
      </c>
      <c r="P80" s="169">
        <v>43642</v>
      </c>
      <c r="Q80" s="8" t="s">
        <v>170</v>
      </c>
      <c r="R80" s="167" t="s">
        <v>1050</v>
      </c>
      <c r="S80" s="167" t="s">
        <v>1051</v>
      </c>
      <c r="T80" s="167">
        <v>607758544</v>
      </c>
      <c r="U80" s="20"/>
      <c r="V80" s="20" t="s">
        <v>1052</v>
      </c>
      <c r="W80" s="20"/>
      <c r="X80" s="20">
        <v>199</v>
      </c>
      <c r="Y80" s="20"/>
      <c r="Z80" s="20"/>
      <c r="AA80" s="20"/>
    </row>
    <row r="81" spans="1:27" ht="15.75" customHeight="1">
      <c r="A81" s="8">
        <v>80</v>
      </c>
      <c r="B81" s="20" t="s">
        <v>108</v>
      </c>
      <c r="C81" s="20" t="s">
        <v>1053</v>
      </c>
      <c r="D81" s="159"/>
      <c r="E81" s="159"/>
      <c r="F81" s="159"/>
      <c r="G81" s="159"/>
      <c r="H81" s="159"/>
      <c r="I81" s="159"/>
      <c r="J81" s="159"/>
      <c r="K81" s="159"/>
      <c r="L81" s="226"/>
      <c r="M81" s="167">
        <v>50</v>
      </c>
      <c r="N81" s="178">
        <v>43649</v>
      </c>
      <c r="O81" s="169">
        <v>43650</v>
      </c>
      <c r="P81" s="169">
        <v>43650</v>
      </c>
      <c r="Q81" s="8" t="s">
        <v>170</v>
      </c>
      <c r="R81" s="167" t="s">
        <v>1054</v>
      </c>
      <c r="S81" s="167" t="s">
        <v>1055</v>
      </c>
      <c r="T81" s="167">
        <v>503042380</v>
      </c>
      <c r="U81" s="20"/>
      <c r="V81" s="20" t="s">
        <v>1056</v>
      </c>
      <c r="W81" s="20"/>
      <c r="X81" s="20">
        <v>200</v>
      </c>
      <c r="Y81" s="20"/>
      <c r="Z81" s="20"/>
      <c r="AA81" s="20"/>
    </row>
    <row r="82" spans="1:27" ht="15.75" customHeight="1">
      <c r="A82" s="8">
        <v>81</v>
      </c>
      <c r="B82" s="20" t="s">
        <v>141</v>
      </c>
      <c r="C82" s="20" t="s">
        <v>1057</v>
      </c>
      <c r="D82" s="159"/>
      <c r="E82" s="159"/>
      <c r="F82" s="159"/>
      <c r="G82" s="159"/>
      <c r="H82" s="159"/>
      <c r="I82" s="159"/>
      <c r="J82" s="159"/>
      <c r="K82" s="159"/>
      <c r="L82" s="226"/>
      <c r="M82" s="167">
        <v>50</v>
      </c>
      <c r="N82" s="178">
        <v>43651</v>
      </c>
      <c r="O82" s="169">
        <v>43651</v>
      </c>
      <c r="P82" s="169">
        <v>43651</v>
      </c>
      <c r="Q82" s="8" t="s">
        <v>170</v>
      </c>
      <c r="R82" s="167" t="s">
        <v>1058</v>
      </c>
      <c r="S82" s="167" t="s">
        <v>1059</v>
      </c>
      <c r="T82" s="167">
        <v>784184984</v>
      </c>
      <c r="U82" s="20"/>
      <c r="V82" s="20" t="s">
        <v>1060</v>
      </c>
      <c r="W82" s="20"/>
      <c r="X82" s="20">
        <v>201</v>
      </c>
      <c r="Y82" s="40" t="s">
        <v>200</v>
      </c>
      <c r="Z82" s="20" t="s">
        <v>1061</v>
      </c>
      <c r="AA82" s="20"/>
    </row>
    <row r="83" spans="1:27" ht="15.75" customHeight="1">
      <c r="A83" s="8">
        <v>82</v>
      </c>
      <c r="B83" s="20" t="s">
        <v>1062</v>
      </c>
      <c r="C83" s="20" t="s">
        <v>1063</v>
      </c>
      <c r="D83" s="159"/>
      <c r="E83" s="159"/>
      <c r="F83" s="159"/>
      <c r="G83" s="159"/>
      <c r="H83" s="159"/>
      <c r="I83" s="159"/>
      <c r="J83" s="159"/>
      <c r="K83" s="159"/>
      <c r="L83" s="226"/>
      <c r="M83" s="167">
        <v>50</v>
      </c>
      <c r="N83" s="178">
        <v>43672</v>
      </c>
      <c r="O83" s="169">
        <v>43675</v>
      </c>
      <c r="P83" s="169">
        <v>43675</v>
      </c>
      <c r="Q83" s="8" t="s">
        <v>170</v>
      </c>
      <c r="R83" s="167" t="s">
        <v>1064</v>
      </c>
      <c r="S83" s="167" t="s">
        <v>1065</v>
      </c>
      <c r="T83" s="167">
        <v>509670464</v>
      </c>
      <c r="U83" s="20"/>
      <c r="V83" s="20" t="s">
        <v>1066</v>
      </c>
      <c r="W83" s="20"/>
      <c r="X83" s="20">
        <v>202</v>
      </c>
      <c r="Y83" s="20"/>
      <c r="Z83" s="20" t="s">
        <v>1067</v>
      </c>
      <c r="AA83" s="20"/>
    </row>
    <row r="84" spans="1:27" ht="15.75" customHeight="1">
      <c r="A84" s="8">
        <v>83</v>
      </c>
      <c r="B84" s="20" t="s">
        <v>1068</v>
      </c>
      <c r="C84" s="20" t="s">
        <v>1069</v>
      </c>
      <c r="D84" s="159"/>
      <c r="E84" s="159"/>
      <c r="F84" s="159"/>
      <c r="G84" s="159"/>
      <c r="H84" s="159"/>
      <c r="I84" s="159"/>
      <c r="J84" s="159"/>
      <c r="K84" s="159"/>
      <c r="L84" s="226"/>
      <c r="M84" s="167">
        <v>50</v>
      </c>
      <c r="N84" s="178">
        <v>43684</v>
      </c>
      <c r="O84" s="169">
        <v>43684</v>
      </c>
      <c r="P84" s="169">
        <v>43684</v>
      </c>
      <c r="Q84" s="8" t="s">
        <v>170</v>
      </c>
      <c r="R84" s="167" t="s">
        <v>1070</v>
      </c>
      <c r="S84" s="167" t="s">
        <v>1071</v>
      </c>
      <c r="T84" s="167">
        <v>509117890</v>
      </c>
      <c r="U84" s="20"/>
      <c r="V84" s="20" t="s">
        <v>1072</v>
      </c>
      <c r="W84" s="20"/>
      <c r="X84" s="20">
        <v>203</v>
      </c>
      <c r="Y84" s="40" t="s">
        <v>200</v>
      </c>
      <c r="Z84" s="20"/>
      <c r="AA84" s="20"/>
    </row>
    <row r="85" spans="1:27" ht="15.75" customHeight="1">
      <c r="A85" s="8">
        <v>84</v>
      </c>
      <c r="B85" s="20" t="s">
        <v>1073</v>
      </c>
      <c r="C85" s="20" t="s">
        <v>1074</v>
      </c>
      <c r="D85" s="159"/>
      <c r="E85" s="159"/>
      <c r="F85" s="159"/>
      <c r="G85" s="159"/>
      <c r="H85" s="159"/>
      <c r="I85" s="159"/>
      <c r="J85" s="159"/>
      <c r="K85" s="159"/>
      <c r="L85" s="226"/>
      <c r="M85" s="167">
        <v>50</v>
      </c>
      <c r="N85" s="178">
        <v>43684</v>
      </c>
      <c r="O85" s="169">
        <v>43685</v>
      </c>
      <c r="P85" s="169">
        <v>43685</v>
      </c>
      <c r="Q85" s="8" t="s">
        <v>170</v>
      </c>
      <c r="R85" s="167" t="s">
        <v>1075</v>
      </c>
      <c r="S85" s="167" t="s">
        <v>1076</v>
      </c>
      <c r="T85" s="167">
        <v>690526904</v>
      </c>
      <c r="U85" s="20"/>
      <c r="V85" s="20" t="s">
        <v>1077</v>
      </c>
      <c r="W85" s="20"/>
      <c r="X85" s="20">
        <v>204</v>
      </c>
      <c r="Y85" s="40" t="s">
        <v>200</v>
      </c>
      <c r="Z85" s="20"/>
      <c r="AA85" s="20"/>
    </row>
    <row r="86" spans="1:27" ht="15.75" customHeight="1">
      <c r="A86" s="8">
        <v>85</v>
      </c>
      <c r="B86" s="20" t="s">
        <v>701</v>
      </c>
      <c r="C86" s="20" t="s">
        <v>1078</v>
      </c>
      <c r="D86" s="159"/>
      <c r="E86" s="159"/>
      <c r="F86" s="159"/>
      <c r="G86" s="159"/>
      <c r="H86" s="159"/>
      <c r="I86" s="159"/>
      <c r="J86" s="159"/>
      <c r="K86" s="159"/>
      <c r="L86" s="226"/>
      <c r="M86" s="167">
        <v>50</v>
      </c>
      <c r="N86" s="178">
        <v>43689</v>
      </c>
      <c r="O86" s="169">
        <v>43685</v>
      </c>
      <c r="P86" s="169">
        <v>43685</v>
      </c>
      <c r="Q86" s="8" t="s">
        <v>170</v>
      </c>
      <c r="R86" s="167" t="s">
        <v>1079</v>
      </c>
      <c r="S86" s="167" t="s">
        <v>1080</v>
      </c>
      <c r="T86" s="167">
        <v>500688237</v>
      </c>
      <c r="U86" s="20" t="s">
        <v>1081</v>
      </c>
      <c r="V86" s="20" t="s">
        <v>1082</v>
      </c>
      <c r="W86" s="20"/>
      <c r="X86" s="20">
        <v>205</v>
      </c>
      <c r="Y86" s="40" t="s">
        <v>200</v>
      </c>
      <c r="Z86" s="20" t="s">
        <v>1083</v>
      </c>
      <c r="AA86" s="20"/>
    </row>
    <row r="87" spans="1:27" ht="15.75" customHeight="1">
      <c r="A87" s="8">
        <v>86</v>
      </c>
      <c r="B87" s="20" t="s">
        <v>55</v>
      </c>
      <c r="C87" s="20" t="s">
        <v>1084</v>
      </c>
      <c r="D87" s="159"/>
      <c r="E87" s="159"/>
      <c r="F87" s="159"/>
      <c r="G87" s="159"/>
      <c r="H87" s="159"/>
      <c r="I87" s="159"/>
      <c r="J87" s="159"/>
      <c r="K87" s="159"/>
      <c r="L87" s="226"/>
      <c r="M87" s="167">
        <v>50</v>
      </c>
      <c r="N87" s="178">
        <v>43673</v>
      </c>
      <c r="O87" s="169">
        <v>43679</v>
      </c>
      <c r="P87" s="169">
        <v>43679</v>
      </c>
      <c r="Q87" s="8" t="s">
        <v>170</v>
      </c>
      <c r="R87" s="167" t="s">
        <v>1085</v>
      </c>
      <c r="S87" s="167" t="s">
        <v>1086</v>
      </c>
      <c r="T87" s="167">
        <v>792287874</v>
      </c>
      <c r="U87" s="20"/>
      <c r="V87" s="20" t="s">
        <v>1087</v>
      </c>
      <c r="W87" s="20"/>
      <c r="X87" s="20">
        <v>206</v>
      </c>
      <c r="Y87" s="40" t="s">
        <v>200</v>
      </c>
      <c r="Z87" s="20"/>
      <c r="AA87" s="20"/>
    </row>
    <row r="88" spans="1:27" ht="15.75" customHeight="1">
      <c r="A88" s="8">
        <v>87</v>
      </c>
      <c r="B88" s="20" t="s">
        <v>1088</v>
      </c>
      <c r="C88" s="20" t="s">
        <v>1089</v>
      </c>
      <c r="D88" s="159"/>
      <c r="E88" s="159"/>
      <c r="F88" s="159"/>
      <c r="G88" s="159"/>
      <c r="H88" s="159"/>
      <c r="I88" s="159"/>
      <c r="J88" s="159"/>
      <c r="K88" s="159"/>
      <c r="L88" s="226"/>
      <c r="M88" s="167">
        <v>50</v>
      </c>
      <c r="N88" s="178">
        <v>43691</v>
      </c>
      <c r="O88" s="169">
        <v>43693</v>
      </c>
      <c r="P88" s="169">
        <v>43693</v>
      </c>
      <c r="Q88" s="8" t="s">
        <v>170</v>
      </c>
      <c r="R88" s="167" t="s">
        <v>1090</v>
      </c>
      <c r="S88" s="167" t="s">
        <v>1091</v>
      </c>
      <c r="T88" s="167">
        <v>797376226</v>
      </c>
      <c r="U88" s="20"/>
      <c r="V88" s="20" t="s">
        <v>1092</v>
      </c>
      <c r="W88" s="20"/>
      <c r="X88" s="20">
        <v>207</v>
      </c>
      <c r="Y88" s="40" t="s">
        <v>200</v>
      </c>
      <c r="Z88" s="20"/>
      <c r="AA88" s="20"/>
    </row>
    <row r="89" spans="1:27" ht="15.75" customHeight="1">
      <c r="A89" s="8">
        <v>88</v>
      </c>
      <c r="B89" s="20" t="s">
        <v>481</v>
      </c>
      <c r="C89" s="20" t="s">
        <v>1093</v>
      </c>
      <c r="D89" s="159"/>
      <c r="E89" s="159"/>
      <c r="F89" s="159"/>
      <c r="G89" s="159"/>
      <c r="H89" s="159"/>
      <c r="I89" s="159"/>
      <c r="J89" s="159"/>
      <c r="K89" s="159"/>
      <c r="L89" s="226"/>
      <c r="M89" s="167">
        <v>50</v>
      </c>
      <c r="N89" s="178">
        <v>43710</v>
      </c>
      <c r="O89" s="169">
        <v>43710</v>
      </c>
      <c r="P89" s="169">
        <v>43710</v>
      </c>
      <c r="Q89" s="8" t="s">
        <v>170</v>
      </c>
      <c r="R89" s="167" t="s">
        <v>1094</v>
      </c>
      <c r="S89" s="167" t="s">
        <v>1095</v>
      </c>
      <c r="T89" s="167">
        <v>532791289</v>
      </c>
      <c r="U89" s="20" t="s">
        <v>1096</v>
      </c>
      <c r="V89" s="20" t="s">
        <v>1097</v>
      </c>
      <c r="W89" s="20"/>
      <c r="X89" s="20">
        <v>208</v>
      </c>
      <c r="Y89" s="20"/>
      <c r="Z89" s="20" t="s">
        <v>1098</v>
      </c>
      <c r="AA89" s="20"/>
    </row>
    <row r="90" spans="1:27" ht="15.75" customHeight="1">
      <c r="A90" s="8">
        <v>89</v>
      </c>
      <c r="B90" s="20" t="s">
        <v>559</v>
      </c>
      <c r="C90" s="20" t="s">
        <v>1099</v>
      </c>
      <c r="D90" s="159"/>
      <c r="E90" s="159"/>
      <c r="F90" s="159"/>
      <c r="G90" s="159"/>
      <c r="H90" s="159"/>
      <c r="I90" s="159"/>
      <c r="J90" s="159"/>
      <c r="K90" s="159"/>
      <c r="L90" s="226"/>
      <c r="M90" s="167">
        <v>50</v>
      </c>
      <c r="N90" s="178">
        <v>43713</v>
      </c>
      <c r="O90" s="169">
        <v>43713</v>
      </c>
      <c r="P90" s="169">
        <v>43713</v>
      </c>
      <c r="Q90" s="8" t="s">
        <v>170</v>
      </c>
      <c r="R90" s="167" t="s">
        <v>1100</v>
      </c>
      <c r="S90" s="167" t="s">
        <v>1101</v>
      </c>
      <c r="T90" s="167">
        <v>731957142</v>
      </c>
      <c r="U90" s="20" t="s">
        <v>1102</v>
      </c>
      <c r="V90" s="20" t="s">
        <v>1103</v>
      </c>
      <c r="W90" s="20"/>
      <c r="X90" s="20">
        <v>209</v>
      </c>
      <c r="Y90" s="20"/>
      <c r="Z90" s="20" t="s">
        <v>1104</v>
      </c>
      <c r="AA90" s="20"/>
    </row>
    <row r="91" spans="1:27" ht="15.75" customHeight="1">
      <c r="A91" s="8">
        <v>90</v>
      </c>
      <c r="B91" s="20" t="s">
        <v>1105</v>
      </c>
      <c r="C91" s="20" t="s">
        <v>1106</v>
      </c>
      <c r="D91" s="159"/>
      <c r="E91" s="159"/>
      <c r="F91" s="159"/>
      <c r="G91" s="159"/>
      <c r="H91" s="159"/>
      <c r="I91" s="159"/>
      <c r="J91" s="159"/>
      <c r="K91" s="159"/>
      <c r="L91" s="226"/>
      <c r="M91" s="167">
        <v>50</v>
      </c>
      <c r="N91" s="178">
        <v>43718</v>
      </c>
      <c r="O91" s="169">
        <v>43718</v>
      </c>
      <c r="P91" s="169">
        <v>43718</v>
      </c>
      <c r="Q91" s="8" t="s">
        <v>170</v>
      </c>
      <c r="R91" s="167" t="s">
        <v>1107</v>
      </c>
      <c r="S91" s="167" t="s">
        <v>191</v>
      </c>
      <c r="T91" s="167">
        <v>665474203</v>
      </c>
      <c r="U91" s="20" t="s">
        <v>1108</v>
      </c>
      <c r="V91" s="20" t="s">
        <v>1109</v>
      </c>
      <c r="W91" s="20"/>
      <c r="X91" s="20">
        <v>210</v>
      </c>
      <c r="Y91" s="40" t="s">
        <v>200</v>
      </c>
      <c r="Z91" s="20" t="s">
        <v>1110</v>
      </c>
      <c r="AA91" s="20"/>
    </row>
    <row r="92" spans="1:27" ht="15.75" customHeight="1">
      <c r="A92" s="8">
        <v>91</v>
      </c>
      <c r="B92" s="20" t="s">
        <v>1111</v>
      </c>
      <c r="C92" s="20" t="s">
        <v>1053</v>
      </c>
      <c r="D92" s="159"/>
      <c r="E92" s="159"/>
      <c r="F92" s="159"/>
      <c r="G92" s="159"/>
      <c r="H92" s="159"/>
      <c r="I92" s="159"/>
      <c r="J92" s="159"/>
      <c r="K92" s="159"/>
      <c r="L92" s="226"/>
      <c r="M92" s="167">
        <v>50</v>
      </c>
      <c r="N92" s="178">
        <v>43718</v>
      </c>
      <c r="O92" s="169">
        <v>43718</v>
      </c>
      <c r="P92" s="169">
        <v>43718</v>
      </c>
      <c r="Q92" s="8" t="s">
        <v>170</v>
      </c>
      <c r="R92" s="167" t="s">
        <v>1112</v>
      </c>
      <c r="S92" s="167" t="s">
        <v>1113</v>
      </c>
      <c r="T92" s="167">
        <v>505875326</v>
      </c>
      <c r="U92" s="20"/>
      <c r="V92" s="20" t="s">
        <v>1114</v>
      </c>
      <c r="W92" s="20"/>
      <c r="X92" s="20">
        <v>211</v>
      </c>
      <c r="Y92" s="40" t="s">
        <v>200</v>
      </c>
      <c r="Z92" s="20"/>
      <c r="AA92" s="20"/>
    </row>
    <row r="93" spans="1:27" ht="15.75" customHeight="1">
      <c r="A93" s="8">
        <v>92</v>
      </c>
      <c r="B93" s="20" t="s">
        <v>13</v>
      </c>
      <c r="C93" s="20" t="s">
        <v>1115</v>
      </c>
      <c r="D93" s="159"/>
      <c r="E93" s="159"/>
      <c r="F93" s="159"/>
      <c r="G93" s="159"/>
      <c r="H93" s="159"/>
      <c r="I93" s="159"/>
      <c r="J93" s="159"/>
      <c r="K93" s="159"/>
      <c r="L93" s="226"/>
      <c r="M93" s="167">
        <v>50</v>
      </c>
      <c r="N93" s="227" t="s">
        <v>1116</v>
      </c>
      <c r="O93" s="167" t="str">
        <f t="shared" ref="O93:P93" si="0">$N$93</f>
        <v>1019-09-15</v>
      </c>
      <c r="P93" s="167" t="str">
        <f t="shared" si="0"/>
        <v>1019-09-15</v>
      </c>
      <c r="Q93" s="8" t="s">
        <v>170</v>
      </c>
      <c r="R93" s="167" t="s">
        <v>1117</v>
      </c>
      <c r="S93" s="167" t="s">
        <v>1118</v>
      </c>
      <c r="T93" s="167">
        <v>503014237</v>
      </c>
      <c r="U93" s="20"/>
      <c r="V93" s="20" t="s">
        <v>1119</v>
      </c>
      <c r="W93" s="20"/>
      <c r="X93" s="20">
        <v>213</v>
      </c>
      <c r="Y93" s="20"/>
      <c r="Z93" s="20"/>
      <c r="AA93" s="20"/>
    </row>
    <row r="94" spans="1:27" ht="15.75" customHeight="1">
      <c r="A94" s="8">
        <v>93</v>
      </c>
      <c r="B94" s="20" t="s">
        <v>1120</v>
      </c>
      <c r="C94" s="20" t="s">
        <v>1121</v>
      </c>
      <c r="D94" s="159"/>
      <c r="E94" s="159"/>
      <c r="F94" s="159"/>
      <c r="G94" s="159"/>
      <c r="H94" s="159"/>
      <c r="I94" s="159"/>
      <c r="J94" s="159"/>
      <c r="K94" s="159"/>
      <c r="L94" s="226"/>
      <c r="M94" s="167">
        <v>50</v>
      </c>
      <c r="N94" s="177">
        <v>43724</v>
      </c>
      <c r="O94" s="106">
        <v>43724</v>
      </c>
      <c r="P94" s="106">
        <v>43724</v>
      </c>
      <c r="Q94" s="8" t="s">
        <v>170</v>
      </c>
      <c r="R94" s="167" t="s">
        <v>1122</v>
      </c>
      <c r="S94" s="167" t="s">
        <v>1123</v>
      </c>
      <c r="T94" s="167">
        <v>502277874</v>
      </c>
      <c r="U94" s="20"/>
      <c r="V94" s="20" t="s">
        <v>1124</v>
      </c>
      <c r="W94" s="20"/>
      <c r="X94" s="20">
        <v>212</v>
      </c>
      <c r="Y94" s="20"/>
      <c r="Z94" s="20"/>
      <c r="AA94" s="20"/>
    </row>
    <row r="95" spans="1:27" ht="15.75" customHeight="1">
      <c r="A95" s="8">
        <v>94</v>
      </c>
      <c r="B95" s="20" t="s">
        <v>645</v>
      </c>
      <c r="C95" s="20" t="s">
        <v>1125</v>
      </c>
      <c r="D95" s="159"/>
      <c r="E95" s="159"/>
      <c r="F95" s="159"/>
      <c r="G95" s="159"/>
      <c r="H95" s="159"/>
      <c r="I95" s="159"/>
      <c r="J95" s="159"/>
      <c r="K95" s="159"/>
      <c r="L95" s="226"/>
      <c r="M95" s="167">
        <v>50</v>
      </c>
      <c r="N95" s="177">
        <v>43751</v>
      </c>
      <c r="O95" s="106">
        <v>43751</v>
      </c>
      <c r="P95" s="106">
        <v>43751</v>
      </c>
      <c r="Q95" s="8" t="s">
        <v>170</v>
      </c>
      <c r="R95" s="167" t="s">
        <v>1126</v>
      </c>
      <c r="S95" s="167" t="s">
        <v>1127</v>
      </c>
      <c r="T95" s="167">
        <v>793603358</v>
      </c>
      <c r="U95" s="20"/>
      <c r="V95" s="20" t="s">
        <v>1128</v>
      </c>
      <c r="W95" s="20"/>
      <c r="X95" s="20">
        <v>214</v>
      </c>
      <c r="Y95" s="20"/>
      <c r="Z95" s="20"/>
      <c r="AA95" s="20" t="s">
        <v>1129</v>
      </c>
    </row>
    <row r="96" spans="1:27" ht="15.75" customHeight="1">
      <c r="A96" s="8">
        <v>95</v>
      </c>
      <c r="B96" s="20" t="s">
        <v>1130</v>
      </c>
      <c r="C96" s="20" t="s">
        <v>1131</v>
      </c>
      <c r="D96" s="159"/>
      <c r="E96" s="159"/>
      <c r="F96" s="159"/>
      <c r="G96" s="159"/>
      <c r="H96" s="159"/>
      <c r="I96" s="159"/>
      <c r="J96" s="159"/>
      <c r="K96" s="159"/>
      <c r="L96" s="226"/>
      <c r="M96" s="167">
        <v>50</v>
      </c>
      <c r="N96" s="177">
        <v>43763</v>
      </c>
      <c r="O96" s="106">
        <v>43766</v>
      </c>
      <c r="P96" s="106">
        <v>43766</v>
      </c>
      <c r="Q96" s="8" t="s">
        <v>170</v>
      </c>
      <c r="R96" s="167" t="s">
        <v>1132</v>
      </c>
      <c r="S96" s="167" t="s">
        <v>1133</v>
      </c>
      <c r="T96" s="167">
        <v>881557200</v>
      </c>
      <c r="U96" s="20"/>
      <c r="V96" s="20" t="s">
        <v>1134</v>
      </c>
      <c r="W96" s="20"/>
      <c r="X96" s="20">
        <v>215</v>
      </c>
      <c r="Y96" s="20"/>
      <c r="Z96" s="20"/>
      <c r="AA96" s="20"/>
    </row>
    <row r="97" spans="1:27" ht="15.75" customHeight="1">
      <c r="A97" s="8">
        <v>96</v>
      </c>
      <c r="B97" s="20" t="s">
        <v>1135</v>
      </c>
      <c r="C97" s="20" t="s">
        <v>1136</v>
      </c>
      <c r="D97" s="159"/>
      <c r="E97" s="159"/>
      <c r="F97" s="159"/>
      <c r="G97" s="159"/>
      <c r="H97" s="159"/>
      <c r="I97" s="159"/>
      <c r="J97" s="159"/>
      <c r="K97" s="159"/>
      <c r="L97" s="226"/>
      <c r="M97" s="167">
        <v>50</v>
      </c>
      <c r="N97" s="177">
        <v>43766</v>
      </c>
      <c r="O97" s="106">
        <v>43767</v>
      </c>
      <c r="P97" s="106">
        <v>43767</v>
      </c>
      <c r="Q97" s="8" t="s">
        <v>170</v>
      </c>
      <c r="R97" s="167" t="s">
        <v>1137</v>
      </c>
      <c r="S97" s="167" t="s">
        <v>1138</v>
      </c>
      <c r="T97" s="167">
        <v>660507453</v>
      </c>
      <c r="U97" s="20"/>
      <c r="V97" s="20" t="s">
        <v>1139</v>
      </c>
      <c r="W97" s="20"/>
      <c r="X97" s="20">
        <v>216</v>
      </c>
      <c r="Y97" s="20"/>
      <c r="Z97" s="20"/>
      <c r="AA97" s="20"/>
    </row>
    <row r="98" spans="1:27" ht="15.75" customHeight="1">
      <c r="A98" s="8">
        <v>97</v>
      </c>
      <c r="B98" s="20" t="s">
        <v>279</v>
      </c>
      <c r="C98" s="20" t="s">
        <v>920</v>
      </c>
      <c r="D98" s="159"/>
      <c r="E98" s="159"/>
      <c r="F98" s="159"/>
      <c r="G98" s="159"/>
      <c r="H98" s="159"/>
      <c r="I98" s="159"/>
      <c r="J98" s="159"/>
      <c r="K98" s="159"/>
      <c r="L98" s="226"/>
      <c r="M98" s="167">
        <v>50</v>
      </c>
      <c r="N98" s="177">
        <v>43770</v>
      </c>
      <c r="O98" s="106">
        <v>43773</v>
      </c>
      <c r="P98" s="106">
        <v>43773</v>
      </c>
      <c r="Q98" s="8" t="s">
        <v>170</v>
      </c>
      <c r="R98" s="167" t="s">
        <v>921</v>
      </c>
      <c r="S98" s="167" t="s">
        <v>922</v>
      </c>
      <c r="T98" s="186">
        <v>514945980</v>
      </c>
      <c r="U98" s="20"/>
      <c r="V98" s="20" t="s">
        <v>923</v>
      </c>
      <c r="W98" s="20"/>
      <c r="X98" s="20">
        <v>217</v>
      </c>
      <c r="Y98" s="20"/>
      <c r="Z98" s="20"/>
      <c r="AA98" s="20"/>
    </row>
    <row r="99" spans="1:27" ht="15.75" customHeight="1">
      <c r="A99" s="8">
        <v>98</v>
      </c>
      <c r="B99" s="20" t="s">
        <v>1140</v>
      </c>
      <c r="C99" s="20" t="s">
        <v>1141</v>
      </c>
      <c r="D99" s="159"/>
      <c r="E99" s="159"/>
      <c r="F99" s="159"/>
      <c r="G99" s="159"/>
      <c r="H99" s="159"/>
      <c r="I99" s="159"/>
      <c r="J99" s="159"/>
      <c r="K99" s="159"/>
      <c r="L99" s="226"/>
      <c r="M99" s="167">
        <v>50</v>
      </c>
      <c r="N99" s="177">
        <v>43771</v>
      </c>
      <c r="O99" s="106">
        <v>43773</v>
      </c>
      <c r="P99" s="106">
        <v>43773</v>
      </c>
      <c r="Q99" s="8" t="s">
        <v>170</v>
      </c>
      <c r="R99" s="167" t="s">
        <v>1142</v>
      </c>
      <c r="S99" s="167" t="s">
        <v>1143</v>
      </c>
      <c r="T99" s="167">
        <v>667596383</v>
      </c>
      <c r="U99" s="20"/>
      <c r="V99" s="20" t="s">
        <v>1144</v>
      </c>
      <c r="W99" s="20"/>
      <c r="X99" s="20">
        <v>218</v>
      </c>
      <c r="Y99" s="20"/>
      <c r="Z99" s="20"/>
      <c r="AA99" s="20"/>
    </row>
    <row r="100" spans="1:27" ht="15.75" customHeight="1">
      <c r="A100" s="8">
        <v>99</v>
      </c>
      <c r="B100" s="20" t="s">
        <v>446</v>
      </c>
      <c r="C100" s="20" t="s">
        <v>1145</v>
      </c>
      <c r="D100" s="159"/>
      <c r="E100" s="159"/>
      <c r="F100" s="159"/>
      <c r="G100" s="159"/>
      <c r="H100" s="159"/>
      <c r="I100" s="159"/>
      <c r="J100" s="159"/>
      <c r="K100" s="159"/>
      <c r="L100" s="226"/>
      <c r="M100" s="167">
        <v>50</v>
      </c>
      <c r="N100" s="177">
        <v>43777</v>
      </c>
      <c r="O100" s="106">
        <v>43781</v>
      </c>
      <c r="P100" s="106">
        <v>43781</v>
      </c>
      <c r="Q100" s="8" t="s">
        <v>170</v>
      </c>
      <c r="R100" s="167" t="s">
        <v>1146</v>
      </c>
      <c r="S100" s="167" t="s">
        <v>1147</v>
      </c>
      <c r="T100" s="167">
        <v>691963096</v>
      </c>
      <c r="U100" s="20"/>
      <c r="V100" s="20" t="s">
        <v>1148</v>
      </c>
      <c r="W100" s="20"/>
      <c r="X100" s="20">
        <v>219</v>
      </c>
      <c r="Y100" s="20"/>
      <c r="Z100" s="20"/>
      <c r="AA100" s="20"/>
    </row>
    <row r="101" spans="1:27" ht="15.75" customHeight="1">
      <c r="A101" s="8">
        <v>100</v>
      </c>
      <c r="B101" s="20" t="s">
        <v>1149</v>
      </c>
      <c r="C101" s="20" t="s">
        <v>1150</v>
      </c>
      <c r="D101" s="159"/>
      <c r="E101" s="159"/>
      <c r="F101" s="159"/>
      <c r="G101" s="159"/>
      <c r="H101" s="159"/>
      <c r="I101" s="159"/>
      <c r="J101" s="159"/>
      <c r="K101" s="159"/>
      <c r="L101" s="226"/>
      <c r="M101" s="167">
        <v>50</v>
      </c>
      <c r="N101" s="177">
        <v>43781</v>
      </c>
      <c r="O101" s="106">
        <v>43782</v>
      </c>
      <c r="P101" s="106">
        <v>43782</v>
      </c>
      <c r="Q101" s="8" t="s">
        <v>170</v>
      </c>
      <c r="R101" s="167" t="s">
        <v>1151</v>
      </c>
      <c r="S101" s="167" t="s">
        <v>1152</v>
      </c>
      <c r="T101" s="167">
        <v>733869262</v>
      </c>
      <c r="U101" s="20"/>
      <c r="V101" s="20" t="s">
        <v>1153</v>
      </c>
      <c r="W101" s="20"/>
      <c r="X101" s="20">
        <v>220</v>
      </c>
      <c r="Y101" s="20"/>
      <c r="Z101" s="20"/>
      <c r="AA101" s="20"/>
    </row>
    <row r="102" spans="1:27" ht="15.75" customHeight="1">
      <c r="A102" s="8">
        <v>101</v>
      </c>
      <c r="B102" s="20" t="s">
        <v>13</v>
      </c>
      <c r="C102" s="20" t="s">
        <v>1154</v>
      </c>
      <c r="D102" s="159"/>
      <c r="E102" s="159"/>
      <c r="F102" s="159"/>
      <c r="G102" s="159"/>
      <c r="H102" s="159"/>
      <c r="I102" s="159"/>
      <c r="J102" s="159"/>
      <c r="K102" s="159"/>
      <c r="L102" s="226"/>
      <c r="M102" s="167">
        <v>50</v>
      </c>
      <c r="N102" s="178">
        <v>43804</v>
      </c>
      <c r="O102" s="169">
        <v>43804</v>
      </c>
      <c r="P102" s="169">
        <v>43804</v>
      </c>
      <c r="Q102" s="8" t="s">
        <v>170</v>
      </c>
      <c r="R102" s="167" t="s">
        <v>1155</v>
      </c>
      <c r="S102" s="167" t="s">
        <v>1156</v>
      </c>
      <c r="T102" s="167">
        <v>504282713</v>
      </c>
      <c r="U102" s="20"/>
      <c r="V102" s="20" t="s">
        <v>1157</v>
      </c>
      <c r="W102" s="20"/>
      <c r="X102" s="20">
        <v>221</v>
      </c>
      <c r="Y102" s="20"/>
      <c r="Z102" s="20"/>
      <c r="AA102" s="20"/>
    </row>
    <row r="103" spans="1:27" ht="15.75" customHeight="1">
      <c r="A103" s="8">
        <v>102</v>
      </c>
      <c r="B103" s="20" t="s">
        <v>1158</v>
      </c>
      <c r="C103" s="20" t="s">
        <v>1154</v>
      </c>
      <c r="D103" s="159"/>
      <c r="E103" s="159"/>
      <c r="F103" s="159"/>
      <c r="G103" s="159"/>
      <c r="H103" s="159"/>
      <c r="I103" s="159"/>
      <c r="J103" s="159"/>
      <c r="K103" s="159"/>
      <c r="L103" s="226"/>
      <c r="M103" s="167">
        <v>50</v>
      </c>
      <c r="N103" s="178">
        <v>43807</v>
      </c>
      <c r="O103" s="169">
        <v>43804</v>
      </c>
      <c r="P103" s="169">
        <v>43804</v>
      </c>
      <c r="Q103" s="18" t="s">
        <v>689</v>
      </c>
      <c r="R103" s="167" t="s">
        <v>1155</v>
      </c>
      <c r="S103" s="167" t="s">
        <v>1156</v>
      </c>
      <c r="T103" s="20"/>
      <c r="U103" s="20"/>
      <c r="V103" s="20"/>
      <c r="W103" s="20"/>
      <c r="X103" s="20">
        <v>222</v>
      </c>
      <c r="Y103" s="20"/>
      <c r="Z103" s="20"/>
      <c r="AA103" s="20"/>
    </row>
    <row r="104" spans="1:27" ht="15.75" customHeight="1">
      <c r="A104" s="8">
        <v>103</v>
      </c>
      <c r="B104" s="20" t="s">
        <v>1159</v>
      </c>
      <c r="C104" s="20" t="s">
        <v>1154</v>
      </c>
      <c r="D104" s="159"/>
      <c r="E104" s="159"/>
      <c r="F104" s="159"/>
      <c r="G104" s="159"/>
      <c r="H104" s="159"/>
      <c r="I104" s="159"/>
      <c r="J104" s="159"/>
      <c r="K104" s="159"/>
      <c r="L104" s="226"/>
      <c r="M104" s="167">
        <v>50</v>
      </c>
      <c r="N104" s="178">
        <v>43807</v>
      </c>
      <c r="O104" s="169">
        <v>43804</v>
      </c>
      <c r="P104" s="169">
        <v>43804</v>
      </c>
      <c r="Q104" s="18" t="s">
        <v>689</v>
      </c>
      <c r="R104" s="167" t="s">
        <v>1155</v>
      </c>
      <c r="S104" s="167" t="s">
        <v>1156</v>
      </c>
      <c r="T104" s="20"/>
      <c r="U104" s="20"/>
      <c r="V104" s="20"/>
      <c r="W104" s="20"/>
      <c r="X104" s="20">
        <v>223</v>
      </c>
      <c r="Y104" s="20"/>
      <c r="Z104" s="20"/>
      <c r="AA104" s="20"/>
    </row>
    <row r="105" spans="1:27" ht="15.75" customHeight="1">
      <c r="A105" s="8">
        <v>104</v>
      </c>
      <c r="B105" s="20" t="s">
        <v>1160</v>
      </c>
      <c r="C105" s="20" t="s">
        <v>1161</v>
      </c>
      <c r="D105" s="159"/>
      <c r="E105" s="159"/>
      <c r="F105" s="159"/>
      <c r="G105" s="159"/>
      <c r="H105" s="159"/>
      <c r="I105" s="159"/>
      <c r="J105" s="159"/>
      <c r="K105" s="159"/>
      <c r="L105" s="226"/>
      <c r="M105" s="167">
        <v>50</v>
      </c>
      <c r="N105" s="178">
        <v>43794</v>
      </c>
      <c r="O105" s="169">
        <v>43794</v>
      </c>
      <c r="P105" s="169">
        <v>43795</v>
      </c>
      <c r="Q105" s="8" t="s">
        <v>170</v>
      </c>
      <c r="R105" s="167" t="s">
        <v>1162</v>
      </c>
      <c r="S105" s="167" t="s">
        <v>1163</v>
      </c>
      <c r="T105" s="228">
        <v>393492805374</v>
      </c>
      <c r="U105" s="20"/>
      <c r="V105" s="20" t="s">
        <v>1164</v>
      </c>
      <c r="W105" s="20"/>
      <c r="X105" s="20">
        <v>224</v>
      </c>
      <c r="Y105" s="20"/>
      <c r="Z105" s="20"/>
      <c r="AA105" s="20"/>
    </row>
    <row r="106" spans="1:27" ht="15.75" customHeight="1">
      <c r="A106" s="22"/>
      <c r="M106" s="39"/>
    </row>
    <row r="107" spans="1:27" ht="15.75" customHeight="1">
      <c r="M107" s="39"/>
    </row>
    <row r="108" spans="1:27" ht="15.75" customHeight="1">
      <c r="M108" s="39"/>
    </row>
    <row r="109" spans="1:27" ht="15.75" customHeight="1">
      <c r="M109" s="39"/>
    </row>
    <row r="110" spans="1:27" ht="15.75" customHeight="1">
      <c r="M110" s="39"/>
    </row>
    <row r="111" spans="1:27" ht="15.75" customHeight="1">
      <c r="M111" s="39"/>
    </row>
    <row r="112" spans="1:27" ht="15.75" customHeight="1">
      <c r="M112" s="39"/>
    </row>
    <row r="113" spans="13:13" ht="15.75" customHeight="1">
      <c r="M113" s="39"/>
    </row>
    <row r="114" spans="13:13" ht="15.75" customHeight="1">
      <c r="M114" s="39"/>
    </row>
    <row r="115" spans="13:13" ht="15.75" customHeight="1">
      <c r="M115" s="39"/>
    </row>
    <row r="116" spans="13:13" ht="15.75" customHeight="1">
      <c r="M116" s="39"/>
    </row>
    <row r="117" spans="13:13" ht="15.75" customHeight="1">
      <c r="M117" s="39"/>
    </row>
    <row r="118" spans="13:13" ht="15.75" customHeight="1">
      <c r="M118" s="39"/>
    </row>
    <row r="119" spans="13:13" ht="15.75" customHeight="1">
      <c r="M119" s="39"/>
    </row>
    <row r="120" spans="13:13" ht="15.75" customHeight="1">
      <c r="M120" s="39"/>
    </row>
    <row r="121" spans="13:13" ht="15.75" customHeight="1">
      <c r="M121" s="39"/>
    </row>
    <row r="122" spans="13:13" ht="15.75" customHeight="1">
      <c r="M122" s="39"/>
    </row>
    <row r="123" spans="13:13" ht="15.75" customHeight="1">
      <c r="M123" s="39"/>
    </row>
    <row r="124" spans="13:13" ht="15.75" customHeight="1">
      <c r="M124" s="39"/>
    </row>
    <row r="125" spans="13:13" ht="15.75" customHeight="1">
      <c r="M125" s="39"/>
    </row>
    <row r="126" spans="13:13" ht="15.75" customHeight="1">
      <c r="M126" s="39"/>
    </row>
    <row r="127" spans="13:13" ht="15.75" customHeight="1">
      <c r="M127" s="39"/>
    </row>
    <row r="128" spans="13:13" ht="15.75" customHeight="1">
      <c r="M128" s="39"/>
    </row>
    <row r="129" spans="13:13" ht="15.75" customHeight="1">
      <c r="M129" s="39"/>
    </row>
    <row r="130" spans="13:13" ht="15.75" customHeight="1">
      <c r="M130" s="39"/>
    </row>
    <row r="131" spans="13:13" ht="15.75" customHeight="1">
      <c r="M131" s="39"/>
    </row>
    <row r="132" spans="13:13" ht="15.75" customHeight="1">
      <c r="M132" s="39"/>
    </row>
    <row r="133" spans="13:13" ht="15.75" customHeight="1">
      <c r="M133" s="39"/>
    </row>
    <row r="134" spans="13:13" ht="15.75" customHeight="1">
      <c r="M134" s="39"/>
    </row>
    <row r="135" spans="13:13" ht="15.75" customHeight="1">
      <c r="M135" s="39"/>
    </row>
    <row r="136" spans="13:13" ht="15.75" customHeight="1">
      <c r="M136" s="39"/>
    </row>
    <row r="137" spans="13:13" ht="15.75" customHeight="1">
      <c r="M137" s="39"/>
    </row>
    <row r="138" spans="13:13" ht="15.75" customHeight="1">
      <c r="M138" s="39"/>
    </row>
    <row r="139" spans="13:13" ht="15.75" customHeight="1">
      <c r="M139" s="39"/>
    </row>
    <row r="140" spans="13:13" ht="15.75" customHeight="1">
      <c r="M140" s="39"/>
    </row>
    <row r="141" spans="13:13" ht="15.75" customHeight="1">
      <c r="M141" s="39"/>
    </row>
    <row r="142" spans="13:13" ht="15.75" customHeight="1">
      <c r="M142" s="39"/>
    </row>
    <row r="143" spans="13:13" ht="15.75" customHeight="1">
      <c r="M143" s="39"/>
    </row>
    <row r="144" spans="13:13" ht="15.75" customHeight="1">
      <c r="M144" s="39"/>
    </row>
    <row r="145" spans="13:13" ht="15.75" customHeight="1">
      <c r="M145" s="39"/>
    </row>
    <row r="146" spans="13:13" ht="15.75" customHeight="1">
      <c r="M146" s="39"/>
    </row>
    <row r="147" spans="13:13" ht="15.75" customHeight="1">
      <c r="M147" s="39"/>
    </row>
    <row r="148" spans="13:13" ht="15.75" customHeight="1">
      <c r="M148" s="39"/>
    </row>
    <row r="149" spans="13:13" ht="15.75" customHeight="1">
      <c r="M149" s="39"/>
    </row>
    <row r="150" spans="13:13" ht="15.75" customHeight="1">
      <c r="M150" s="39"/>
    </row>
    <row r="151" spans="13:13" ht="15.75" customHeight="1">
      <c r="M151" s="39"/>
    </row>
    <row r="152" spans="13:13" ht="15.75" customHeight="1">
      <c r="M152" s="39"/>
    </row>
    <row r="153" spans="13:13" ht="15.75" customHeight="1">
      <c r="M153" s="39"/>
    </row>
    <row r="154" spans="13:13" ht="15.75" customHeight="1">
      <c r="M154" s="39"/>
    </row>
    <row r="155" spans="13:13" ht="15.75" customHeight="1">
      <c r="M155" s="39"/>
    </row>
    <row r="156" spans="13:13" ht="15.75" customHeight="1">
      <c r="M156" s="39"/>
    </row>
    <row r="157" spans="13:13" ht="15.75" customHeight="1">
      <c r="M157" s="39"/>
    </row>
    <row r="158" spans="13:13" ht="15.75" customHeight="1">
      <c r="M158" s="39"/>
    </row>
    <row r="159" spans="13:13" ht="15.75" customHeight="1">
      <c r="M159" s="39"/>
    </row>
    <row r="160" spans="13:13" ht="15.75" customHeight="1">
      <c r="M160" s="39"/>
    </row>
    <row r="161" spans="13:13" ht="15.75" customHeight="1">
      <c r="M161" s="39"/>
    </row>
    <row r="162" spans="13:13" ht="15.75" customHeight="1">
      <c r="M162" s="39"/>
    </row>
    <row r="163" spans="13:13" ht="15.75" customHeight="1">
      <c r="M163" s="39"/>
    </row>
    <row r="164" spans="13:13" ht="15.75" customHeight="1">
      <c r="M164" s="39"/>
    </row>
    <row r="165" spans="13:13" ht="15.75" customHeight="1">
      <c r="M165" s="39"/>
    </row>
    <row r="166" spans="13:13" ht="15.75" customHeight="1">
      <c r="M166" s="39"/>
    </row>
    <row r="167" spans="13:13" ht="15.75" customHeight="1">
      <c r="M167" s="39"/>
    </row>
    <row r="168" spans="13:13" ht="15.75" customHeight="1">
      <c r="M168" s="39"/>
    </row>
    <row r="169" spans="13:13" ht="15.75" customHeight="1">
      <c r="M169" s="39"/>
    </row>
    <row r="170" spans="13:13" ht="15.75" customHeight="1">
      <c r="M170" s="39"/>
    </row>
    <row r="171" spans="13:13" ht="15.75" customHeight="1">
      <c r="M171" s="39"/>
    </row>
    <row r="172" spans="13:13" ht="15.75" customHeight="1">
      <c r="M172" s="39"/>
    </row>
    <row r="173" spans="13:13" ht="15.75" customHeight="1">
      <c r="M173" s="39"/>
    </row>
    <row r="174" spans="13:13" ht="15.75" customHeight="1">
      <c r="M174" s="39"/>
    </row>
    <row r="175" spans="13:13" ht="15.75" customHeight="1">
      <c r="M175" s="39"/>
    </row>
    <row r="176" spans="13:13" ht="15.75" customHeight="1">
      <c r="M176" s="39"/>
    </row>
    <row r="177" spans="13:13" ht="15.75" customHeight="1">
      <c r="M177" s="39"/>
    </row>
    <row r="178" spans="13:13" ht="15.75" customHeight="1">
      <c r="M178" s="39"/>
    </row>
    <row r="179" spans="13:13" ht="15.75" customHeight="1">
      <c r="M179" s="39"/>
    </row>
    <row r="180" spans="13:13" ht="15.75" customHeight="1">
      <c r="M180" s="39"/>
    </row>
    <row r="181" spans="13:13" ht="15.75" customHeight="1">
      <c r="M181" s="39"/>
    </row>
    <row r="182" spans="13:13" ht="15.75" customHeight="1">
      <c r="M182" s="39"/>
    </row>
    <row r="183" spans="13:13" ht="15.75" customHeight="1">
      <c r="M183" s="39"/>
    </row>
    <row r="184" spans="13:13" ht="15.75" customHeight="1">
      <c r="M184" s="39"/>
    </row>
    <row r="185" spans="13:13" ht="15.75" customHeight="1">
      <c r="M185" s="39"/>
    </row>
    <row r="186" spans="13:13" ht="15.75" customHeight="1">
      <c r="M186" s="39"/>
    </row>
    <row r="187" spans="13:13" ht="15.75" customHeight="1">
      <c r="M187" s="39"/>
    </row>
    <row r="188" spans="13:13" ht="15.75" customHeight="1">
      <c r="M188" s="39"/>
    </row>
    <row r="189" spans="13:13" ht="15.75" customHeight="1">
      <c r="M189" s="39"/>
    </row>
    <row r="190" spans="13:13" ht="15.75" customHeight="1">
      <c r="M190" s="39"/>
    </row>
    <row r="191" spans="13:13" ht="15.75" customHeight="1">
      <c r="M191" s="39"/>
    </row>
    <row r="192" spans="13:13" ht="15.75" customHeight="1">
      <c r="M192" s="39"/>
    </row>
    <row r="193" spans="13:13" ht="15.75" customHeight="1">
      <c r="M193" s="39"/>
    </row>
    <row r="194" spans="13:13" ht="15.75" customHeight="1">
      <c r="M194" s="39"/>
    </row>
    <row r="195" spans="13:13" ht="15.75" customHeight="1">
      <c r="M195" s="39"/>
    </row>
    <row r="196" spans="13:13" ht="15.75" customHeight="1">
      <c r="M196" s="39"/>
    </row>
    <row r="197" spans="13:13" ht="15.75" customHeight="1">
      <c r="M197" s="39"/>
    </row>
    <row r="198" spans="13:13" ht="15.75" customHeight="1">
      <c r="M198" s="39"/>
    </row>
    <row r="199" spans="13:13" ht="15.75" customHeight="1">
      <c r="M199" s="39"/>
    </row>
    <row r="200" spans="13:13" ht="15.75" customHeight="1">
      <c r="M200" s="39"/>
    </row>
    <row r="201" spans="13:13" ht="15.75" customHeight="1">
      <c r="M201" s="39"/>
    </row>
    <row r="202" spans="13:13" ht="15.75" customHeight="1">
      <c r="M202" s="39"/>
    </row>
    <row r="203" spans="13:13" ht="15.75" customHeight="1">
      <c r="M203" s="39"/>
    </row>
    <row r="204" spans="13:13" ht="15.75" customHeight="1">
      <c r="M204" s="39"/>
    </row>
    <row r="205" spans="13:13" ht="15.75" customHeight="1">
      <c r="M205" s="39"/>
    </row>
    <row r="206" spans="13:13" ht="15.75" customHeight="1">
      <c r="M206" s="39"/>
    </row>
    <row r="207" spans="13:13" ht="15.75" customHeight="1">
      <c r="M207" s="39"/>
    </row>
    <row r="208" spans="13:13" ht="15.75" customHeight="1">
      <c r="M208" s="39"/>
    </row>
    <row r="209" spans="13:13" ht="15.75" customHeight="1">
      <c r="M209" s="39"/>
    </row>
    <row r="210" spans="13:13" ht="15.75" customHeight="1">
      <c r="M210" s="39"/>
    </row>
    <row r="211" spans="13:13" ht="15.75" customHeight="1">
      <c r="M211" s="39"/>
    </row>
    <row r="212" spans="13:13" ht="15.75" customHeight="1">
      <c r="M212" s="39"/>
    </row>
    <row r="213" spans="13:13" ht="15.75" customHeight="1">
      <c r="M213" s="39"/>
    </row>
    <row r="214" spans="13:13" ht="15.75" customHeight="1">
      <c r="M214" s="39"/>
    </row>
    <row r="215" spans="13:13" ht="15.75" customHeight="1">
      <c r="M215" s="39"/>
    </row>
    <row r="216" spans="13:13" ht="15.75" customHeight="1">
      <c r="M216" s="39"/>
    </row>
    <row r="217" spans="13:13" ht="15.75" customHeight="1">
      <c r="M217" s="39"/>
    </row>
    <row r="218" spans="13:13" ht="15.75" customHeight="1">
      <c r="M218" s="39"/>
    </row>
    <row r="219" spans="13:13" ht="15.75" customHeight="1">
      <c r="M219" s="39"/>
    </row>
    <row r="220" spans="13:13" ht="15.75" customHeight="1">
      <c r="M220" s="39"/>
    </row>
    <row r="221" spans="13:13" ht="15.75" customHeight="1">
      <c r="M221" s="39"/>
    </row>
    <row r="222" spans="13:13" ht="15.75" customHeight="1">
      <c r="M222" s="39"/>
    </row>
    <row r="223" spans="13:13" ht="15.75" customHeight="1">
      <c r="M223" s="39"/>
    </row>
    <row r="224" spans="13:13" ht="15.75" customHeight="1">
      <c r="M224" s="39"/>
    </row>
    <row r="225" spans="13:13" ht="15.75" customHeight="1">
      <c r="M225" s="39"/>
    </row>
    <row r="226" spans="13:13" ht="15.75" customHeight="1">
      <c r="M226" s="39"/>
    </row>
    <row r="227" spans="13:13" ht="15.75" customHeight="1">
      <c r="M227" s="39"/>
    </row>
    <row r="228" spans="13:13" ht="15.75" customHeight="1">
      <c r="M228" s="39"/>
    </row>
    <row r="229" spans="13:13" ht="15.75" customHeight="1">
      <c r="M229" s="39"/>
    </row>
    <row r="230" spans="13:13" ht="15.75" customHeight="1">
      <c r="M230" s="39"/>
    </row>
    <row r="231" spans="13:13" ht="15.75" customHeight="1">
      <c r="M231" s="39"/>
    </row>
    <row r="232" spans="13:13" ht="15.75" customHeight="1">
      <c r="M232" s="39"/>
    </row>
    <row r="233" spans="13:13" ht="15.75" customHeight="1">
      <c r="M233" s="39"/>
    </row>
    <row r="234" spans="13:13" ht="15.75" customHeight="1">
      <c r="M234" s="39"/>
    </row>
    <row r="235" spans="13:13" ht="15.75" customHeight="1">
      <c r="M235" s="39"/>
    </row>
    <row r="236" spans="13:13" ht="15.75" customHeight="1">
      <c r="M236" s="39"/>
    </row>
    <row r="237" spans="13:13" ht="15.75" customHeight="1">
      <c r="M237" s="39"/>
    </row>
    <row r="238" spans="13:13" ht="15.75" customHeight="1">
      <c r="M238" s="39"/>
    </row>
    <row r="239" spans="13:13" ht="15.75" customHeight="1">
      <c r="M239" s="39"/>
    </row>
    <row r="240" spans="13:13" ht="15.75" customHeight="1">
      <c r="M240" s="39"/>
    </row>
    <row r="241" spans="13:13" ht="15.75" customHeight="1">
      <c r="M241" s="39"/>
    </row>
    <row r="242" spans="13:13" ht="15.75" customHeight="1">
      <c r="M242" s="39"/>
    </row>
    <row r="243" spans="13:13" ht="15.75" customHeight="1">
      <c r="M243" s="39"/>
    </row>
    <row r="244" spans="13:13" ht="15.75" customHeight="1">
      <c r="M244" s="39"/>
    </row>
    <row r="245" spans="13:13" ht="15.75" customHeight="1">
      <c r="M245" s="39"/>
    </row>
    <row r="246" spans="13:13" ht="15.75" customHeight="1">
      <c r="M246" s="39"/>
    </row>
    <row r="247" spans="13:13" ht="15.75" customHeight="1">
      <c r="M247" s="39"/>
    </row>
    <row r="248" spans="13:13" ht="15.75" customHeight="1">
      <c r="M248" s="39"/>
    </row>
    <row r="249" spans="13:13" ht="15.75" customHeight="1">
      <c r="M249" s="39"/>
    </row>
    <row r="250" spans="13:13" ht="15.75" customHeight="1">
      <c r="M250" s="39"/>
    </row>
    <row r="251" spans="13:13" ht="15.75" customHeight="1">
      <c r="M251" s="39"/>
    </row>
    <row r="252" spans="13:13" ht="15.75" customHeight="1">
      <c r="M252" s="39"/>
    </row>
    <row r="253" spans="13:13" ht="15.75" customHeight="1">
      <c r="M253" s="39"/>
    </row>
    <row r="254" spans="13:13" ht="15.75" customHeight="1">
      <c r="M254" s="39"/>
    </row>
    <row r="255" spans="13:13" ht="15.75" customHeight="1">
      <c r="M255" s="39"/>
    </row>
    <row r="256" spans="13:13" ht="15.75" customHeight="1">
      <c r="M256" s="39"/>
    </row>
    <row r="257" spans="13:13" ht="15.75" customHeight="1">
      <c r="M257" s="39"/>
    </row>
    <row r="258" spans="13:13" ht="15.75" customHeight="1">
      <c r="M258" s="39"/>
    </row>
    <row r="259" spans="13:13" ht="15.75" customHeight="1">
      <c r="M259" s="39"/>
    </row>
    <row r="260" spans="13:13" ht="15.75" customHeight="1">
      <c r="M260" s="39"/>
    </row>
    <row r="261" spans="13:13" ht="15.75" customHeight="1">
      <c r="M261" s="39"/>
    </row>
    <row r="262" spans="13:13" ht="15.75" customHeight="1">
      <c r="M262" s="39"/>
    </row>
    <row r="263" spans="13:13" ht="15.75" customHeight="1">
      <c r="M263" s="39"/>
    </row>
    <row r="264" spans="13:13" ht="15.75" customHeight="1">
      <c r="M264" s="39"/>
    </row>
    <row r="265" spans="13:13" ht="15.75" customHeight="1">
      <c r="M265" s="39"/>
    </row>
    <row r="266" spans="13:13" ht="15.75" customHeight="1">
      <c r="M266" s="39"/>
    </row>
    <row r="267" spans="13:13" ht="15.75" customHeight="1">
      <c r="M267" s="39"/>
    </row>
    <row r="268" spans="13:13" ht="15.75" customHeight="1">
      <c r="M268" s="39"/>
    </row>
    <row r="269" spans="13:13" ht="15.75" customHeight="1">
      <c r="M269" s="39"/>
    </row>
    <row r="270" spans="13:13" ht="15.75" customHeight="1">
      <c r="M270" s="39"/>
    </row>
    <row r="271" spans="13:13" ht="15.75" customHeight="1">
      <c r="M271" s="39"/>
    </row>
    <row r="272" spans="13:13" ht="15.75" customHeight="1">
      <c r="M272" s="39"/>
    </row>
    <row r="273" spans="13:13" ht="15.75" customHeight="1">
      <c r="M273" s="39"/>
    </row>
    <row r="274" spans="13:13" ht="15.75" customHeight="1">
      <c r="M274" s="39"/>
    </row>
    <row r="275" spans="13:13" ht="15.75" customHeight="1">
      <c r="M275" s="39"/>
    </row>
    <row r="276" spans="13:13" ht="15.75" customHeight="1">
      <c r="M276" s="39"/>
    </row>
    <row r="277" spans="13:13" ht="15.75" customHeight="1">
      <c r="M277" s="39"/>
    </row>
    <row r="278" spans="13:13" ht="15.75" customHeight="1">
      <c r="M278" s="39"/>
    </row>
    <row r="279" spans="13:13" ht="15.75" customHeight="1">
      <c r="M279" s="39"/>
    </row>
    <row r="280" spans="13:13" ht="15.75" customHeight="1">
      <c r="M280" s="39"/>
    </row>
    <row r="281" spans="13:13" ht="15.75" customHeight="1">
      <c r="M281" s="39"/>
    </row>
    <row r="282" spans="13:13" ht="15.75" customHeight="1">
      <c r="M282" s="39"/>
    </row>
    <row r="283" spans="13:13" ht="15.75" customHeight="1">
      <c r="M283" s="39"/>
    </row>
    <row r="284" spans="13:13" ht="15.75" customHeight="1">
      <c r="M284" s="39"/>
    </row>
    <row r="285" spans="13:13" ht="15.75" customHeight="1">
      <c r="M285" s="39"/>
    </row>
    <row r="286" spans="13:13" ht="15.75" customHeight="1">
      <c r="M286" s="39"/>
    </row>
    <row r="287" spans="13:13" ht="15.75" customHeight="1">
      <c r="M287" s="39"/>
    </row>
    <row r="288" spans="13:13" ht="15.75" customHeight="1">
      <c r="M288" s="39"/>
    </row>
    <row r="289" spans="13:13" ht="15.75" customHeight="1">
      <c r="M289" s="39"/>
    </row>
    <row r="290" spans="13:13" ht="15.75" customHeight="1">
      <c r="M290" s="39"/>
    </row>
    <row r="291" spans="13:13" ht="15.75" customHeight="1">
      <c r="M291" s="39"/>
    </row>
    <row r="292" spans="13:13" ht="15.75" customHeight="1">
      <c r="M292" s="39"/>
    </row>
    <row r="293" spans="13:13" ht="15.75" customHeight="1">
      <c r="M293" s="39"/>
    </row>
    <row r="294" spans="13:13" ht="15.75" customHeight="1">
      <c r="M294" s="39"/>
    </row>
    <row r="295" spans="13:13" ht="15.75" customHeight="1">
      <c r="M295" s="39"/>
    </row>
    <row r="296" spans="13:13" ht="15.75" customHeight="1">
      <c r="M296" s="39"/>
    </row>
    <row r="297" spans="13:13" ht="15.75" customHeight="1">
      <c r="M297" s="39"/>
    </row>
    <row r="298" spans="13:13" ht="15.75" customHeight="1">
      <c r="M298" s="39"/>
    </row>
    <row r="299" spans="13:13" ht="15.75" customHeight="1">
      <c r="M299" s="39"/>
    </row>
    <row r="300" spans="13:13" ht="15.75" customHeight="1">
      <c r="M300" s="39"/>
    </row>
    <row r="301" spans="13:13" ht="15.75" customHeight="1">
      <c r="M301" s="39"/>
    </row>
    <row r="302" spans="13:13" ht="15.75" customHeight="1">
      <c r="M302" s="39"/>
    </row>
    <row r="303" spans="13:13" ht="15.75" customHeight="1">
      <c r="M303" s="39"/>
    </row>
    <row r="304" spans="13:13" ht="15.75" customHeight="1">
      <c r="M304" s="39"/>
    </row>
    <row r="305" spans="13:13" ht="15.75" customHeight="1">
      <c r="M305" s="39"/>
    </row>
    <row r="306" spans="13:13" ht="15.75" customHeight="1">
      <c r="M306" s="39"/>
    </row>
    <row r="307" spans="13:13" ht="15.75" customHeight="1">
      <c r="M307" s="39"/>
    </row>
    <row r="308" spans="13:13" ht="15.75" customHeight="1">
      <c r="M308" s="39"/>
    </row>
    <row r="309" spans="13:13" ht="15.75" customHeight="1">
      <c r="M309" s="39"/>
    </row>
    <row r="310" spans="13:13" ht="15.75" customHeight="1">
      <c r="M310" s="39"/>
    </row>
    <row r="311" spans="13:13" ht="15.75" customHeight="1">
      <c r="M311" s="39"/>
    </row>
    <row r="312" spans="13:13" ht="15.75" customHeight="1">
      <c r="M312" s="39"/>
    </row>
    <row r="313" spans="13:13" ht="15.75" customHeight="1">
      <c r="M313" s="39"/>
    </row>
    <row r="314" spans="13:13" ht="15.75" customHeight="1">
      <c r="M314" s="39"/>
    </row>
    <row r="315" spans="13:13" ht="15.75" customHeight="1">
      <c r="M315" s="39"/>
    </row>
    <row r="316" spans="13:13" ht="15.75" customHeight="1">
      <c r="M316" s="39"/>
    </row>
    <row r="317" spans="13:13" ht="15.75" customHeight="1">
      <c r="M317" s="39"/>
    </row>
    <row r="318" spans="13:13" ht="15.75" customHeight="1">
      <c r="M318" s="39"/>
    </row>
    <row r="319" spans="13:13" ht="15.75" customHeight="1">
      <c r="M319" s="39"/>
    </row>
    <row r="320" spans="13:13" ht="15.75" customHeight="1">
      <c r="M320" s="39"/>
    </row>
    <row r="321" spans="13:13" ht="15.75" customHeight="1">
      <c r="M321" s="39"/>
    </row>
    <row r="322" spans="13:13" ht="15.75" customHeight="1">
      <c r="M322" s="39"/>
    </row>
    <row r="323" spans="13:13" ht="15.75" customHeight="1">
      <c r="M323" s="39"/>
    </row>
    <row r="324" spans="13:13" ht="15.75" customHeight="1">
      <c r="M324" s="39"/>
    </row>
    <row r="325" spans="13:13" ht="15.75" customHeight="1">
      <c r="M325" s="39"/>
    </row>
    <row r="326" spans="13:13" ht="15.75" customHeight="1">
      <c r="M326" s="39"/>
    </row>
    <row r="327" spans="13:13" ht="15.75" customHeight="1">
      <c r="M327" s="39"/>
    </row>
    <row r="328" spans="13:13" ht="15.75" customHeight="1">
      <c r="M328" s="39"/>
    </row>
    <row r="329" spans="13:13" ht="15.75" customHeight="1">
      <c r="M329" s="39"/>
    </row>
    <row r="330" spans="13:13" ht="15.75" customHeight="1">
      <c r="M330" s="39"/>
    </row>
    <row r="331" spans="13:13" ht="15.75" customHeight="1">
      <c r="M331" s="39"/>
    </row>
    <row r="332" spans="13:13" ht="15.75" customHeight="1">
      <c r="M332" s="39"/>
    </row>
    <row r="333" spans="13:13" ht="15.75" customHeight="1">
      <c r="M333" s="39"/>
    </row>
    <row r="334" spans="13:13" ht="15.75" customHeight="1">
      <c r="M334" s="39"/>
    </row>
    <row r="335" spans="13:13" ht="15.75" customHeight="1">
      <c r="M335" s="39"/>
    </row>
    <row r="336" spans="13:13" ht="15.75" customHeight="1">
      <c r="M336" s="39"/>
    </row>
    <row r="337" spans="13:13" ht="15.75" customHeight="1">
      <c r="M337" s="39"/>
    </row>
    <row r="338" spans="13:13" ht="15.75" customHeight="1">
      <c r="M338" s="39"/>
    </row>
    <row r="339" spans="13:13" ht="15.75" customHeight="1">
      <c r="M339" s="39"/>
    </row>
    <row r="340" spans="13:13" ht="15.75" customHeight="1">
      <c r="M340" s="39"/>
    </row>
    <row r="341" spans="13:13" ht="15.75" customHeight="1">
      <c r="M341" s="39"/>
    </row>
    <row r="342" spans="13:13" ht="15.75" customHeight="1">
      <c r="M342" s="39"/>
    </row>
    <row r="343" spans="13:13" ht="15.75" customHeight="1">
      <c r="M343" s="39"/>
    </row>
    <row r="344" spans="13:13" ht="15.75" customHeight="1">
      <c r="M344" s="39"/>
    </row>
    <row r="345" spans="13:13" ht="15.75" customHeight="1">
      <c r="M345" s="39"/>
    </row>
    <row r="346" spans="13:13" ht="15.75" customHeight="1">
      <c r="M346" s="39"/>
    </row>
    <row r="347" spans="13:13" ht="15.75" customHeight="1">
      <c r="M347" s="39"/>
    </row>
    <row r="348" spans="13:13" ht="15.75" customHeight="1">
      <c r="M348" s="39"/>
    </row>
    <row r="349" spans="13:13" ht="15.75" customHeight="1">
      <c r="M349" s="39"/>
    </row>
    <row r="350" spans="13:13" ht="15.75" customHeight="1">
      <c r="M350" s="39"/>
    </row>
    <row r="351" spans="13:13" ht="15.75" customHeight="1">
      <c r="M351" s="39"/>
    </row>
    <row r="352" spans="13:13" ht="15.75" customHeight="1">
      <c r="M352" s="39"/>
    </row>
    <row r="353" spans="13:13" ht="15.75" customHeight="1">
      <c r="M353" s="39"/>
    </row>
    <row r="354" spans="13:13" ht="15.75" customHeight="1">
      <c r="M354" s="39"/>
    </row>
    <row r="355" spans="13:13" ht="15.75" customHeight="1">
      <c r="M355" s="39"/>
    </row>
    <row r="356" spans="13:13" ht="15.75" customHeight="1">
      <c r="M356" s="39"/>
    </row>
    <row r="357" spans="13:13" ht="15.75" customHeight="1">
      <c r="M357" s="39"/>
    </row>
    <row r="358" spans="13:13" ht="15.75" customHeight="1">
      <c r="M358" s="39"/>
    </row>
    <row r="359" spans="13:13" ht="15.75" customHeight="1">
      <c r="M359" s="39"/>
    </row>
    <row r="360" spans="13:13" ht="15.75" customHeight="1">
      <c r="M360" s="39"/>
    </row>
    <row r="361" spans="13:13" ht="15.75" customHeight="1">
      <c r="M361" s="39"/>
    </row>
    <row r="362" spans="13:13" ht="15.75" customHeight="1">
      <c r="M362" s="39"/>
    </row>
    <row r="363" spans="13:13" ht="15.75" customHeight="1">
      <c r="M363" s="39"/>
    </row>
    <row r="364" spans="13:13" ht="15.75" customHeight="1">
      <c r="M364" s="39"/>
    </row>
    <row r="365" spans="13:13" ht="15.75" customHeight="1">
      <c r="M365" s="39"/>
    </row>
    <row r="366" spans="13:13" ht="15.75" customHeight="1">
      <c r="M366" s="39"/>
    </row>
    <row r="367" spans="13:13" ht="15.75" customHeight="1">
      <c r="M367" s="39"/>
    </row>
    <row r="368" spans="13:13" ht="15.75" customHeight="1">
      <c r="M368" s="39"/>
    </row>
    <row r="369" spans="13:13" ht="15.75" customHeight="1">
      <c r="M369" s="39"/>
    </row>
    <row r="370" spans="13:13" ht="15.75" customHeight="1">
      <c r="M370" s="39"/>
    </row>
    <row r="371" spans="13:13" ht="15.75" customHeight="1">
      <c r="M371" s="39"/>
    </row>
    <row r="372" spans="13:13" ht="15.75" customHeight="1">
      <c r="M372" s="39"/>
    </row>
    <row r="373" spans="13:13" ht="15.75" customHeight="1">
      <c r="M373" s="39"/>
    </row>
    <row r="374" spans="13:13" ht="15.75" customHeight="1">
      <c r="M374" s="39"/>
    </row>
    <row r="375" spans="13:13" ht="15.75" customHeight="1">
      <c r="M375" s="39"/>
    </row>
    <row r="376" spans="13:13" ht="15.75" customHeight="1">
      <c r="M376" s="39"/>
    </row>
    <row r="377" spans="13:13" ht="15.75" customHeight="1">
      <c r="M377" s="39"/>
    </row>
    <row r="378" spans="13:13" ht="15.75" customHeight="1">
      <c r="M378" s="39"/>
    </row>
    <row r="379" spans="13:13" ht="15.75" customHeight="1">
      <c r="M379" s="39"/>
    </row>
    <row r="380" spans="13:13" ht="15.75" customHeight="1">
      <c r="M380" s="39"/>
    </row>
    <row r="381" spans="13:13" ht="15.75" customHeight="1">
      <c r="M381" s="39"/>
    </row>
    <row r="382" spans="13:13" ht="15.75" customHeight="1">
      <c r="M382" s="39"/>
    </row>
    <row r="383" spans="13:13" ht="15.75" customHeight="1">
      <c r="M383" s="39"/>
    </row>
    <row r="384" spans="13:13" ht="15.75" customHeight="1">
      <c r="M384" s="39"/>
    </row>
    <row r="385" spans="13:13" ht="15.75" customHeight="1">
      <c r="M385" s="39"/>
    </row>
    <row r="386" spans="13:13" ht="15.75" customHeight="1">
      <c r="M386" s="39"/>
    </row>
    <row r="387" spans="13:13" ht="15.75" customHeight="1">
      <c r="M387" s="39"/>
    </row>
    <row r="388" spans="13:13" ht="15.75" customHeight="1">
      <c r="M388" s="39"/>
    </row>
    <row r="389" spans="13:13" ht="15.75" customHeight="1">
      <c r="M389" s="39"/>
    </row>
    <row r="390" spans="13:13" ht="15.75" customHeight="1">
      <c r="M390" s="39"/>
    </row>
    <row r="391" spans="13:13" ht="15.75" customHeight="1">
      <c r="M391" s="39"/>
    </row>
    <row r="392" spans="13:13" ht="15.75" customHeight="1">
      <c r="M392" s="39"/>
    </row>
    <row r="393" spans="13:13" ht="15.75" customHeight="1">
      <c r="M393" s="39"/>
    </row>
    <row r="394" spans="13:13" ht="15.75" customHeight="1">
      <c r="M394" s="39"/>
    </row>
    <row r="395" spans="13:13" ht="15.75" customHeight="1">
      <c r="M395" s="39"/>
    </row>
    <row r="396" spans="13:13" ht="15.75" customHeight="1">
      <c r="M396" s="39"/>
    </row>
    <row r="397" spans="13:13" ht="15.75" customHeight="1">
      <c r="M397" s="39"/>
    </row>
    <row r="398" spans="13:13" ht="15.75" customHeight="1">
      <c r="M398" s="39"/>
    </row>
    <row r="399" spans="13:13" ht="15.75" customHeight="1">
      <c r="M399" s="39"/>
    </row>
    <row r="400" spans="13:13" ht="15.75" customHeight="1">
      <c r="M400" s="39"/>
    </row>
    <row r="401" spans="13:13" ht="15.75" customHeight="1">
      <c r="M401" s="39"/>
    </row>
    <row r="402" spans="13:13" ht="15.75" customHeight="1">
      <c r="M402" s="39"/>
    </row>
    <row r="403" spans="13:13" ht="15.75" customHeight="1">
      <c r="M403" s="39"/>
    </row>
    <row r="404" spans="13:13" ht="15.75" customHeight="1">
      <c r="M404" s="39"/>
    </row>
    <row r="405" spans="13:13" ht="15.75" customHeight="1">
      <c r="M405" s="39"/>
    </row>
    <row r="406" spans="13:13" ht="15.75" customHeight="1">
      <c r="M406" s="39"/>
    </row>
    <row r="407" spans="13:13" ht="15.75" customHeight="1">
      <c r="M407" s="39"/>
    </row>
    <row r="408" spans="13:13" ht="15.75" customHeight="1">
      <c r="M408" s="39"/>
    </row>
    <row r="409" spans="13:13" ht="15.75" customHeight="1">
      <c r="M409" s="39"/>
    </row>
    <row r="410" spans="13:13" ht="15.75" customHeight="1">
      <c r="M410" s="39"/>
    </row>
    <row r="411" spans="13:13" ht="15.75" customHeight="1">
      <c r="M411" s="39"/>
    </row>
    <row r="412" spans="13:13" ht="15.75" customHeight="1">
      <c r="M412" s="39"/>
    </row>
    <row r="413" spans="13:13" ht="15.75" customHeight="1">
      <c r="M413" s="39"/>
    </row>
    <row r="414" spans="13:13" ht="15.75" customHeight="1">
      <c r="M414" s="39"/>
    </row>
    <row r="415" spans="13:13" ht="15.75" customHeight="1">
      <c r="M415" s="39"/>
    </row>
    <row r="416" spans="13:13" ht="15.75" customHeight="1">
      <c r="M416" s="39"/>
    </row>
    <row r="417" spans="13:13" ht="15.75" customHeight="1">
      <c r="M417" s="39"/>
    </row>
    <row r="418" spans="13:13" ht="15.75" customHeight="1">
      <c r="M418" s="39"/>
    </row>
    <row r="419" spans="13:13" ht="15.75" customHeight="1">
      <c r="M419" s="39"/>
    </row>
    <row r="420" spans="13:13" ht="15.75" customHeight="1">
      <c r="M420" s="39"/>
    </row>
    <row r="421" spans="13:13" ht="15.75" customHeight="1">
      <c r="M421" s="39"/>
    </row>
    <row r="422" spans="13:13" ht="15.75" customHeight="1">
      <c r="M422" s="39"/>
    </row>
    <row r="423" spans="13:13" ht="15.75" customHeight="1">
      <c r="M423" s="39"/>
    </row>
    <row r="424" spans="13:13" ht="15.75" customHeight="1">
      <c r="M424" s="39"/>
    </row>
    <row r="425" spans="13:13" ht="15.75" customHeight="1">
      <c r="M425" s="39"/>
    </row>
    <row r="426" spans="13:13" ht="15.75" customHeight="1">
      <c r="M426" s="39"/>
    </row>
    <row r="427" spans="13:13" ht="15.75" customHeight="1">
      <c r="M427" s="39"/>
    </row>
    <row r="428" spans="13:13" ht="15.75" customHeight="1">
      <c r="M428" s="39"/>
    </row>
    <row r="429" spans="13:13" ht="15.75" customHeight="1">
      <c r="M429" s="39"/>
    </row>
    <row r="430" spans="13:13" ht="15.75" customHeight="1">
      <c r="M430" s="39"/>
    </row>
    <row r="431" spans="13:13" ht="15.75" customHeight="1">
      <c r="M431" s="39"/>
    </row>
    <row r="432" spans="13:13" ht="15.75" customHeight="1">
      <c r="M432" s="39"/>
    </row>
    <row r="433" spans="13:13" ht="15.75" customHeight="1">
      <c r="M433" s="39"/>
    </row>
    <row r="434" spans="13:13" ht="15.75" customHeight="1">
      <c r="M434" s="39"/>
    </row>
    <row r="435" spans="13:13" ht="15.75" customHeight="1">
      <c r="M435" s="39"/>
    </row>
    <row r="436" spans="13:13" ht="15.75" customHeight="1">
      <c r="M436" s="39"/>
    </row>
    <row r="437" spans="13:13" ht="15.75" customHeight="1">
      <c r="M437" s="39"/>
    </row>
    <row r="438" spans="13:13" ht="15.75" customHeight="1">
      <c r="M438" s="39"/>
    </row>
    <row r="439" spans="13:13" ht="15.75" customHeight="1">
      <c r="M439" s="39"/>
    </row>
    <row r="440" spans="13:13" ht="15.75" customHeight="1">
      <c r="M440" s="39"/>
    </row>
    <row r="441" spans="13:13" ht="15.75" customHeight="1">
      <c r="M441" s="39"/>
    </row>
    <row r="442" spans="13:13" ht="15.75" customHeight="1">
      <c r="M442" s="39"/>
    </row>
    <row r="443" spans="13:13" ht="15.75" customHeight="1">
      <c r="M443" s="39"/>
    </row>
    <row r="444" spans="13:13" ht="15.75" customHeight="1">
      <c r="M444" s="39"/>
    </row>
    <row r="445" spans="13:13" ht="15.75" customHeight="1">
      <c r="M445" s="39"/>
    </row>
    <row r="446" spans="13:13" ht="15.75" customHeight="1">
      <c r="M446" s="39"/>
    </row>
    <row r="447" spans="13:13" ht="15.75" customHeight="1">
      <c r="M447" s="39"/>
    </row>
    <row r="448" spans="13:13" ht="15.75" customHeight="1">
      <c r="M448" s="39"/>
    </row>
    <row r="449" spans="13:13" ht="15.75" customHeight="1">
      <c r="M449" s="39"/>
    </row>
    <row r="450" spans="13:13" ht="15.75" customHeight="1">
      <c r="M450" s="39"/>
    </row>
    <row r="451" spans="13:13" ht="15.75" customHeight="1">
      <c r="M451" s="39"/>
    </row>
    <row r="452" spans="13:13" ht="15.75" customHeight="1">
      <c r="M452" s="39"/>
    </row>
    <row r="453" spans="13:13" ht="15.75" customHeight="1">
      <c r="M453" s="39"/>
    </row>
    <row r="454" spans="13:13" ht="15.75" customHeight="1">
      <c r="M454" s="39"/>
    </row>
    <row r="455" spans="13:13" ht="15.75" customHeight="1">
      <c r="M455" s="39"/>
    </row>
    <row r="456" spans="13:13" ht="15.75" customHeight="1">
      <c r="M456" s="39"/>
    </row>
    <row r="457" spans="13:13" ht="15.75" customHeight="1">
      <c r="M457" s="39"/>
    </row>
    <row r="458" spans="13:13" ht="15.75" customHeight="1">
      <c r="M458" s="39"/>
    </row>
    <row r="459" spans="13:13" ht="15.75" customHeight="1">
      <c r="M459" s="39"/>
    </row>
    <row r="460" spans="13:13" ht="15.75" customHeight="1">
      <c r="M460" s="39"/>
    </row>
    <row r="461" spans="13:13" ht="15.75" customHeight="1">
      <c r="M461" s="39"/>
    </row>
    <row r="462" spans="13:13" ht="15.75" customHeight="1">
      <c r="M462" s="39"/>
    </row>
    <row r="463" spans="13:13" ht="15.75" customHeight="1">
      <c r="M463" s="39"/>
    </row>
    <row r="464" spans="13:13" ht="15.75" customHeight="1">
      <c r="M464" s="39"/>
    </row>
    <row r="465" spans="13:13" ht="15.75" customHeight="1">
      <c r="M465" s="39"/>
    </row>
    <row r="466" spans="13:13" ht="15.75" customHeight="1">
      <c r="M466" s="39"/>
    </row>
    <row r="467" spans="13:13" ht="15.75" customHeight="1">
      <c r="M467" s="39"/>
    </row>
    <row r="468" spans="13:13" ht="15.75" customHeight="1">
      <c r="M468" s="39"/>
    </row>
    <row r="469" spans="13:13" ht="15.75" customHeight="1">
      <c r="M469" s="39"/>
    </row>
    <row r="470" spans="13:13" ht="15.75" customHeight="1">
      <c r="M470" s="39"/>
    </row>
    <row r="471" spans="13:13" ht="15.75" customHeight="1">
      <c r="M471" s="39"/>
    </row>
    <row r="472" spans="13:13" ht="15.75" customHeight="1">
      <c r="M472" s="39"/>
    </row>
    <row r="473" spans="13:13" ht="15.75" customHeight="1">
      <c r="M473" s="39"/>
    </row>
    <row r="474" spans="13:13" ht="15.75" customHeight="1">
      <c r="M474" s="39"/>
    </row>
    <row r="475" spans="13:13" ht="15.75" customHeight="1">
      <c r="M475" s="39"/>
    </row>
    <row r="476" spans="13:13" ht="15.75" customHeight="1">
      <c r="M476" s="39"/>
    </row>
    <row r="477" spans="13:13" ht="15.75" customHeight="1">
      <c r="M477" s="39"/>
    </row>
    <row r="478" spans="13:13" ht="15.75" customHeight="1">
      <c r="M478" s="39"/>
    </row>
    <row r="479" spans="13:13" ht="15.75" customHeight="1">
      <c r="M479" s="39"/>
    </row>
    <row r="480" spans="13:13" ht="15.75" customHeight="1">
      <c r="M480" s="39"/>
    </row>
    <row r="481" spans="13:13" ht="15.75" customHeight="1">
      <c r="M481" s="39"/>
    </row>
    <row r="482" spans="13:13" ht="15.75" customHeight="1">
      <c r="M482" s="39"/>
    </row>
    <row r="483" spans="13:13" ht="15.75" customHeight="1">
      <c r="M483" s="39"/>
    </row>
    <row r="484" spans="13:13" ht="15.75" customHeight="1">
      <c r="M484" s="39"/>
    </row>
    <row r="485" spans="13:13" ht="15.75" customHeight="1">
      <c r="M485" s="39"/>
    </row>
    <row r="486" spans="13:13" ht="15.75" customHeight="1">
      <c r="M486" s="39"/>
    </row>
    <row r="487" spans="13:13" ht="15.75" customHeight="1">
      <c r="M487" s="39"/>
    </row>
    <row r="488" spans="13:13" ht="15.75" customHeight="1">
      <c r="M488" s="39"/>
    </row>
    <row r="489" spans="13:13" ht="15.75" customHeight="1">
      <c r="M489" s="39"/>
    </row>
    <row r="490" spans="13:13" ht="15.75" customHeight="1">
      <c r="M490" s="39"/>
    </row>
    <row r="491" spans="13:13" ht="15.75" customHeight="1">
      <c r="M491" s="39"/>
    </row>
    <row r="492" spans="13:13" ht="15.75" customHeight="1">
      <c r="M492" s="39"/>
    </row>
    <row r="493" spans="13:13" ht="15.75" customHeight="1">
      <c r="M493" s="39"/>
    </row>
    <row r="494" spans="13:13" ht="15.75" customHeight="1">
      <c r="M494" s="39"/>
    </row>
    <row r="495" spans="13:13" ht="15.75" customHeight="1">
      <c r="M495" s="39"/>
    </row>
    <row r="496" spans="13:13" ht="15.75" customHeight="1">
      <c r="M496" s="39"/>
    </row>
    <row r="497" spans="13:13" ht="15.75" customHeight="1">
      <c r="M497" s="39"/>
    </row>
    <row r="498" spans="13:13" ht="15.75" customHeight="1">
      <c r="M498" s="39"/>
    </row>
    <row r="499" spans="13:13" ht="15.75" customHeight="1">
      <c r="M499" s="39"/>
    </row>
    <row r="500" spans="13:13" ht="15.75" customHeight="1">
      <c r="M500" s="39"/>
    </row>
    <row r="501" spans="13:13" ht="15.75" customHeight="1">
      <c r="M501" s="39"/>
    </row>
    <row r="502" spans="13:13" ht="15.75" customHeight="1">
      <c r="M502" s="39"/>
    </row>
    <row r="503" spans="13:13" ht="15.75" customHeight="1">
      <c r="M503" s="39"/>
    </row>
    <row r="504" spans="13:13" ht="15.75" customHeight="1">
      <c r="M504" s="39"/>
    </row>
    <row r="505" spans="13:13" ht="15.75" customHeight="1">
      <c r="M505" s="39"/>
    </row>
    <row r="506" spans="13:13" ht="15.75" customHeight="1">
      <c r="M506" s="39"/>
    </row>
    <row r="507" spans="13:13" ht="15.75" customHeight="1">
      <c r="M507" s="39"/>
    </row>
    <row r="508" spans="13:13" ht="15.75" customHeight="1">
      <c r="M508" s="39"/>
    </row>
    <row r="509" spans="13:13" ht="15.75" customHeight="1">
      <c r="M509" s="39"/>
    </row>
    <row r="510" spans="13:13" ht="15.75" customHeight="1">
      <c r="M510" s="39"/>
    </row>
    <row r="511" spans="13:13" ht="15.75" customHeight="1">
      <c r="M511" s="39"/>
    </row>
    <row r="512" spans="13:13" ht="15.75" customHeight="1">
      <c r="M512" s="39"/>
    </row>
    <row r="513" spans="13:13" ht="15.75" customHeight="1">
      <c r="M513" s="39"/>
    </row>
    <row r="514" spans="13:13" ht="15.75" customHeight="1">
      <c r="M514" s="39"/>
    </row>
    <row r="515" spans="13:13" ht="15.75" customHeight="1">
      <c r="M515" s="39"/>
    </row>
    <row r="516" spans="13:13" ht="15.75" customHeight="1">
      <c r="M516" s="39"/>
    </row>
    <row r="517" spans="13:13" ht="15.75" customHeight="1">
      <c r="M517" s="39"/>
    </row>
    <row r="518" spans="13:13" ht="15.75" customHeight="1">
      <c r="M518" s="39"/>
    </row>
    <row r="519" spans="13:13" ht="15.75" customHeight="1">
      <c r="M519" s="39"/>
    </row>
    <row r="520" spans="13:13" ht="15.75" customHeight="1">
      <c r="M520" s="39"/>
    </row>
    <row r="521" spans="13:13" ht="15.75" customHeight="1">
      <c r="M521" s="39"/>
    </row>
    <row r="522" spans="13:13" ht="15.75" customHeight="1">
      <c r="M522" s="39"/>
    </row>
    <row r="523" spans="13:13" ht="15.75" customHeight="1">
      <c r="M523" s="39"/>
    </row>
    <row r="524" spans="13:13" ht="15.75" customHeight="1">
      <c r="M524" s="39"/>
    </row>
    <row r="525" spans="13:13" ht="15.75" customHeight="1">
      <c r="M525" s="39"/>
    </row>
    <row r="526" spans="13:13" ht="15.75" customHeight="1">
      <c r="M526" s="39"/>
    </row>
    <row r="527" spans="13:13" ht="15.75" customHeight="1">
      <c r="M527" s="39"/>
    </row>
    <row r="528" spans="13:13" ht="15.75" customHeight="1">
      <c r="M528" s="39"/>
    </row>
    <row r="529" spans="13:13" ht="15.75" customHeight="1">
      <c r="M529" s="39"/>
    </row>
    <row r="530" spans="13:13" ht="15.75" customHeight="1">
      <c r="M530" s="39"/>
    </row>
    <row r="531" spans="13:13" ht="15.75" customHeight="1">
      <c r="M531" s="39"/>
    </row>
    <row r="532" spans="13:13" ht="15.75" customHeight="1">
      <c r="M532" s="39"/>
    </row>
    <row r="533" spans="13:13" ht="15.75" customHeight="1">
      <c r="M533" s="39"/>
    </row>
    <row r="534" spans="13:13" ht="15.75" customHeight="1">
      <c r="M534" s="39"/>
    </row>
    <row r="535" spans="13:13" ht="15.75" customHeight="1">
      <c r="M535" s="39"/>
    </row>
    <row r="536" spans="13:13" ht="15.75" customHeight="1">
      <c r="M536" s="39"/>
    </row>
    <row r="537" spans="13:13" ht="15.75" customHeight="1">
      <c r="M537" s="39"/>
    </row>
    <row r="538" spans="13:13" ht="15.75" customHeight="1">
      <c r="M538" s="39"/>
    </row>
    <row r="539" spans="13:13" ht="15.75" customHeight="1">
      <c r="M539" s="39"/>
    </row>
    <row r="540" spans="13:13" ht="15.75" customHeight="1">
      <c r="M540" s="39"/>
    </row>
    <row r="541" spans="13:13" ht="15.75" customHeight="1">
      <c r="M541" s="39"/>
    </row>
    <row r="542" spans="13:13" ht="15.75" customHeight="1">
      <c r="M542" s="39"/>
    </row>
    <row r="543" spans="13:13" ht="15.75" customHeight="1">
      <c r="M543" s="39"/>
    </row>
    <row r="544" spans="13:13" ht="15.75" customHeight="1">
      <c r="M544" s="39"/>
    </row>
    <row r="545" spans="13:13" ht="15.75" customHeight="1">
      <c r="M545" s="39"/>
    </row>
    <row r="546" spans="13:13" ht="15.75" customHeight="1">
      <c r="M546" s="39"/>
    </row>
    <row r="547" spans="13:13" ht="15.75" customHeight="1">
      <c r="M547" s="39"/>
    </row>
    <row r="548" spans="13:13" ht="15.75" customHeight="1">
      <c r="M548" s="39"/>
    </row>
    <row r="549" spans="13:13" ht="15.75" customHeight="1">
      <c r="M549" s="39"/>
    </row>
    <row r="550" spans="13:13" ht="15.75" customHeight="1">
      <c r="M550" s="39"/>
    </row>
    <row r="551" spans="13:13" ht="15.75" customHeight="1">
      <c r="M551" s="39"/>
    </row>
    <row r="552" spans="13:13" ht="15.75" customHeight="1">
      <c r="M552" s="39"/>
    </row>
    <row r="553" spans="13:13" ht="15.75" customHeight="1">
      <c r="M553" s="39"/>
    </row>
    <row r="554" spans="13:13" ht="15.75" customHeight="1">
      <c r="M554" s="39"/>
    </row>
    <row r="555" spans="13:13" ht="15.75" customHeight="1">
      <c r="M555" s="39"/>
    </row>
    <row r="556" spans="13:13" ht="15.75" customHeight="1">
      <c r="M556" s="39"/>
    </row>
    <row r="557" spans="13:13" ht="15.75" customHeight="1">
      <c r="M557" s="39"/>
    </row>
    <row r="558" spans="13:13" ht="15.75" customHeight="1">
      <c r="M558" s="39"/>
    </row>
    <row r="559" spans="13:13" ht="15.75" customHeight="1">
      <c r="M559" s="39"/>
    </row>
    <row r="560" spans="13:13" ht="15.75" customHeight="1">
      <c r="M560" s="39"/>
    </row>
    <row r="561" spans="13:13" ht="15.75" customHeight="1">
      <c r="M561" s="39"/>
    </row>
    <row r="562" spans="13:13" ht="15.75" customHeight="1">
      <c r="M562" s="39"/>
    </row>
    <row r="563" spans="13:13" ht="15.75" customHeight="1">
      <c r="M563" s="39"/>
    </row>
    <row r="564" spans="13:13" ht="15.75" customHeight="1">
      <c r="M564" s="39"/>
    </row>
    <row r="565" spans="13:13" ht="15.75" customHeight="1">
      <c r="M565" s="39"/>
    </row>
    <row r="566" spans="13:13" ht="15.75" customHeight="1">
      <c r="M566" s="39"/>
    </row>
    <row r="567" spans="13:13" ht="15.75" customHeight="1">
      <c r="M567" s="39"/>
    </row>
    <row r="568" spans="13:13" ht="15.75" customHeight="1">
      <c r="M568" s="39"/>
    </row>
    <row r="569" spans="13:13" ht="15.75" customHeight="1">
      <c r="M569" s="39"/>
    </row>
    <row r="570" spans="13:13" ht="15.75" customHeight="1">
      <c r="M570" s="39"/>
    </row>
    <row r="571" spans="13:13" ht="15.75" customHeight="1">
      <c r="M571" s="39"/>
    </row>
    <row r="572" spans="13:13" ht="15.75" customHeight="1">
      <c r="M572" s="39"/>
    </row>
    <row r="573" spans="13:13" ht="15.75" customHeight="1">
      <c r="M573" s="39"/>
    </row>
    <row r="574" spans="13:13" ht="15.75" customHeight="1">
      <c r="M574" s="39"/>
    </row>
    <row r="575" spans="13:13" ht="15.75" customHeight="1">
      <c r="M575" s="39"/>
    </row>
    <row r="576" spans="13:13" ht="15.75" customHeight="1">
      <c r="M576" s="39"/>
    </row>
    <row r="577" spans="13:13" ht="15.75" customHeight="1">
      <c r="M577" s="39"/>
    </row>
    <row r="578" spans="13:13" ht="15.75" customHeight="1">
      <c r="M578" s="39"/>
    </row>
    <row r="579" spans="13:13" ht="15.75" customHeight="1">
      <c r="M579" s="39"/>
    </row>
    <row r="580" spans="13:13" ht="15.75" customHeight="1">
      <c r="M580" s="39"/>
    </row>
    <row r="581" spans="13:13" ht="15.75" customHeight="1">
      <c r="M581" s="39"/>
    </row>
    <row r="582" spans="13:13" ht="15.75" customHeight="1">
      <c r="M582" s="39"/>
    </row>
    <row r="583" spans="13:13" ht="15.75" customHeight="1">
      <c r="M583" s="39"/>
    </row>
    <row r="584" spans="13:13" ht="15.75" customHeight="1">
      <c r="M584" s="39"/>
    </row>
    <row r="585" spans="13:13" ht="15.75" customHeight="1">
      <c r="M585" s="39"/>
    </row>
    <row r="586" spans="13:13" ht="15.75" customHeight="1">
      <c r="M586" s="39"/>
    </row>
    <row r="587" spans="13:13" ht="15.75" customHeight="1">
      <c r="M587" s="39"/>
    </row>
    <row r="588" spans="13:13" ht="15.75" customHeight="1">
      <c r="M588" s="39"/>
    </row>
    <row r="589" spans="13:13" ht="15.75" customHeight="1">
      <c r="M589" s="39"/>
    </row>
    <row r="590" spans="13:13" ht="15.75" customHeight="1">
      <c r="M590" s="39"/>
    </row>
    <row r="591" spans="13:13" ht="15.75" customHeight="1">
      <c r="M591" s="39"/>
    </row>
    <row r="592" spans="13:13" ht="15.75" customHeight="1">
      <c r="M592" s="39"/>
    </row>
    <row r="593" spans="13:13" ht="15.75" customHeight="1">
      <c r="M593" s="39"/>
    </row>
    <row r="594" spans="13:13" ht="15.75" customHeight="1">
      <c r="M594" s="39"/>
    </row>
    <row r="595" spans="13:13" ht="15.75" customHeight="1">
      <c r="M595" s="39"/>
    </row>
    <row r="596" spans="13:13" ht="15.75" customHeight="1">
      <c r="M596" s="39"/>
    </row>
    <row r="597" spans="13:13" ht="15.75" customHeight="1">
      <c r="M597" s="39"/>
    </row>
    <row r="598" spans="13:13" ht="15.75" customHeight="1">
      <c r="M598" s="39"/>
    </row>
    <row r="599" spans="13:13" ht="15.75" customHeight="1">
      <c r="M599" s="39"/>
    </row>
    <row r="600" spans="13:13" ht="15.75" customHeight="1">
      <c r="M600" s="39"/>
    </row>
    <row r="601" spans="13:13" ht="15.75" customHeight="1">
      <c r="M601" s="39"/>
    </row>
    <row r="602" spans="13:13" ht="15.75" customHeight="1">
      <c r="M602" s="39"/>
    </row>
    <row r="603" spans="13:13" ht="15.75" customHeight="1">
      <c r="M603" s="39"/>
    </row>
    <row r="604" spans="13:13" ht="15.75" customHeight="1">
      <c r="M604" s="39"/>
    </row>
    <row r="605" spans="13:13" ht="15.75" customHeight="1">
      <c r="M605" s="39"/>
    </row>
    <row r="606" spans="13:13" ht="15.75" customHeight="1">
      <c r="M606" s="39"/>
    </row>
    <row r="607" spans="13:13" ht="15.75" customHeight="1">
      <c r="M607" s="39"/>
    </row>
    <row r="608" spans="13:13" ht="15.75" customHeight="1">
      <c r="M608" s="39"/>
    </row>
    <row r="609" spans="13:13" ht="15.75" customHeight="1">
      <c r="M609" s="39"/>
    </row>
    <row r="610" spans="13:13" ht="15.75" customHeight="1">
      <c r="M610" s="39"/>
    </row>
    <row r="611" spans="13:13" ht="15.75" customHeight="1">
      <c r="M611" s="39"/>
    </row>
    <row r="612" spans="13:13" ht="15.75" customHeight="1">
      <c r="M612" s="39"/>
    </row>
    <row r="613" spans="13:13" ht="15.75" customHeight="1">
      <c r="M613" s="39"/>
    </row>
    <row r="614" spans="13:13" ht="15.75" customHeight="1">
      <c r="M614" s="39"/>
    </row>
    <row r="615" spans="13:13" ht="15.75" customHeight="1">
      <c r="M615" s="39"/>
    </row>
    <row r="616" spans="13:13" ht="15.75" customHeight="1">
      <c r="M616" s="39"/>
    </row>
    <row r="617" spans="13:13" ht="15.75" customHeight="1">
      <c r="M617" s="39"/>
    </row>
    <row r="618" spans="13:13" ht="15.75" customHeight="1">
      <c r="M618" s="39"/>
    </row>
    <row r="619" spans="13:13" ht="15.75" customHeight="1">
      <c r="M619" s="39"/>
    </row>
    <row r="620" spans="13:13" ht="15.75" customHeight="1">
      <c r="M620" s="39"/>
    </row>
    <row r="621" spans="13:13" ht="15.75" customHeight="1">
      <c r="M621" s="39"/>
    </row>
    <row r="622" spans="13:13" ht="15.75" customHeight="1">
      <c r="M622" s="39"/>
    </row>
    <row r="623" spans="13:13" ht="15.75" customHeight="1">
      <c r="M623" s="39"/>
    </row>
    <row r="624" spans="13:13" ht="15.75" customHeight="1">
      <c r="M624" s="39"/>
    </row>
    <row r="625" spans="13:13" ht="15.75" customHeight="1">
      <c r="M625" s="39"/>
    </row>
    <row r="626" spans="13:13" ht="15.75" customHeight="1">
      <c r="M626" s="39"/>
    </row>
    <row r="627" spans="13:13" ht="15.75" customHeight="1">
      <c r="M627" s="39"/>
    </row>
    <row r="628" spans="13:13" ht="15.75" customHeight="1">
      <c r="M628" s="39"/>
    </row>
    <row r="629" spans="13:13" ht="15.75" customHeight="1">
      <c r="M629" s="39"/>
    </row>
    <row r="630" spans="13:13" ht="15.75" customHeight="1">
      <c r="M630" s="39"/>
    </row>
    <row r="631" spans="13:13" ht="15.75" customHeight="1">
      <c r="M631" s="39"/>
    </row>
    <row r="632" spans="13:13" ht="15.75" customHeight="1">
      <c r="M632" s="39"/>
    </row>
    <row r="633" spans="13:13" ht="15.75" customHeight="1">
      <c r="M633" s="39"/>
    </row>
    <row r="634" spans="13:13" ht="15.75" customHeight="1">
      <c r="M634" s="39"/>
    </row>
    <row r="635" spans="13:13" ht="15.75" customHeight="1">
      <c r="M635" s="39"/>
    </row>
    <row r="636" spans="13:13" ht="15.75" customHeight="1">
      <c r="M636" s="39"/>
    </row>
    <row r="637" spans="13:13" ht="15.75" customHeight="1">
      <c r="M637" s="39"/>
    </row>
    <row r="638" spans="13:13" ht="15.75" customHeight="1">
      <c r="M638" s="39"/>
    </row>
    <row r="639" spans="13:13" ht="15.75" customHeight="1">
      <c r="M639" s="39"/>
    </row>
    <row r="640" spans="13:13" ht="15.75" customHeight="1">
      <c r="M640" s="39"/>
    </row>
    <row r="641" spans="13:13" ht="15.75" customHeight="1">
      <c r="M641" s="39"/>
    </row>
    <row r="642" spans="13:13" ht="15.75" customHeight="1">
      <c r="M642" s="39"/>
    </row>
    <row r="643" spans="13:13" ht="15.75" customHeight="1">
      <c r="M643" s="39"/>
    </row>
    <row r="644" spans="13:13" ht="15.75" customHeight="1">
      <c r="M644" s="39"/>
    </row>
    <row r="645" spans="13:13" ht="15.75" customHeight="1">
      <c r="M645" s="39"/>
    </row>
    <row r="646" spans="13:13" ht="15.75" customHeight="1">
      <c r="M646" s="39"/>
    </row>
    <row r="647" spans="13:13" ht="15.75" customHeight="1">
      <c r="M647" s="39"/>
    </row>
    <row r="648" spans="13:13" ht="15.75" customHeight="1">
      <c r="M648" s="39"/>
    </row>
    <row r="649" spans="13:13" ht="15.75" customHeight="1">
      <c r="M649" s="39"/>
    </row>
    <row r="650" spans="13:13" ht="15.75" customHeight="1">
      <c r="M650" s="39"/>
    </row>
    <row r="651" spans="13:13" ht="15.75" customHeight="1">
      <c r="M651" s="39"/>
    </row>
    <row r="652" spans="13:13" ht="15.75" customHeight="1">
      <c r="M652" s="39"/>
    </row>
    <row r="653" spans="13:13" ht="15.75" customHeight="1">
      <c r="M653" s="39"/>
    </row>
    <row r="654" spans="13:13" ht="15.75" customHeight="1">
      <c r="M654" s="39"/>
    </row>
    <row r="655" spans="13:13" ht="15.75" customHeight="1">
      <c r="M655" s="39"/>
    </row>
    <row r="656" spans="13:13" ht="15.75" customHeight="1">
      <c r="M656" s="39"/>
    </row>
    <row r="657" spans="13:13" ht="15.75" customHeight="1">
      <c r="M657" s="39"/>
    </row>
    <row r="658" spans="13:13" ht="15.75" customHeight="1">
      <c r="M658" s="39"/>
    </row>
    <row r="659" spans="13:13" ht="15.75" customHeight="1">
      <c r="M659" s="39"/>
    </row>
    <row r="660" spans="13:13" ht="15.75" customHeight="1">
      <c r="M660" s="39"/>
    </row>
    <row r="661" spans="13:13" ht="15.75" customHeight="1">
      <c r="M661" s="39"/>
    </row>
    <row r="662" spans="13:13" ht="15.75" customHeight="1">
      <c r="M662" s="39"/>
    </row>
    <row r="663" spans="13:13" ht="15.75" customHeight="1">
      <c r="M663" s="39"/>
    </row>
    <row r="664" spans="13:13" ht="15.75" customHeight="1">
      <c r="M664" s="39"/>
    </row>
    <row r="665" spans="13:13" ht="15.75" customHeight="1">
      <c r="M665" s="39"/>
    </row>
    <row r="666" spans="13:13" ht="15.75" customHeight="1">
      <c r="M666" s="39"/>
    </row>
    <row r="667" spans="13:13" ht="15.75" customHeight="1">
      <c r="M667" s="39"/>
    </row>
    <row r="668" spans="13:13" ht="15.75" customHeight="1">
      <c r="M668" s="39"/>
    </row>
    <row r="669" spans="13:13" ht="15.75" customHeight="1">
      <c r="M669" s="39"/>
    </row>
    <row r="670" spans="13:13" ht="15.75" customHeight="1">
      <c r="M670" s="39"/>
    </row>
    <row r="671" spans="13:13" ht="15.75" customHeight="1">
      <c r="M671" s="39"/>
    </row>
    <row r="672" spans="13:13" ht="15.75" customHeight="1">
      <c r="M672" s="39"/>
    </row>
    <row r="673" spans="13:13" ht="15.75" customHeight="1">
      <c r="M673" s="39"/>
    </row>
    <row r="674" spans="13:13" ht="15.75" customHeight="1">
      <c r="M674" s="39"/>
    </row>
    <row r="675" spans="13:13" ht="15.75" customHeight="1">
      <c r="M675" s="39"/>
    </row>
    <row r="676" spans="13:13" ht="15.75" customHeight="1">
      <c r="M676" s="39"/>
    </row>
    <row r="677" spans="13:13" ht="15.75" customHeight="1">
      <c r="M677" s="39"/>
    </row>
    <row r="678" spans="13:13" ht="15.75" customHeight="1">
      <c r="M678" s="39"/>
    </row>
    <row r="679" spans="13:13" ht="15.75" customHeight="1">
      <c r="M679" s="39"/>
    </row>
    <row r="680" spans="13:13" ht="15.75" customHeight="1">
      <c r="M680" s="39"/>
    </row>
    <row r="681" spans="13:13" ht="15.75" customHeight="1">
      <c r="M681" s="39"/>
    </row>
    <row r="682" spans="13:13" ht="15.75" customHeight="1">
      <c r="M682" s="39"/>
    </row>
    <row r="683" spans="13:13" ht="15.75" customHeight="1">
      <c r="M683" s="39"/>
    </row>
    <row r="684" spans="13:13" ht="15.75" customHeight="1">
      <c r="M684" s="39"/>
    </row>
    <row r="685" spans="13:13" ht="15.75" customHeight="1">
      <c r="M685" s="39"/>
    </row>
    <row r="686" spans="13:13" ht="15.75" customHeight="1">
      <c r="M686" s="39"/>
    </row>
    <row r="687" spans="13:13" ht="15.75" customHeight="1">
      <c r="M687" s="39"/>
    </row>
    <row r="688" spans="13:13" ht="15.75" customHeight="1">
      <c r="M688" s="39"/>
    </row>
    <row r="689" spans="13:13" ht="15.75" customHeight="1">
      <c r="M689" s="39"/>
    </row>
    <row r="690" spans="13:13" ht="15.75" customHeight="1">
      <c r="M690" s="39"/>
    </row>
    <row r="691" spans="13:13" ht="15.75" customHeight="1">
      <c r="M691" s="39"/>
    </row>
    <row r="692" spans="13:13" ht="15.75" customHeight="1">
      <c r="M692" s="39"/>
    </row>
    <row r="693" spans="13:13" ht="15.75" customHeight="1">
      <c r="M693" s="39"/>
    </row>
    <row r="694" spans="13:13" ht="15.75" customHeight="1">
      <c r="M694" s="39"/>
    </row>
    <row r="695" spans="13:13" ht="15.75" customHeight="1">
      <c r="M695" s="39"/>
    </row>
    <row r="696" spans="13:13" ht="15.75" customHeight="1">
      <c r="M696" s="39"/>
    </row>
    <row r="697" spans="13:13" ht="15.75" customHeight="1">
      <c r="M697" s="39"/>
    </row>
    <row r="698" spans="13:13" ht="15.75" customHeight="1">
      <c r="M698" s="39"/>
    </row>
    <row r="699" spans="13:13" ht="15.75" customHeight="1">
      <c r="M699" s="39"/>
    </row>
    <row r="700" spans="13:13" ht="15.75" customHeight="1">
      <c r="M700" s="39"/>
    </row>
    <row r="701" spans="13:13" ht="15.75" customHeight="1">
      <c r="M701" s="39"/>
    </row>
    <row r="702" spans="13:13" ht="15.75" customHeight="1">
      <c r="M702" s="39"/>
    </row>
    <row r="703" spans="13:13" ht="15.75" customHeight="1">
      <c r="M703" s="39"/>
    </row>
    <row r="704" spans="13:13" ht="15.75" customHeight="1">
      <c r="M704" s="39"/>
    </row>
    <row r="705" spans="13:13" ht="15.75" customHeight="1">
      <c r="M705" s="39"/>
    </row>
    <row r="706" spans="13:13" ht="15.75" customHeight="1">
      <c r="M706" s="39"/>
    </row>
    <row r="707" spans="13:13" ht="15.75" customHeight="1">
      <c r="M707" s="39"/>
    </row>
    <row r="708" spans="13:13" ht="15.75" customHeight="1">
      <c r="M708" s="39"/>
    </row>
    <row r="709" spans="13:13" ht="15.75" customHeight="1">
      <c r="M709" s="39"/>
    </row>
    <row r="710" spans="13:13" ht="15.75" customHeight="1">
      <c r="M710" s="39"/>
    </row>
    <row r="711" spans="13:13" ht="15.75" customHeight="1">
      <c r="M711" s="39"/>
    </row>
    <row r="712" spans="13:13" ht="15.75" customHeight="1">
      <c r="M712" s="39"/>
    </row>
    <row r="713" spans="13:13" ht="15.75" customHeight="1">
      <c r="M713" s="39"/>
    </row>
    <row r="714" spans="13:13" ht="15.75" customHeight="1">
      <c r="M714" s="39"/>
    </row>
    <row r="715" spans="13:13" ht="15.75" customHeight="1">
      <c r="M715" s="39"/>
    </row>
    <row r="716" spans="13:13" ht="15.75" customHeight="1">
      <c r="M716" s="39"/>
    </row>
    <row r="717" spans="13:13" ht="15.75" customHeight="1">
      <c r="M717" s="39"/>
    </row>
    <row r="718" spans="13:13" ht="15.75" customHeight="1">
      <c r="M718" s="39"/>
    </row>
    <row r="719" spans="13:13" ht="15.75" customHeight="1">
      <c r="M719" s="39"/>
    </row>
    <row r="720" spans="13:13" ht="15.75" customHeight="1">
      <c r="M720" s="39"/>
    </row>
    <row r="721" spans="13:13" ht="15.75" customHeight="1">
      <c r="M721" s="39"/>
    </row>
    <row r="722" spans="13:13" ht="15.75" customHeight="1">
      <c r="M722" s="39"/>
    </row>
    <row r="723" spans="13:13" ht="15.75" customHeight="1">
      <c r="M723" s="39"/>
    </row>
    <row r="724" spans="13:13" ht="15.75" customHeight="1">
      <c r="M724" s="39"/>
    </row>
    <row r="725" spans="13:13" ht="15.75" customHeight="1">
      <c r="M725" s="39"/>
    </row>
    <row r="726" spans="13:13" ht="15.75" customHeight="1">
      <c r="M726" s="39"/>
    </row>
    <row r="727" spans="13:13" ht="15.75" customHeight="1">
      <c r="M727" s="39"/>
    </row>
    <row r="728" spans="13:13" ht="15.75" customHeight="1">
      <c r="M728" s="39"/>
    </row>
    <row r="729" spans="13:13" ht="15.75" customHeight="1">
      <c r="M729" s="39"/>
    </row>
    <row r="730" spans="13:13" ht="15.75" customHeight="1">
      <c r="M730" s="39"/>
    </row>
    <row r="731" spans="13:13" ht="15.75" customHeight="1">
      <c r="M731" s="39"/>
    </row>
    <row r="732" spans="13:13" ht="15.75" customHeight="1">
      <c r="M732" s="39"/>
    </row>
    <row r="733" spans="13:13" ht="15.75" customHeight="1">
      <c r="M733" s="39"/>
    </row>
    <row r="734" spans="13:13" ht="15.75" customHeight="1">
      <c r="M734" s="39"/>
    </row>
    <row r="735" spans="13:13" ht="15.75" customHeight="1">
      <c r="M735" s="39"/>
    </row>
    <row r="736" spans="13:13" ht="15.75" customHeight="1">
      <c r="M736" s="39"/>
    </row>
    <row r="737" spans="13:13" ht="15.75" customHeight="1">
      <c r="M737" s="39"/>
    </row>
    <row r="738" spans="13:13" ht="15.75" customHeight="1">
      <c r="M738" s="39"/>
    </row>
    <row r="739" spans="13:13" ht="15.75" customHeight="1">
      <c r="M739" s="39"/>
    </row>
    <row r="740" spans="13:13" ht="15.75" customHeight="1">
      <c r="M740" s="39"/>
    </row>
    <row r="741" spans="13:13" ht="15.75" customHeight="1">
      <c r="M741" s="39"/>
    </row>
    <row r="742" spans="13:13" ht="15.75" customHeight="1">
      <c r="M742" s="39"/>
    </row>
    <row r="743" spans="13:13" ht="15.75" customHeight="1">
      <c r="M743" s="39"/>
    </row>
    <row r="744" spans="13:13" ht="15.75" customHeight="1">
      <c r="M744" s="39"/>
    </row>
    <row r="745" spans="13:13" ht="15.75" customHeight="1">
      <c r="M745" s="39"/>
    </row>
    <row r="746" spans="13:13" ht="15.75" customHeight="1">
      <c r="M746" s="39"/>
    </row>
    <row r="747" spans="13:13" ht="15.75" customHeight="1">
      <c r="M747" s="39"/>
    </row>
    <row r="748" spans="13:13" ht="15.75" customHeight="1">
      <c r="M748" s="39"/>
    </row>
    <row r="749" spans="13:13" ht="15.75" customHeight="1">
      <c r="M749" s="39"/>
    </row>
    <row r="750" spans="13:13" ht="15.75" customHeight="1">
      <c r="M750" s="39"/>
    </row>
    <row r="751" spans="13:13" ht="15.75" customHeight="1">
      <c r="M751" s="39"/>
    </row>
    <row r="752" spans="13:13" ht="15.75" customHeight="1">
      <c r="M752" s="39"/>
    </row>
    <row r="753" spans="13:13" ht="15.75" customHeight="1">
      <c r="M753" s="39"/>
    </row>
    <row r="754" spans="13:13" ht="15.75" customHeight="1">
      <c r="M754" s="39"/>
    </row>
    <row r="755" spans="13:13" ht="15.75" customHeight="1">
      <c r="M755" s="39"/>
    </row>
    <row r="756" spans="13:13" ht="15.75" customHeight="1">
      <c r="M756" s="39"/>
    </row>
    <row r="757" spans="13:13" ht="15.75" customHeight="1">
      <c r="M757" s="39"/>
    </row>
    <row r="758" spans="13:13" ht="15.75" customHeight="1">
      <c r="M758" s="39"/>
    </row>
    <row r="759" spans="13:13" ht="15.75" customHeight="1">
      <c r="M759" s="39"/>
    </row>
    <row r="760" spans="13:13" ht="15.75" customHeight="1">
      <c r="M760" s="39"/>
    </row>
    <row r="761" spans="13:13" ht="15.75" customHeight="1">
      <c r="M761" s="39"/>
    </row>
    <row r="762" spans="13:13" ht="15.75" customHeight="1">
      <c r="M762" s="39"/>
    </row>
    <row r="763" spans="13:13" ht="15.75" customHeight="1">
      <c r="M763" s="39"/>
    </row>
    <row r="764" spans="13:13" ht="15.75" customHeight="1">
      <c r="M764" s="39"/>
    </row>
    <row r="765" spans="13:13" ht="15.75" customHeight="1">
      <c r="M765" s="39"/>
    </row>
    <row r="766" spans="13:13" ht="15.75" customHeight="1">
      <c r="M766" s="39"/>
    </row>
    <row r="767" spans="13:13" ht="15.75" customHeight="1">
      <c r="M767" s="39"/>
    </row>
    <row r="768" spans="13:13" ht="15.75" customHeight="1">
      <c r="M768" s="39"/>
    </row>
    <row r="769" spans="13:13" ht="15.75" customHeight="1">
      <c r="M769" s="39"/>
    </row>
    <row r="770" spans="13:13" ht="15.75" customHeight="1">
      <c r="M770" s="39"/>
    </row>
    <row r="771" spans="13:13" ht="15.75" customHeight="1">
      <c r="M771" s="39"/>
    </row>
    <row r="772" spans="13:13" ht="15.75" customHeight="1">
      <c r="M772" s="39"/>
    </row>
    <row r="773" spans="13:13" ht="15.75" customHeight="1">
      <c r="M773" s="39"/>
    </row>
    <row r="774" spans="13:13" ht="15.75" customHeight="1">
      <c r="M774" s="39"/>
    </row>
    <row r="775" spans="13:13" ht="15.75" customHeight="1">
      <c r="M775" s="39"/>
    </row>
    <row r="776" spans="13:13" ht="15.75" customHeight="1">
      <c r="M776" s="39"/>
    </row>
    <row r="777" spans="13:13" ht="15.75" customHeight="1">
      <c r="M777" s="39"/>
    </row>
    <row r="778" spans="13:13" ht="15.75" customHeight="1">
      <c r="M778" s="39"/>
    </row>
    <row r="779" spans="13:13" ht="15.75" customHeight="1">
      <c r="M779" s="39"/>
    </row>
    <row r="780" spans="13:13" ht="15.75" customHeight="1">
      <c r="M780" s="39"/>
    </row>
    <row r="781" spans="13:13" ht="15.75" customHeight="1">
      <c r="M781" s="39"/>
    </row>
    <row r="782" spans="13:13" ht="15.75" customHeight="1">
      <c r="M782" s="39"/>
    </row>
    <row r="783" spans="13:13" ht="15.75" customHeight="1">
      <c r="M783" s="39"/>
    </row>
    <row r="784" spans="13:13" ht="15.75" customHeight="1">
      <c r="M784" s="39"/>
    </row>
    <row r="785" spans="13:13" ht="15.75" customHeight="1">
      <c r="M785" s="39"/>
    </row>
    <row r="786" spans="13:13" ht="15.75" customHeight="1">
      <c r="M786" s="39"/>
    </row>
    <row r="787" spans="13:13" ht="15.75" customHeight="1">
      <c r="M787" s="39"/>
    </row>
    <row r="788" spans="13:13" ht="15.75" customHeight="1">
      <c r="M788" s="39"/>
    </row>
    <row r="789" spans="13:13" ht="15.75" customHeight="1">
      <c r="M789" s="39"/>
    </row>
    <row r="790" spans="13:13" ht="15.75" customHeight="1">
      <c r="M790" s="39"/>
    </row>
    <row r="791" spans="13:13" ht="15.75" customHeight="1">
      <c r="M791" s="39"/>
    </row>
    <row r="792" spans="13:13" ht="15.75" customHeight="1">
      <c r="M792" s="39"/>
    </row>
    <row r="793" spans="13:13" ht="15.75" customHeight="1">
      <c r="M793" s="39"/>
    </row>
    <row r="794" spans="13:13" ht="15.75" customHeight="1">
      <c r="M794" s="39"/>
    </row>
    <row r="795" spans="13:13" ht="15.75" customHeight="1">
      <c r="M795" s="39"/>
    </row>
    <row r="796" spans="13:13" ht="15.75" customHeight="1">
      <c r="M796" s="39"/>
    </row>
    <row r="797" spans="13:13" ht="15.75" customHeight="1">
      <c r="M797" s="39"/>
    </row>
    <row r="798" spans="13:13" ht="15.75" customHeight="1">
      <c r="M798" s="39"/>
    </row>
    <row r="799" spans="13:13" ht="15.75" customHeight="1">
      <c r="M799" s="39"/>
    </row>
    <row r="800" spans="13:13" ht="15.75" customHeight="1">
      <c r="M800" s="39"/>
    </row>
    <row r="801" spans="13:13" ht="15.75" customHeight="1">
      <c r="M801" s="39"/>
    </row>
    <row r="802" spans="13:13" ht="15.75" customHeight="1">
      <c r="M802" s="39"/>
    </row>
    <row r="803" spans="13:13" ht="15.75" customHeight="1">
      <c r="M803" s="39"/>
    </row>
    <row r="804" spans="13:13" ht="15.75" customHeight="1">
      <c r="M804" s="39"/>
    </row>
    <row r="805" spans="13:13" ht="15.75" customHeight="1">
      <c r="M805" s="39"/>
    </row>
    <row r="806" spans="13:13" ht="15.75" customHeight="1">
      <c r="M806" s="39"/>
    </row>
    <row r="807" spans="13:13" ht="15.75" customHeight="1">
      <c r="M807" s="39"/>
    </row>
    <row r="808" spans="13:13" ht="15.75" customHeight="1">
      <c r="M808" s="39"/>
    </row>
    <row r="809" spans="13:13" ht="15.75" customHeight="1">
      <c r="M809" s="39"/>
    </row>
    <row r="810" spans="13:13" ht="15.75" customHeight="1">
      <c r="M810" s="39"/>
    </row>
    <row r="811" spans="13:13" ht="15.75" customHeight="1">
      <c r="M811" s="39"/>
    </row>
    <row r="812" spans="13:13" ht="15.75" customHeight="1">
      <c r="M812" s="39"/>
    </row>
    <row r="813" spans="13:13" ht="15.75" customHeight="1">
      <c r="M813" s="39"/>
    </row>
    <row r="814" spans="13:13" ht="15.75" customHeight="1">
      <c r="M814" s="39"/>
    </row>
    <row r="815" spans="13:13" ht="15.75" customHeight="1">
      <c r="M815" s="39"/>
    </row>
    <row r="816" spans="13:13" ht="15.75" customHeight="1">
      <c r="M816" s="39"/>
    </row>
    <row r="817" spans="13:13" ht="15.75" customHeight="1">
      <c r="M817" s="39"/>
    </row>
    <row r="818" spans="13:13" ht="15.75" customHeight="1">
      <c r="M818" s="39"/>
    </row>
    <row r="819" spans="13:13" ht="15.75" customHeight="1">
      <c r="M819" s="39"/>
    </row>
    <row r="820" spans="13:13" ht="15.75" customHeight="1">
      <c r="M820" s="39"/>
    </row>
    <row r="821" spans="13:13" ht="15.75" customHeight="1">
      <c r="M821" s="39"/>
    </row>
    <row r="822" spans="13:13" ht="15.75" customHeight="1">
      <c r="M822" s="39"/>
    </row>
    <row r="823" spans="13:13" ht="15.75" customHeight="1">
      <c r="M823" s="39"/>
    </row>
    <row r="824" spans="13:13" ht="15.75" customHeight="1">
      <c r="M824" s="39"/>
    </row>
    <row r="825" spans="13:13" ht="15.75" customHeight="1">
      <c r="M825" s="39"/>
    </row>
    <row r="826" spans="13:13" ht="15.75" customHeight="1">
      <c r="M826" s="39"/>
    </row>
    <row r="827" spans="13:13" ht="15.75" customHeight="1">
      <c r="M827" s="39"/>
    </row>
    <row r="828" spans="13:13" ht="15.75" customHeight="1">
      <c r="M828" s="39"/>
    </row>
    <row r="829" spans="13:13" ht="15.75" customHeight="1">
      <c r="M829" s="39"/>
    </row>
    <row r="830" spans="13:13" ht="15.75" customHeight="1">
      <c r="M830" s="39"/>
    </row>
    <row r="831" spans="13:13" ht="15.75" customHeight="1">
      <c r="M831" s="39"/>
    </row>
    <row r="832" spans="13:13" ht="15.75" customHeight="1">
      <c r="M832" s="39"/>
    </row>
    <row r="833" spans="13:13" ht="15.75" customHeight="1">
      <c r="M833" s="39"/>
    </row>
    <row r="834" spans="13:13" ht="15.75" customHeight="1">
      <c r="M834" s="39"/>
    </row>
    <row r="835" spans="13:13" ht="15.75" customHeight="1">
      <c r="M835" s="39"/>
    </row>
    <row r="836" spans="13:13" ht="15.75" customHeight="1">
      <c r="M836" s="39"/>
    </row>
    <row r="837" spans="13:13" ht="15.75" customHeight="1">
      <c r="M837" s="39"/>
    </row>
    <row r="838" spans="13:13" ht="15.75" customHeight="1">
      <c r="M838" s="39"/>
    </row>
    <row r="839" spans="13:13" ht="15.75" customHeight="1">
      <c r="M839" s="39"/>
    </row>
    <row r="840" spans="13:13" ht="15.75" customHeight="1">
      <c r="M840" s="39"/>
    </row>
    <row r="841" spans="13:13" ht="15.75" customHeight="1">
      <c r="M841" s="39"/>
    </row>
    <row r="842" spans="13:13" ht="15.75" customHeight="1">
      <c r="M842" s="39"/>
    </row>
    <row r="843" spans="13:13" ht="15.75" customHeight="1">
      <c r="M843" s="39"/>
    </row>
    <row r="844" spans="13:13" ht="15.75" customHeight="1">
      <c r="M844" s="39"/>
    </row>
    <row r="845" spans="13:13" ht="15.75" customHeight="1">
      <c r="M845" s="39"/>
    </row>
    <row r="846" spans="13:13" ht="15.75" customHeight="1">
      <c r="M846" s="39"/>
    </row>
    <row r="847" spans="13:13" ht="15.75" customHeight="1">
      <c r="M847" s="39"/>
    </row>
    <row r="848" spans="13:13" ht="15.75" customHeight="1">
      <c r="M848" s="39"/>
    </row>
    <row r="849" spans="13:13" ht="15.75" customHeight="1">
      <c r="M849" s="39"/>
    </row>
    <row r="850" spans="13:13" ht="15.75" customHeight="1">
      <c r="M850" s="39"/>
    </row>
    <row r="851" spans="13:13" ht="15.75" customHeight="1">
      <c r="M851" s="39"/>
    </row>
    <row r="852" spans="13:13" ht="15.75" customHeight="1">
      <c r="M852" s="39"/>
    </row>
    <row r="853" spans="13:13" ht="15.75" customHeight="1">
      <c r="M853" s="39"/>
    </row>
    <row r="854" spans="13:13" ht="15.75" customHeight="1">
      <c r="M854" s="39"/>
    </row>
    <row r="855" spans="13:13" ht="15.75" customHeight="1">
      <c r="M855" s="39"/>
    </row>
    <row r="856" spans="13:13" ht="15.75" customHeight="1">
      <c r="M856" s="39"/>
    </row>
    <row r="857" spans="13:13" ht="15.75" customHeight="1">
      <c r="M857" s="39"/>
    </row>
    <row r="858" spans="13:13" ht="15.75" customHeight="1">
      <c r="M858" s="39"/>
    </row>
    <row r="859" spans="13:13" ht="15.75" customHeight="1">
      <c r="M859" s="39"/>
    </row>
    <row r="860" spans="13:13" ht="15.75" customHeight="1">
      <c r="M860" s="39"/>
    </row>
    <row r="861" spans="13:13" ht="15.75" customHeight="1">
      <c r="M861" s="39"/>
    </row>
    <row r="862" spans="13:13" ht="15.75" customHeight="1">
      <c r="M862" s="39"/>
    </row>
    <row r="863" spans="13:13" ht="15.75" customHeight="1">
      <c r="M863" s="39"/>
    </row>
    <row r="864" spans="13:13" ht="15.75" customHeight="1">
      <c r="M864" s="39"/>
    </row>
    <row r="865" spans="13:13" ht="15.75" customHeight="1">
      <c r="M865" s="39"/>
    </row>
    <row r="866" spans="13:13" ht="15.75" customHeight="1">
      <c r="M866" s="39"/>
    </row>
    <row r="867" spans="13:13" ht="15.75" customHeight="1">
      <c r="M867" s="39"/>
    </row>
    <row r="868" spans="13:13" ht="15.75" customHeight="1">
      <c r="M868" s="39"/>
    </row>
    <row r="869" spans="13:13" ht="15.75" customHeight="1">
      <c r="M869" s="39"/>
    </row>
    <row r="870" spans="13:13" ht="15.75" customHeight="1">
      <c r="M870" s="39"/>
    </row>
    <row r="871" spans="13:13" ht="15.75" customHeight="1">
      <c r="M871" s="39"/>
    </row>
    <row r="872" spans="13:13" ht="15.75" customHeight="1">
      <c r="M872" s="39"/>
    </row>
    <row r="873" spans="13:13" ht="15.75" customHeight="1">
      <c r="M873" s="39"/>
    </row>
    <row r="874" spans="13:13" ht="15.75" customHeight="1">
      <c r="M874" s="39"/>
    </row>
    <row r="875" spans="13:13" ht="15.75" customHeight="1">
      <c r="M875" s="39"/>
    </row>
    <row r="876" spans="13:13" ht="15.75" customHeight="1">
      <c r="M876" s="39"/>
    </row>
    <row r="877" spans="13:13" ht="15.75" customHeight="1">
      <c r="M877" s="39"/>
    </row>
    <row r="878" spans="13:13" ht="15.75" customHeight="1">
      <c r="M878" s="39"/>
    </row>
    <row r="879" spans="13:13" ht="15.75" customHeight="1">
      <c r="M879" s="39"/>
    </row>
    <row r="880" spans="13:13" ht="15.75" customHeight="1">
      <c r="M880" s="39"/>
    </row>
    <row r="881" spans="13:13" ht="15.75" customHeight="1">
      <c r="M881" s="39"/>
    </row>
    <row r="882" spans="13:13" ht="15.75" customHeight="1">
      <c r="M882" s="39"/>
    </row>
    <row r="883" spans="13:13" ht="15.75" customHeight="1">
      <c r="M883" s="39"/>
    </row>
    <row r="884" spans="13:13" ht="15.75" customHeight="1">
      <c r="M884" s="39"/>
    </row>
    <row r="885" spans="13:13" ht="15.75" customHeight="1">
      <c r="M885" s="39"/>
    </row>
    <row r="886" spans="13:13" ht="15.75" customHeight="1">
      <c r="M886" s="39"/>
    </row>
    <row r="887" spans="13:13" ht="15.75" customHeight="1">
      <c r="M887" s="39"/>
    </row>
    <row r="888" spans="13:13" ht="15.75" customHeight="1">
      <c r="M888" s="39"/>
    </row>
    <row r="889" spans="13:13" ht="15.75" customHeight="1">
      <c r="M889" s="39"/>
    </row>
    <row r="890" spans="13:13" ht="15.75" customHeight="1">
      <c r="M890" s="39"/>
    </row>
    <row r="891" spans="13:13" ht="15.75" customHeight="1">
      <c r="M891" s="39"/>
    </row>
    <row r="892" spans="13:13" ht="15.75" customHeight="1">
      <c r="M892" s="39"/>
    </row>
    <row r="893" spans="13:13" ht="15.75" customHeight="1">
      <c r="M893" s="39"/>
    </row>
    <row r="894" spans="13:13" ht="15.75" customHeight="1">
      <c r="M894" s="39"/>
    </row>
    <row r="895" spans="13:13" ht="15.75" customHeight="1">
      <c r="M895" s="39"/>
    </row>
    <row r="896" spans="13:13" ht="15.75" customHeight="1">
      <c r="M896" s="39"/>
    </row>
    <row r="897" spans="13:13" ht="15.75" customHeight="1">
      <c r="M897" s="39"/>
    </row>
    <row r="898" spans="13:13" ht="15.75" customHeight="1">
      <c r="M898" s="39"/>
    </row>
    <row r="899" spans="13:13" ht="15.75" customHeight="1">
      <c r="M899" s="39"/>
    </row>
    <row r="900" spans="13:13" ht="15.75" customHeight="1">
      <c r="M900" s="39"/>
    </row>
    <row r="901" spans="13:13" ht="15.75" customHeight="1">
      <c r="M901" s="39"/>
    </row>
    <row r="902" spans="13:13" ht="15.75" customHeight="1">
      <c r="M902" s="39"/>
    </row>
    <row r="903" spans="13:13" ht="15.75" customHeight="1">
      <c r="M903" s="39"/>
    </row>
    <row r="904" spans="13:13" ht="15.75" customHeight="1">
      <c r="M904" s="39"/>
    </row>
    <row r="905" spans="13:13" ht="15.75" customHeight="1">
      <c r="M905" s="39"/>
    </row>
    <row r="906" spans="13:13" ht="15.75" customHeight="1">
      <c r="M906" s="39"/>
    </row>
    <row r="907" spans="13:13" ht="15.75" customHeight="1">
      <c r="M907" s="39"/>
    </row>
    <row r="908" spans="13:13" ht="15.75" customHeight="1">
      <c r="M908" s="39"/>
    </row>
    <row r="909" spans="13:13" ht="15.75" customHeight="1">
      <c r="M909" s="39"/>
    </row>
    <row r="910" spans="13:13" ht="15.75" customHeight="1">
      <c r="M910" s="39"/>
    </row>
    <row r="911" spans="13:13" ht="15.75" customHeight="1">
      <c r="M911" s="39"/>
    </row>
    <row r="912" spans="13:13" ht="15.75" customHeight="1">
      <c r="M912" s="39"/>
    </row>
    <row r="913" spans="13:13" ht="15.75" customHeight="1">
      <c r="M913" s="39"/>
    </row>
    <row r="914" spans="13:13" ht="15.75" customHeight="1">
      <c r="M914" s="39"/>
    </row>
    <row r="915" spans="13:13" ht="15.75" customHeight="1">
      <c r="M915" s="39"/>
    </row>
    <row r="916" spans="13:13" ht="15.75" customHeight="1">
      <c r="M916" s="39"/>
    </row>
    <row r="917" spans="13:13" ht="15.75" customHeight="1">
      <c r="M917" s="39"/>
    </row>
    <row r="918" spans="13:13" ht="15.75" customHeight="1">
      <c r="M918" s="39"/>
    </row>
    <row r="919" spans="13:13" ht="15.75" customHeight="1">
      <c r="M919" s="39"/>
    </row>
    <row r="920" spans="13:13" ht="15.75" customHeight="1">
      <c r="M920" s="39"/>
    </row>
    <row r="921" spans="13:13" ht="15.75" customHeight="1">
      <c r="M921" s="39"/>
    </row>
    <row r="922" spans="13:13" ht="15.75" customHeight="1">
      <c r="M922" s="39"/>
    </row>
    <row r="923" spans="13:13" ht="15.75" customHeight="1">
      <c r="M923" s="39"/>
    </row>
    <row r="924" spans="13:13" ht="15.75" customHeight="1">
      <c r="M924" s="39"/>
    </row>
    <row r="925" spans="13:13" ht="15.75" customHeight="1">
      <c r="M925" s="39"/>
    </row>
    <row r="926" spans="13:13" ht="15.75" customHeight="1">
      <c r="M926" s="39"/>
    </row>
    <row r="927" spans="13:13" ht="15.75" customHeight="1">
      <c r="M927" s="39"/>
    </row>
    <row r="928" spans="13:13" ht="15.75" customHeight="1">
      <c r="M928" s="39"/>
    </row>
    <row r="929" spans="13:13" ht="15.75" customHeight="1">
      <c r="M929" s="39"/>
    </row>
    <row r="930" spans="13:13" ht="15.75" customHeight="1">
      <c r="M930" s="39"/>
    </row>
    <row r="931" spans="13:13" ht="15.75" customHeight="1">
      <c r="M931" s="39"/>
    </row>
    <row r="932" spans="13:13" ht="15.75" customHeight="1">
      <c r="M932" s="39"/>
    </row>
    <row r="933" spans="13:13" ht="15.75" customHeight="1">
      <c r="M933" s="39"/>
    </row>
    <row r="934" spans="13:13" ht="15.75" customHeight="1">
      <c r="M934" s="39"/>
    </row>
    <row r="935" spans="13:13" ht="15.75" customHeight="1">
      <c r="M935" s="39"/>
    </row>
    <row r="936" spans="13:13" ht="15.75" customHeight="1">
      <c r="M936" s="39"/>
    </row>
    <row r="937" spans="13:13" ht="15.75" customHeight="1">
      <c r="M937" s="39"/>
    </row>
    <row r="938" spans="13:13" ht="15.75" customHeight="1">
      <c r="M938" s="39"/>
    </row>
    <row r="939" spans="13:13" ht="15.75" customHeight="1">
      <c r="M939" s="39"/>
    </row>
    <row r="940" spans="13:13" ht="15.75" customHeight="1">
      <c r="M940" s="39"/>
    </row>
    <row r="941" spans="13:13" ht="15.75" customHeight="1">
      <c r="M941" s="39"/>
    </row>
    <row r="942" spans="13:13" ht="15.75" customHeight="1">
      <c r="M942" s="39"/>
    </row>
    <row r="943" spans="13:13" ht="15.75" customHeight="1">
      <c r="M943" s="39"/>
    </row>
    <row r="944" spans="13:13" ht="15.75" customHeight="1">
      <c r="M944" s="39"/>
    </row>
    <row r="945" spans="13:13" ht="15.75" customHeight="1">
      <c r="M945" s="39"/>
    </row>
    <row r="946" spans="13:13" ht="15.75" customHeight="1">
      <c r="M946" s="39"/>
    </row>
    <row r="947" spans="13:13" ht="15.75" customHeight="1">
      <c r="M947" s="39"/>
    </row>
    <row r="948" spans="13:13" ht="15.75" customHeight="1">
      <c r="M948" s="39"/>
    </row>
    <row r="949" spans="13:13" ht="15.75" customHeight="1">
      <c r="M949" s="39"/>
    </row>
    <row r="950" spans="13:13" ht="15.75" customHeight="1">
      <c r="M950" s="39"/>
    </row>
    <row r="951" spans="13:13" ht="15.75" customHeight="1">
      <c r="M951" s="39"/>
    </row>
    <row r="952" spans="13:13" ht="15.75" customHeight="1">
      <c r="M952" s="39"/>
    </row>
    <row r="953" spans="13:13" ht="15.75" customHeight="1">
      <c r="M953" s="39"/>
    </row>
    <row r="954" spans="13:13" ht="15.75" customHeight="1">
      <c r="M954" s="39"/>
    </row>
    <row r="955" spans="13:13" ht="15.75" customHeight="1">
      <c r="M955" s="39"/>
    </row>
    <row r="956" spans="13:13" ht="15.75" customHeight="1">
      <c r="M956" s="39"/>
    </row>
    <row r="957" spans="13:13" ht="15.75" customHeight="1">
      <c r="M957" s="39"/>
    </row>
    <row r="958" spans="13:13" ht="15.75" customHeight="1">
      <c r="M958" s="39"/>
    </row>
    <row r="959" spans="13:13" ht="15.75" customHeight="1">
      <c r="M959" s="39"/>
    </row>
    <row r="960" spans="13:13" ht="15.75" customHeight="1">
      <c r="M960" s="39"/>
    </row>
    <row r="961" spans="13:13" ht="15.75" customHeight="1">
      <c r="M961" s="39"/>
    </row>
    <row r="962" spans="13:13" ht="15.75" customHeight="1">
      <c r="M962" s="39"/>
    </row>
    <row r="963" spans="13:13" ht="15.75" customHeight="1">
      <c r="M963" s="39"/>
    </row>
    <row r="964" spans="13:13" ht="15.75" customHeight="1">
      <c r="M964" s="39"/>
    </row>
    <row r="965" spans="13:13" ht="15.75" customHeight="1">
      <c r="M965" s="39"/>
    </row>
    <row r="966" spans="13:13" ht="15.75" customHeight="1">
      <c r="M966" s="39"/>
    </row>
    <row r="967" spans="13:13" ht="15.75" customHeight="1">
      <c r="M967" s="39"/>
    </row>
    <row r="968" spans="13:13" ht="15.75" customHeight="1">
      <c r="M968" s="39"/>
    </row>
    <row r="969" spans="13:13" ht="15.75" customHeight="1">
      <c r="M969" s="39"/>
    </row>
    <row r="970" spans="13:13" ht="15.75" customHeight="1">
      <c r="M970" s="39"/>
    </row>
    <row r="971" spans="13:13" ht="15.75" customHeight="1">
      <c r="M971" s="39"/>
    </row>
    <row r="972" spans="13:13" ht="15.75" customHeight="1">
      <c r="M972" s="39"/>
    </row>
    <row r="973" spans="13:13" ht="15.75" customHeight="1">
      <c r="M973" s="39"/>
    </row>
    <row r="974" spans="13:13" ht="15.75" customHeight="1">
      <c r="M974" s="39"/>
    </row>
    <row r="975" spans="13:13" ht="15.75" customHeight="1">
      <c r="M975" s="39"/>
    </row>
    <row r="976" spans="13:13" ht="15.75" customHeight="1">
      <c r="M976" s="39"/>
    </row>
    <row r="977" spans="13:13" ht="15.75" customHeight="1">
      <c r="M977" s="39"/>
    </row>
    <row r="978" spans="13:13" ht="15.75" customHeight="1">
      <c r="M978" s="39"/>
    </row>
    <row r="979" spans="13:13" ht="15.75" customHeight="1">
      <c r="M979" s="39"/>
    </row>
    <row r="980" spans="13:13" ht="15.75" customHeight="1">
      <c r="M980" s="39"/>
    </row>
    <row r="981" spans="13:13" ht="15.75" customHeight="1">
      <c r="M981" s="39"/>
    </row>
    <row r="982" spans="13:13" ht="15.75" customHeight="1">
      <c r="M982" s="39"/>
    </row>
    <row r="983" spans="13:13" ht="15.75" customHeight="1">
      <c r="M983" s="39"/>
    </row>
    <row r="984" spans="13:13" ht="15.75" customHeight="1">
      <c r="M984" s="39"/>
    </row>
    <row r="985" spans="13:13" ht="15.75" customHeight="1">
      <c r="M985" s="39"/>
    </row>
    <row r="986" spans="13:13" ht="15.75" customHeight="1">
      <c r="M986" s="39"/>
    </row>
    <row r="987" spans="13:13" ht="15.75" customHeight="1">
      <c r="M987" s="39"/>
    </row>
    <row r="988" spans="13:13" ht="15.75" customHeight="1">
      <c r="M988" s="39"/>
    </row>
    <row r="989" spans="13:13" ht="15.75" customHeight="1">
      <c r="M989" s="39"/>
    </row>
    <row r="990" spans="13:13" ht="15.75" customHeight="1">
      <c r="M990" s="39"/>
    </row>
    <row r="991" spans="13:13" ht="15.75" customHeight="1">
      <c r="M991" s="39"/>
    </row>
    <row r="992" spans="13:13" ht="15.75" customHeight="1">
      <c r="M992" s="39"/>
    </row>
    <row r="993" spans="13:13" ht="15.75" customHeight="1">
      <c r="M993" s="39"/>
    </row>
    <row r="994" spans="13:13" ht="15.75" customHeight="1">
      <c r="M994" s="39"/>
    </row>
    <row r="995" spans="13:13" ht="15.75" customHeight="1">
      <c r="M995" s="39"/>
    </row>
    <row r="996" spans="13:13" ht="15.75" customHeight="1">
      <c r="M996" s="39"/>
    </row>
    <row r="997" spans="13:13" ht="15.75" customHeight="1">
      <c r="M997" s="39"/>
    </row>
    <row r="998" spans="13:13" ht="15.75" customHeight="1">
      <c r="M998" s="39"/>
    </row>
    <row r="999" spans="13:13" ht="15.75" customHeight="1">
      <c r="M999" s="39"/>
    </row>
    <row r="1000" spans="13:13" ht="15.75" customHeight="1">
      <c r="M1000" s="39"/>
    </row>
  </sheetData>
  <pageMargins left="0.7" right="0.7" top="0.75" bottom="0.75" header="0" footer="0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1"/>
  <dimension ref="A1:AB1000"/>
  <sheetViews>
    <sheetView workbookViewId="0"/>
  </sheetViews>
  <sheetFormatPr defaultColWidth="14.44140625" defaultRowHeight="15" customHeight="1"/>
  <cols>
    <col min="1" max="1" width="9.44140625" customWidth="1"/>
    <col min="2" max="2" width="13.33203125" customWidth="1"/>
    <col min="3" max="3" width="14" customWidth="1"/>
    <col min="4" max="4" width="6.6640625" customWidth="1"/>
    <col min="5" max="5" width="6.5546875" customWidth="1"/>
    <col min="6" max="7" width="6" customWidth="1"/>
    <col min="8" max="8" width="5.88671875" customWidth="1"/>
    <col min="9" max="10" width="5.33203125" customWidth="1"/>
    <col min="11" max="11" width="5" customWidth="1"/>
    <col min="12" max="12" width="5.109375" customWidth="1"/>
    <col min="13" max="14" width="5.33203125" customWidth="1"/>
    <col min="15" max="15" width="12.88671875" customWidth="1"/>
    <col min="16" max="16" width="13.33203125" customWidth="1"/>
    <col min="17" max="17" width="15.6640625" customWidth="1"/>
    <col min="18" max="18" width="21.6640625" customWidth="1"/>
    <col min="19" max="19" width="37.44140625" customWidth="1"/>
    <col min="20" max="20" width="27.5546875" customWidth="1"/>
    <col min="21" max="21" width="16.44140625" customWidth="1"/>
    <col min="22" max="22" width="21.5546875" customWidth="1"/>
    <col min="23" max="23" width="30.6640625" customWidth="1"/>
    <col min="24" max="24" width="16.109375" customWidth="1"/>
    <col min="25" max="26" width="8.6640625" customWidth="1"/>
    <col min="27" max="27" width="17" customWidth="1"/>
    <col min="28" max="28" width="47.5546875" customWidth="1"/>
  </cols>
  <sheetData>
    <row r="1" spans="1:28" ht="14.4">
      <c r="A1" s="1" t="s">
        <v>0</v>
      </c>
      <c r="B1" s="2" t="s">
        <v>1</v>
      </c>
      <c r="C1" s="2" t="s">
        <v>2</v>
      </c>
      <c r="D1" s="1">
        <v>2010</v>
      </c>
      <c r="E1" s="1">
        <v>2011</v>
      </c>
      <c r="F1" s="1">
        <v>2012</v>
      </c>
      <c r="G1" s="1">
        <v>2013</v>
      </c>
      <c r="H1" s="1">
        <v>2014</v>
      </c>
      <c r="I1" s="1">
        <v>2015</v>
      </c>
      <c r="J1" s="1">
        <v>2016</v>
      </c>
      <c r="K1" s="1">
        <v>2017</v>
      </c>
      <c r="L1" s="1">
        <v>2018</v>
      </c>
      <c r="M1" s="1">
        <v>2019</v>
      </c>
      <c r="N1" s="229">
        <v>2020</v>
      </c>
      <c r="O1" s="116" t="s">
        <v>3</v>
      </c>
      <c r="P1" s="116" t="s">
        <v>199</v>
      </c>
      <c r="Q1" s="116" t="s">
        <v>573</v>
      </c>
      <c r="R1" s="85" t="s">
        <v>5</v>
      </c>
      <c r="S1" s="1" t="s">
        <v>6</v>
      </c>
      <c r="T1" s="1" t="s">
        <v>574</v>
      </c>
      <c r="U1" s="1" t="s">
        <v>7</v>
      </c>
      <c r="V1" s="1" t="s">
        <v>8</v>
      </c>
      <c r="W1" s="1" t="s">
        <v>9</v>
      </c>
      <c r="X1" s="1" t="s">
        <v>10</v>
      </c>
      <c r="Y1" s="85" t="s">
        <v>11</v>
      </c>
      <c r="Z1" s="117" t="s">
        <v>12</v>
      </c>
      <c r="AA1" s="189" t="s">
        <v>740</v>
      </c>
      <c r="AB1" s="189" t="s">
        <v>741</v>
      </c>
    </row>
    <row r="2" spans="1:28" ht="14.4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0">
        <v>120</v>
      </c>
      <c r="G2" s="10">
        <v>50</v>
      </c>
      <c r="H2" s="10">
        <v>50</v>
      </c>
      <c r="I2" s="10">
        <v>50</v>
      </c>
      <c r="J2" s="10">
        <v>50</v>
      </c>
      <c r="K2" s="10"/>
      <c r="L2" s="25"/>
      <c r="M2" s="214">
        <v>50</v>
      </c>
      <c r="N2" s="18">
        <v>50</v>
      </c>
      <c r="O2" s="190">
        <v>40316</v>
      </c>
      <c r="P2" s="11">
        <v>40229</v>
      </c>
      <c r="Q2" s="11">
        <v>43951</v>
      </c>
      <c r="R2" s="8" t="s">
        <v>575</v>
      </c>
      <c r="S2" s="12" t="s">
        <v>16</v>
      </c>
      <c r="T2" s="12" t="s">
        <v>17</v>
      </c>
      <c r="U2" s="10">
        <v>502534510</v>
      </c>
      <c r="V2" s="10" t="s">
        <v>18</v>
      </c>
      <c r="W2" s="43" t="s">
        <v>19</v>
      </c>
      <c r="X2" s="10" t="s">
        <v>20</v>
      </c>
      <c r="Y2" s="45">
        <v>2</v>
      </c>
      <c r="Z2" s="40" t="s">
        <v>200</v>
      </c>
      <c r="AA2" s="22"/>
      <c r="AB2" s="22"/>
    </row>
    <row r="3" spans="1:28" ht="14.4">
      <c r="A3" s="8">
        <v>2</v>
      </c>
      <c r="B3" s="23" t="s">
        <v>21</v>
      </c>
      <c r="C3" s="23" t="s">
        <v>22</v>
      </c>
      <c r="D3" s="136">
        <v>120</v>
      </c>
      <c r="E3" s="136">
        <v>120</v>
      </c>
      <c r="F3" s="136">
        <v>120</v>
      </c>
      <c r="G3" s="136">
        <v>50</v>
      </c>
      <c r="H3" s="136">
        <v>50</v>
      </c>
      <c r="I3" s="136">
        <v>50</v>
      </c>
      <c r="J3" s="136">
        <v>50</v>
      </c>
      <c r="K3" s="136">
        <v>50</v>
      </c>
      <c r="L3" s="136">
        <v>50</v>
      </c>
      <c r="M3" s="215">
        <v>50</v>
      </c>
      <c r="N3" s="10">
        <v>50</v>
      </c>
      <c r="O3" s="216">
        <v>40316</v>
      </c>
      <c r="P3" s="137">
        <v>40229</v>
      </c>
      <c r="Q3" s="137">
        <v>44043</v>
      </c>
      <c r="R3" s="8" t="s">
        <v>590</v>
      </c>
      <c r="S3" s="27" t="s">
        <v>1165</v>
      </c>
      <c r="T3" s="27" t="s">
        <v>1166</v>
      </c>
      <c r="U3" s="25">
        <v>605230859</v>
      </c>
      <c r="V3" s="25" t="s">
        <v>26</v>
      </c>
      <c r="W3" s="138" t="s">
        <v>27</v>
      </c>
      <c r="X3" s="136" t="s">
        <v>28</v>
      </c>
      <c r="Y3" s="139">
        <v>3</v>
      </c>
      <c r="Z3" s="201" t="s">
        <v>412</v>
      </c>
      <c r="AA3" s="20"/>
      <c r="AB3" s="20"/>
    </row>
    <row r="4" spans="1:28" ht="14.4">
      <c r="A4" s="8">
        <v>3</v>
      </c>
      <c r="B4" s="9" t="s">
        <v>35</v>
      </c>
      <c r="C4" s="9" t="s">
        <v>36</v>
      </c>
      <c r="D4" s="10">
        <v>120</v>
      </c>
      <c r="E4" s="10">
        <v>120</v>
      </c>
      <c r="F4" s="10">
        <v>120</v>
      </c>
      <c r="G4" s="10">
        <v>50</v>
      </c>
      <c r="H4" s="10">
        <v>100</v>
      </c>
      <c r="I4" s="10">
        <v>50</v>
      </c>
      <c r="J4" s="10">
        <v>50</v>
      </c>
      <c r="K4" s="10"/>
      <c r="L4" s="10">
        <v>50</v>
      </c>
      <c r="M4" s="215">
        <v>50</v>
      </c>
      <c r="N4" s="10">
        <v>50</v>
      </c>
      <c r="O4" s="190">
        <v>40316</v>
      </c>
      <c r="P4" s="11">
        <v>40229</v>
      </c>
      <c r="Q4" s="11">
        <v>44006</v>
      </c>
      <c r="R4" s="8" t="s">
        <v>57</v>
      </c>
      <c r="S4" s="12" t="s">
        <v>37</v>
      </c>
      <c r="T4" s="12" t="s">
        <v>38</v>
      </c>
      <c r="U4" s="10">
        <v>608666164</v>
      </c>
      <c r="V4" s="10" t="s">
        <v>39</v>
      </c>
      <c r="W4" s="141" t="s">
        <v>577</v>
      </c>
      <c r="X4" s="10" t="s">
        <v>41</v>
      </c>
      <c r="Y4" s="45">
        <v>4</v>
      </c>
      <c r="Z4" s="201" t="s">
        <v>200</v>
      </c>
      <c r="AA4" s="20"/>
      <c r="AB4" s="20"/>
    </row>
    <row r="5" spans="1:28" ht="14.4">
      <c r="A5" s="8">
        <v>4</v>
      </c>
      <c r="B5" s="9" t="s">
        <v>42</v>
      </c>
      <c r="C5" s="9" t="s">
        <v>36</v>
      </c>
      <c r="D5" s="10">
        <v>120</v>
      </c>
      <c r="E5" s="10">
        <v>120</v>
      </c>
      <c r="F5" s="10">
        <v>120</v>
      </c>
      <c r="G5" s="10">
        <v>50</v>
      </c>
      <c r="H5" s="10">
        <v>50</v>
      </c>
      <c r="I5" s="10">
        <v>100</v>
      </c>
      <c r="J5" s="10">
        <v>50</v>
      </c>
      <c r="K5" s="10">
        <v>50</v>
      </c>
      <c r="L5" s="10">
        <v>50</v>
      </c>
      <c r="M5" s="215">
        <v>50</v>
      </c>
      <c r="N5" s="10">
        <v>50</v>
      </c>
      <c r="O5" s="190">
        <v>40316</v>
      </c>
      <c r="P5" s="11">
        <v>40229</v>
      </c>
      <c r="Q5" s="11">
        <v>44006</v>
      </c>
      <c r="R5" s="8" t="s">
        <v>136</v>
      </c>
      <c r="S5" s="12" t="s">
        <v>44</v>
      </c>
      <c r="T5" s="12" t="s">
        <v>45</v>
      </c>
      <c r="U5" s="8">
        <v>608666170</v>
      </c>
      <c r="V5" s="71" t="s">
        <v>46</v>
      </c>
      <c r="W5" s="20" t="s">
        <v>742</v>
      </c>
      <c r="X5" s="56" t="s">
        <v>32</v>
      </c>
      <c r="Y5" s="45">
        <v>6</v>
      </c>
      <c r="Z5" s="201" t="s">
        <v>412</v>
      </c>
      <c r="AA5" s="20"/>
      <c r="AB5" s="20"/>
    </row>
    <row r="6" spans="1:28" ht="14.4">
      <c r="A6" s="8">
        <v>5</v>
      </c>
      <c r="B6" s="9" t="s">
        <v>141</v>
      </c>
      <c r="C6" s="9" t="s">
        <v>169</v>
      </c>
      <c r="D6" s="10">
        <v>30</v>
      </c>
      <c r="E6" s="10">
        <v>120</v>
      </c>
      <c r="F6" s="10">
        <v>120</v>
      </c>
      <c r="G6" s="10">
        <v>50</v>
      </c>
      <c r="H6" s="10">
        <v>50</v>
      </c>
      <c r="I6" s="10">
        <v>50</v>
      </c>
      <c r="J6" s="10">
        <v>50</v>
      </c>
      <c r="K6" s="10">
        <v>50</v>
      </c>
      <c r="L6" s="10"/>
      <c r="M6" s="58">
        <v>50</v>
      </c>
      <c r="N6" s="10"/>
      <c r="O6" s="190">
        <v>40459</v>
      </c>
      <c r="P6" s="11">
        <v>40460</v>
      </c>
      <c r="Q6" s="11">
        <v>43626</v>
      </c>
      <c r="R6" s="8" t="s">
        <v>43</v>
      </c>
      <c r="S6" s="12" t="s">
        <v>171</v>
      </c>
      <c r="T6" s="12" t="s">
        <v>172</v>
      </c>
      <c r="U6" s="10">
        <v>793406015</v>
      </c>
      <c r="V6" s="58" t="s">
        <v>173</v>
      </c>
      <c r="W6" s="20" t="s">
        <v>579</v>
      </c>
      <c r="X6" s="56" t="s">
        <v>32</v>
      </c>
      <c r="Y6" s="45">
        <v>5</v>
      </c>
      <c r="Z6" s="202"/>
      <c r="AA6" s="20"/>
      <c r="AB6" s="20"/>
    </row>
    <row r="7" spans="1:28" ht="14.4">
      <c r="A7" s="8">
        <v>6</v>
      </c>
      <c r="B7" s="9" t="s">
        <v>55</v>
      </c>
      <c r="C7" s="9" t="s">
        <v>63</v>
      </c>
      <c r="D7" s="10">
        <v>120</v>
      </c>
      <c r="E7" s="10">
        <v>120</v>
      </c>
      <c r="F7" s="10">
        <v>120</v>
      </c>
      <c r="G7" s="10">
        <v>50</v>
      </c>
      <c r="H7" s="10">
        <v>100</v>
      </c>
      <c r="I7" s="10">
        <v>100</v>
      </c>
      <c r="J7" s="10">
        <v>100</v>
      </c>
      <c r="K7" s="10">
        <v>100</v>
      </c>
      <c r="L7" s="10">
        <v>50</v>
      </c>
      <c r="M7" s="58"/>
      <c r="N7" s="18">
        <v>50</v>
      </c>
      <c r="O7" s="190">
        <v>40316</v>
      </c>
      <c r="P7" s="11">
        <v>40229</v>
      </c>
      <c r="Q7" s="19">
        <v>43875</v>
      </c>
      <c r="R7" s="8" t="s">
        <v>43</v>
      </c>
      <c r="S7" s="18" t="s">
        <v>991</v>
      </c>
      <c r="T7" s="108" t="s">
        <v>992</v>
      </c>
      <c r="U7" s="8">
        <v>600118375</v>
      </c>
      <c r="V7" s="8" t="s">
        <v>67</v>
      </c>
      <c r="W7" s="138" t="s">
        <v>68</v>
      </c>
      <c r="X7" s="10" t="s">
        <v>32</v>
      </c>
      <c r="Y7" s="45">
        <v>8</v>
      </c>
      <c r="Z7" s="201" t="s">
        <v>412</v>
      </c>
      <c r="AA7" s="20"/>
      <c r="AB7" s="20"/>
    </row>
    <row r="8" spans="1:28" ht="14.4">
      <c r="A8" s="8">
        <v>7</v>
      </c>
      <c r="B8" s="9" t="s">
        <v>42</v>
      </c>
      <c r="C8" s="9" t="s">
        <v>69</v>
      </c>
      <c r="D8" s="10">
        <v>120</v>
      </c>
      <c r="E8" s="10">
        <v>150</v>
      </c>
      <c r="F8" s="10">
        <v>120</v>
      </c>
      <c r="G8" s="10">
        <v>50</v>
      </c>
      <c r="H8" s="10">
        <v>50</v>
      </c>
      <c r="I8" s="10">
        <v>50</v>
      </c>
      <c r="J8" s="10">
        <v>50</v>
      </c>
      <c r="K8" s="10">
        <v>50</v>
      </c>
      <c r="L8" s="10">
        <v>50</v>
      </c>
      <c r="M8" s="58">
        <v>50</v>
      </c>
      <c r="N8" s="18">
        <v>50</v>
      </c>
      <c r="O8" s="190">
        <v>40316</v>
      </c>
      <c r="P8" s="11">
        <v>40229</v>
      </c>
      <c r="Q8" s="11">
        <v>43873</v>
      </c>
      <c r="R8" s="8" t="s">
        <v>150</v>
      </c>
      <c r="S8" s="25" t="s">
        <v>71</v>
      </c>
      <c r="T8" s="12" t="s">
        <v>72</v>
      </c>
      <c r="U8" s="10">
        <v>603628256</v>
      </c>
      <c r="V8" s="10" t="s">
        <v>73</v>
      </c>
      <c r="W8" s="45" t="s">
        <v>74</v>
      </c>
      <c r="X8" s="10" t="s">
        <v>75</v>
      </c>
      <c r="Y8" s="45">
        <v>7</v>
      </c>
      <c r="Z8" s="201" t="s">
        <v>200</v>
      </c>
      <c r="AA8" s="20"/>
      <c r="AB8" s="20"/>
    </row>
    <row r="9" spans="1:28" ht="14.4">
      <c r="A9" s="8">
        <v>8</v>
      </c>
      <c r="B9" s="9" t="s">
        <v>88</v>
      </c>
      <c r="C9" s="9" t="s">
        <v>89</v>
      </c>
      <c r="D9" s="10">
        <v>120</v>
      </c>
      <c r="E9" s="10">
        <v>120</v>
      </c>
      <c r="F9" s="10">
        <v>120</v>
      </c>
      <c r="G9" s="10">
        <v>50</v>
      </c>
      <c r="H9" s="10">
        <v>200</v>
      </c>
      <c r="I9" s="10">
        <v>100</v>
      </c>
      <c r="J9" s="10">
        <v>100</v>
      </c>
      <c r="K9" s="10">
        <v>200</v>
      </c>
      <c r="L9" s="10">
        <v>200</v>
      </c>
      <c r="M9" s="58">
        <v>200</v>
      </c>
      <c r="N9" s="10">
        <v>200</v>
      </c>
      <c r="O9" s="190">
        <v>40316</v>
      </c>
      <c r="P9" s="11">
        <v>40229</v>
      </c>
      <c r="Q9" s="67">
        <v>43920</v>
      </c>
      <c r="R9" s="71" t="s">
        <v>43</v>
      </c>
      <c r="S9" s="10" t="s">
        <v>90</v>
      </c>
      <c r="T9" s="57" t="s">
        <v>91</v>
      </c>
      <c r="U9" s="10" t="s">
        <v>584</v>
      </c>
      <c r="V9" s="10" t="s">
        <v>92</v>
      </c>
      <c r="W9" s="141" t="s">
        <v>585</v>
      </c>
      <c r="X9" s="10">
        <v>48223783633</v>
      </c>
      <c r="Y9" s="45">
        <v>10</v>
      </c>
      <c r="Z9" s="202"/>
      <c r="AA9" s="20"/>
      <c r="AB9" s="20"/>
    </row>
    <row r="10" spans="1:28" ht="14.4">
      <c r="A10" s="8">
        <v>9</v>
      </c>
      <c r="B10" s="9" t="s">
        <v>94</v>
      </c>
      <c r="C10" s="9" t="s">
        <v>95</v>
      </c>
      <c r="D10" s="10">
        <v>60</v>
      </c>
      <c r="E10" s="10">
        <v>60</v>
      </c>
      <c r="F10" s="10">
        <v>120</v>
      </c>
      <c r="G10" s="10">
        <v>50</v>
      </c>
      <c r="H10" s="10">
        <v>50</v>
      </c>
      <c r="I10" s="10">
        <v>50</v>
      </c>
      <c r="J10" s="10">
        <v>50</v>
      </c>
      <c r="K10" s="10">
        <v>50</v>
      </c>
      <c r="L10" s="10">
        <v>50</v>
      </c>
      <c r="M10" s="58">
        <v>50</v>
      </c>
      <c r="N10" s="18">
        <v>50</v>
      </c>
      <c r="O10" s="190">
        <v>40316</v>
      </c>
      <c r="P10" s="11">
        <v>40229</v>
      </c>
      <c r="Q10" s="11">
        <v>43965</v>
      </c>
      <c r="R10" s="8" t="s">
        <v>578</v>
      </c>
      <c r="S10" s="27" t="s">
        <v>96</v>
      </c>
      <c r="T10" s="12" t="s">
        <v>97</v>
      </c>
      <c r="U10" s="10">
        <v>514474608</v>
      </c>
      <c r="V10" s="10" t="s">
        <v>98</v>
      </c>
      <c r="W10" s="45" t="s">
        <v>99</v>
      </c>
      <c r="X10" s="10" t="s">
        <v>100</v>
      </c>
      <c r="Y10" s="45">
        <v>9</v>
      </c>
      <c r="Z10" s="201" t="s">
        <v>686</v>
      </c>
      <c r="AA10" s="20"/>
      <c r="AB10" s="20"/>
    </row>
    <row r="11" spans="1:28" ht="14.4">
      <c r="A11" s="8">
        <v>10</v>
      </c>
      <c r="B11" s="9" t="s">
        <v>108</v>
      </c>
      <c r="C11" s="9" t="s">
        <v>109</v>
      </c>
      <c r="D11" s="10">
        <v>120</v>
      </c>
      <c r="E11" s="10">
        <v>120</v>
      </c>
      <c r="F11" s="10">
        <v>120</v>
      </c>
      <c r="G11" s="10"/>
      <c r="H11" s="10">
        <v>50</v>
      </c>
      <c r="I11" s="10"/>
      <c r="J11" s="10"/>
      <c r="K11" s="10"/>
      <c r="L11" s="10"/>
      <c r="M11" s="63">
        <v>50</v>
      </c>
      <c r="N11" s="167">
        <v>50</v>
      </c>
      <c r="O11" s="190">
        <v>40316</v>
      </c>
      <c r="P11" s="11">
        <v>40229</v>
      </c>
      <c r="Q11" s="11">
        <v>44077</v>
      </c>
      <c r="R11" s="8" t="s">
        <v>43</v>
      </c>
      <c r="S11" s="27" t="s">
        <v>111</v>
      </c>
      <c r="T11" s="12" t="s">
        <v>112</v>
      </c>
      <c r="U11" s="10">
        <v>721696982</v>
      </c>
      <c r="V11" s="10" t="s">
        <v>113</v>
      </c>
      <c r="W11" s="45" t="s">
        <v>587</v>
      </c>
      <c r="X11" s="10" t="s">
        <v>115</v>
      </c>
      <c r="Y11" s="45">
        <v>26</v>
      </c>
      <c r="Z11" s="58"/>
      <c r="AA11" s="20"/>
      <c r="AB11" s="20"/>
    </row>
    <row r="12" spans="1:28" ht="14.4">
      <c r="A12" s="8">
        <v>11</v>
      </c>
      <c r="B12" s="9" t="s">
        <v>101</v>
      </c>
      <c r="C12" s="9" t="s">
        <v>102</v>
      </c>
      <c r="D12" s="10">
        <v>120</v>
      </c>
      <c r="E12" s="10">
        <v>120</v>
      </c>
      <c r="F12" s="10">
        <v>120</v>
      </c>
      <c r="G12" s="10">
        <v>120</v>
      </c>
      <c r="H12" s="10">
        <v>100</v>
      </c>
      <c r="I12" s="10">
        <v>100</v>
      </c>
      <c r="J12" s="10">
        <v>100</v>
      </c>
      <c r="K12" s="10">
        <v>100</v>
      </c>
      <c r="L12" s="10">
        <v>100</v>
      </c>
      <c r="M12" s="63">
        <v>100</v>
      </c>
      <c r="N12" s="10">
        <v>100</v>
      </c>
      <c r="O12" s="190">
        <v>40316</v>
      </c>
      <c r="P12" s="11">
        <v>40229</v>
      </c>
      <c r="Q12" s="11">
        <v>43805</v>
      </c>
      <c r="R12" s="8" t="s">
        <v>64</v>
      </c>
      <c r="S12" s="12" t="s">
        <v>103</v>
      </c>
      <c r="T12" s="12" t="s">
        <v>104</v>
      </c>
      <c r="U12" s="10">
        <v>501228703</v>
      </c>
      <c r="V12" s="10" t="s">
        <v>105</v>
      </c>
      <c r="W12" s="43" t="s">
        <v>106</v>
      </c>
      <c r="X12" s="10" t="s">
        <v>107</v>
      </c>
      <c r="Y12" s="45">
        <v>21</v>
      </c>
      <c r="Z12" s="201" t="s">
        <v>412</v>
      </c>
      <c r="AA12" s="20"/>
      <c r="AB12" s="20"/>
    </row>
    <row r="13" spans="1:28" ht="14.4">
      <c r="A13" s="8">
        <v>12</v>
      </c>
      <c r="B13" s="9" t="s">
        <v>188</v>
      </c>
      <c r="C13" s="9" t="s">
        <v>223</v>
      </c>
      <c r="D13" s="149"/>
      <c r="E13" s="10">
        <v>120</v>
      </c>
      <c r="F13" s="10">
        <v>120</v>
      </c>
      <c r="G13" s="10">
        <v>50</v>
      </c>
      <c r="H13" s="10"/>
      <c r="I13" s="10">
        <v>50</v>
      </c>
      <c r="J13" s="63">
        <v>50</v>
      </c>
      <c r="K13" s="26"/>
      <c r="L13" s="63">
        <v>50</v>
      </c>
      <c r="M13" s="58"/>
      <c r="N13" s="10"/>
      <c r="O13" s="190">
        <v>40530</v>
      </c>
      <c r="P13" s="11">
        <v>40676</v>
      </c>
      <c r="Q13" s="11">
        <v>43147</v>
      </c>
      <c r="R13" s="8" t="s">
        <v>170</v>
      </c>
      <c r="S13" s="8" t="s">
        <v>224</v>
      </c>
      <c r="T13" s="12" t="s">
        <v>225</v>
      </c>
      <c r="U13" s="10">
        <v>793258511</v>
      </c>
      <c r="V13" s="10" t="s">
        <v>226</v>
      </c>
      <c r="W13" s="45" t="s">
        <v>227</v>
      </c>
      <c r="X13" s="10">
        <v>413003499</v>
      </c>
      <c r="Y13" s="45">
        <v>22</v>
      </c>
      <c r="Z13" s="201" t="s">
        <v>200</v>
      </c>
      <c r="AA13" s="20"/>
      <c r="AB13" s="20"/>
    </row>
    <row r="14" spans="1:28" ht="14.4">
      <c r="A14" s="8">
        <v>13</v>
      </c>
      <c r="B14" s="9" t="s">
        <v>188</v>
      </c>
      <c r="C14" s="9" t="s">
        <v>246</v>
      </c>
      <c r="D14" s="149"/>
      <c r="E14" s="10">
        <v>70</v>
      </c>
      <c r="F14" s="10">
        <v>120</v>
      </c>
      <c r="G14" s="10">
        <v>50</v>
      </c>
      <c r="H14" s="10">
        <v>50</v>
      </c>
      <c r="I14" s="217">
        <v>50</v>
      </c>
      <c r="J14" s="10"/>
      <c r="K14" s="10"/>
      <c r="L14" s="10"/>
      <c r="M14" s="58">
        <v>50</v>
      </c>
      <c r="N14" s="10"/>
      <c r="O14" s="190">
        <v>40737</v>
      </c>
      <c r="P14" s="11">
        <v>40731</v>
      </c>
      <c r="Q14" s="67">
        <v>43521</v>
      </c>
      <c r="R14" s="8" t="s">
        <v>170</v>
      </c>
      <c r="S14" s="8" t="s">
        <v>588</v>
      </c>
      <c r="T14" s="12" t="s">
        <v>589</v>
      </c>
      <c r="U14" s="10" t="s">
        <v>249</v>
      </c>
      <c r="V14" s="10"/>
      <c r="W14" s="45" t="s">
        <v>250</v>
      </c>
      <c r="X14" s="10"/>
      <c r="Y14" s="45">
        <v>43</v>
      </c>
      <c r="Z14" s="58"/>
      <c r="AA14" s="20"/>
      <c r="AB14" s="20"/>
    </row>
    <row r="15" spans="1:28" ht="14.4">
      <c r="A15" s="8">
        <v>14</v>
      </c>
      <c r="B15" s="9" t="s">
        <v>194</v>
      </c>
      <c r="C15" s="9" t="s">
        <v>234</v>
      </c>
      <c r="D15" s="149"/>
      <c r="E15" s="10">
        <v>30</v>
      </c>
      <c r="F15" s="10">
        <v>60</v>
      </c>
      <c r="G15" s="10">
        <v>50</v>
      </c>
      <c r="H15" s="10">
        <v>50</v>
      </c>
      <c r="I15" s="10"/>
      <c r="J15" s="136">
        <v>50</v>
      </c>
      <c r="K15" s="136"/>
      <c r="L15" s="215">
        <v>50</v>
      </c>
      <c r="M15" s="58"/>
      <c r="N15" s="10"/>
      <c r="O15" s="190">
        <v>40698</v>
      </c>
      <c r="P15" s="11">
        <v>40707</v>
      </c>
      <c r="Q15" s="11">
        <v>43395</v>
      </c>
      <c r="R15" s="8" t="s">
        <v>575</v>
      </c>
      <c r="S15" s="8" t="s">
        <v>235</v>
      </c>
      <c r="T15" s="12" t="s">
        <v>236</v>
      </c>
      <c r="U15" s="191">
        <v>519386163</v>
      </c>
      <c r="V15" s="10"/>
      <c r="W15" s="45" t="s">
        <v>238</v>
      </c>
      <c r="X15" s="10"/>
      <c r="Y15" s="45">
        <v>45</v>
      </c>
      <c r="Z15" s="201" t="s">
        <v>200</v>
      </c>
      <c r="AA15" s="20"/>
      <c r="AB15" s="20"/>
    </row>
    <row r="16" spans="1:28" ht="14.4">
      <c r="A16" s="8">
        <v>15</v>
      </c>
      <c r="B16" s="9" t="s">
        <v>217</v>
      </c>
      <c r="C16" s="9" t="s">
        <v>116</v>
      </c>
      <c r="D16" s="149"/>
      <c r="E16" s="10">
        <v>20</v>
      </c>
      <c r="F16" s="10">
        <v>100</v>
      </c>
      <c r="G16" s="10">
        <v>150</v>
      </c>
      <c r="H16" s="10">
        <v>50</v>
      </c>
      <c r="I16" s="10">
        <v>50</v>
      </c>
      <c r="J16" s="10">
        <v>150</v>
      </c>
      <c r="K16" s="10"/>
      <c r="L16" s="58"/>
      <c r="M16" s="58">
        <v>150</v>
      </c>
      <c r="N16" s="10"/>
      <c r="O16" s="190">
        <v>40847</v>
      </c>
      <c r="P16" s="11" t="s">
        <v>331</v>
      </c>
      <c r="Q16" s="11">
        <v>43475</v>
      </c>
      <c r="R16" s="8" t="s">
        <v>170</v>
      </c>
      <c r="S16" s="8" t="s">
        <v>332</v>
      </c>
      <c r="T16" s="12" t="s">
        <v>333</v>
      </c>
      <c r="U16" s="10">
        <v>504377500</v>
      </c>
      <c r="V16" s="10"/>
      <c r="W16" s="45" t="s">
        <v>334</v>
      </c>
      <c r="X16" s="10"/>
      <c r="Y16" s="45">
        <v>61</v>
      </c>
      <c r="Z16" s="202"/>
      <c r="AA16" s="20"/>
      <c r="AB16" s="20"/>
    </row>
    <row r="17" spans="1:28" ht="14.4">
      <c r="A17" s="8">
        <v>16</v>
      </c>
      <c r="B17" s="104" t="s">
        <v>401</v>
      </c>
      <c r="C17" s="95" t="s">
        <v>402</v>
      </c>
      <c r="D17" s="149"/>
      <c r="E17" s="149"/>
      <c r="F17" s="18">
        <v>25</v>
      </c>
      <c r="G17" s="18">
        <v>50</v>
      </c>
      <c r="H17" s="18">
        <v>50</v>
      </c>
      <c r="I17" s="10">
        <v>50</v>
      </c>
      <c r="J17" s="63">
        <v>50</v>
      </c>
      <c r="K17" s="10">
        <v>50</v>
      </c>
      <c r="L17" s="58">
        <v>50</v>
      </c>
      <c r="M17" s="58"/>
      <c r="N17" s="10"/>
      <c r="O17" s="176">
        <v>41137</v>
      </c>
      <c r="P17" s="99">
        <v>41137</v>
      </c>
      <c r="Q17" s="99">
        <v>43136</v>
      </c>
      <c r="R17" s="8" t="s">
        <v>110</v>
      </c>
      <c r="S17" s="91" t="s">
        <v>403</v>
      </c>
      <c r="T17" s="91" t="s">
        <v>404</v>
      </c>
      <c r="U17" s="18">
        <v>784918776</v>
      </c>
      <c r="V17" s="101" t="s">
        <v>405</v>
      </c>
      <c r="W17" s="104" t="s">
        <v>406</v>
      </c>
      <c r="X17" s="152"/>
      <c r="Y17" s="104">
        <v>73</v>
      </c>
      <c r="Z17" s="201" t="s">
        <v>200</v>
      </c>
      <c r="AA17" s="20"/>
      <c r="AB17" s="20"/>
    </row>
    <row r="18" spans="1:28" ht="14.4">
      <c r="A18" s="8">
        <v>17</v>
      </c>
      <c r="B18" s="104" t="s">
        <v>429</v>
      </c>
      <c r="C18" s="104" t="s">
        <v>430</v>
      </c>
      <c r="D18" s="154"/>
      <c r="E18" s="154"/>
      <c r="F18" s="154"/>
      <c r="G18" s="18">
        <v>50</v>
      </c>
      <c r="H18" s="18">
        <v>50</v>
      </c>
      <c r="I18" s="58">
        <v>50</v>
      </c>
      <c r="J18" s="58"/>
      <c r="K18" s="10"/>
      <c r="L18" s="55">
        <v>50</v>
      </c>
      <c r="M18" s="58">
        <v>50</v>
      </c>
      <c r="N18" s="10"/>
      <c r="O18" s="176">
        <v>41349</v>
      </c>
      <c r="P18" s="99">
        <v>41354</v>
      </c>
      <c r="Q18" s="99">
        <v>43187</v>
      </c>
      <c r="R18" s="8" t="s">
        <v>170</v>
      </c>
      <c r="S18" s="18" t="s">
        <v>595</v>
      </c>
      <c r="T18" s="18" t="s">
        <v>596</v>
      </c>
      <c r="U18" s="18">
        <v>512180992</v>
      </c>
      <c r="V18" s="105"/>
      <c r="W18" s="104" t="s">
        <v>433</v>
      </c>
      <c r="X18" s="102"/>
      <c r="Y18" s="156">
        <v>79</v>
      </c>
      <c r="Z18" s="203"/>
      <c r="AA18" s="20"/>
      <c r="AB18" s="20" t="s">
        <v>823</v>
      </c>
    </row>
    <row r="19" spans="1:28" ht="14.4">
      <c r="A19" s="8">
        <v>18</v>
      </c>
      <c r="B19" s="104" t="s">
        <v>438</v>
      </c>
      <c r="C19" s="104" t="s">
        <v>95</v>
      </c>
      <c r="D19" s="154"/>
      <c r="E19" s="154"/>
      <c r="F19" s="154"/>
      <c r="G19" s="18">
        <v>50</v>
      </c>
      <c r="H19" s="18">
        <v>50</v>
      </c>
      <c r="I19" s="101">
        <v>50</v>
      </c>
      <c r="J19" s="18">
        <v>50</v>
      </c>
      <c r="K19" s="152">
        <v>50</v>
      </c>
      <c r="L19" s="218">
        <v>50</v>
      </c>
      <c r="M19" s="101">
        <v>50</v>
      </c>
      <c r="N19" s="18">
        <v>50</v>
      </c>
      <c r="O19" s="177">
        <v>41352</v>
      </c>
      <c r="P19" s="99">
        <v>41358</v>
      </c>
      <c r="Q19" s="11">
        <v>43969</v>
      </c>
      <c r="R19" s="8" t="s">
        <v>170</v>
      </c>
      <c r="S19" s="18" t="s">
        <v>439</v>
      </c>
      <c r="T19" s="18" t="s">
        <v>97</v>
      </c>
      <c r="U19" s="18">
        <v>510639087</v>
      </c>
      <c r="V19" s="105"/>
      <c r="W19" s="104" t="s">
        <v>440</v>
      </c>
      <c r="X19" s="102"/>
      <c r="Y19" s="156">
        <v>82</v>
      </c>
      <c r="Z19" s="40" t="s">
        <v>200</v>
      </c>
      <c r="AA19" s="20"/>
      <c r="AB19" s="20"/>
    </row>
    <row r="20" spans="1:28" ht="14.4">
      <c r="A20" s="8">
        <v>19</v>
      </c>
      <c r="B20" s="104" t="s">
        <v>441</v>
      </c>
      <c r="C20" s="104" t="s">
        <v>442</v>
      </c>
      <c r="D20" s="154"/>
      <c r="E20" s="154"/>
      <c r="F20" s="154"/>
      <c r="G20" s="18">
        <v>50</v>
      </c>
      <c r="H20" s="18">
        <v>50</v>
      </c>
      <c r="I20" s="101">
        <v>50</v>
      </c>
      <c r="J20" s="18">
        <v>100</v>
      </c>
      <c r="K20" s="152">
        <v>100</v>
      </c>
      <c r="L20" s="218">
        <v>50</v>
      </c>
      <c r="M20" s="101">
        <v>100</v>
      </c>
      <c r="N20" s="18">
        <v>100</v>
      </c>
      <c r="O20" s="177">
        <v>41354</v>
      </c>
      <c r="P20" s="99">
        <v>41354</v>
      </c>
      <c r="Q20" s="99">
        <v>43845</v>
      </c>
      <c r="R20" s="8" t="s">
        <v>170</v>
      </c>
      <c r="S20" s="18" t="s">
        <v>443</v>
      </c>
      <c r="T20" s="18" t="s">
        <v>444</v>
      </c>
      <c r="U20" s="18">
        <v>607777011</v>
      </c>
      <c r="V20" s="105"/>
      <c r="W20" s="104" t="s">
        <v>445</v>
      </c>
      <c r="X20" s="102"/>
      <c r="Y20" s="156">
        <v>83</v>
      </c>
      <c r="Z20" s="201" t="s">
        <v>412</v>
      </c>
      <c r="AA20" s="20"/>
      <c r="AB20" s="20"/>
    </row>
    <row r="21" spans="1:28" ht="15.75" customHeight="1">
      <c r="A21" s="8">
        <v>20</v>
      </c>
      <c r="B21" s="104" t="s">
        <v>134</v>
      </c>
      <c r="C21" s="104" t="s">
        <v>461</v>
      </c>
      <c r="D21" s="159"/>
      <c r="E21" s="159"/>
      <c r="F21" s="159"/>
      <c r="G21" s="18">
        <v>50</v>
      </c>
      <c r="H21" s="18">
        <v>50</v>
      </c>
      <c r="I21" s="101">
        <v>50</v>
      </c>
      <c r="J21" s="18">
        <v>50</v>
      </c>
      <c r="K21" s="152">
        <v>50</v>
      </c>
      <c r="L21" s="218">
        <v>50</v>
      </c>
      <c r="M21" s="101">
        <v>50</v>
      </c>
      <c r="N21" s="18">
        <v>50</v>
      </c>
      <c r="O21" s="176">
        <v>41407</v>
      </c>
      <c r="P21" s="99">
        <v>41404</v>
      </c>
      <c r="Q21" s="99">
        <v>43892</v>
      </c>
      <c r="R21" s="8" t="s">
        <v>50</v>
      </c>
      <c r="S21" s="18" t="s">
        <v>462</v>
      </c>
      <c r="T21" s="18" t="s">
        <v>463</v>
      </c>
      <c r="U21" s="104"/>
      <c r="V21" s="105"/>
      <c r="W21" s="104" t="s">
        <v>464</v>
      </c>
      <c r="X21" s="102"/>
      <c r="Y21" s="156">
        <v>88</v>
      </c>
      <c r="Z21" s="201" t="s">
        <v>412</v>
      </c>
      <c r="AA21" s="20"/>
      <c r="AB21" s="20"/>
    </row>
    <row r="22" spans="1:28" ht="15.75" customHeight="1">
      <c r="A22" s="8">
        <v>21</v>
      </c>
      <c r="B22" s="104" t="s">
        <v>492</v>
      </c>
      <c r="C22" s="104" t="s">
        <v>493</v>
      </c>
      <c r="D22" s="159"/>
      <c r="E22" s="159"/>
      <c r="F22" s="159"/>
      <c r="G22" s="18">
        <v>50</v>
      </c>
      <c r="H22" s="18">
        <v>50</v>
      </c>
      <c r="I22" s="219">
        <v>50</v>
      </c>
      <c r="J22" s="151">
        <v>50</v>
      </c>
      <c r="K22" s="220">
        <v>50</v>
      </c>
      <c r="L22" s="221">
        <v>50</v>
      </c>
      <c r="M22" s="219">
        <v>50</v>
      </c>
      <c r="N22" s="18">
        <v>50</v>
      </c>
      <c r="O22" s="176">
        <v>41598</v>
      </c>
      <c r="P22" s="99">
        <v>41599</v>
      </c>
      <c r="Q22" s="99">
        <v>43864</v>
      </c>
      <c r="R22" s="18" t="s">
        <v>170</v>
      </c>
      <c r="S22" s="222" t="s">
        <v>494</v>
      </c>
      <c r="T22" s="222" t="s">
        <v>495</v>
      </c>
      <c r="U22" s="222">
        <v>692434393</v>
      </c>
      <c r="V22" s="105"/>
      <c r="W22" s="104" t="s">
        <v>496</v>
      </c>
      <c r="X22" s="102"/>
      <c r="Y22" s="160">
        <v>95</v>
      </c>
      <c r="Z22" s="203"/>
      <c r="AA22" s="20"/>
      <c r="AB22" s="20"/>
    </row>
    <row r="23" spans="1:28" ht="15.75" customHeight="1">
      <c r="A23" s="8">
        <v>22</v>
      </c>
      <c r="B23" s="97" t="s">
        <v>188</v>
      </c>
      <c r="C23" s="97" t="s">
        <v>14</v>
      </c>
      <c r="D23" s="163"/>
      <c r="E23" s="163"/>
      <c r="F23" s="163"/>
      <c r="G23" s="91">
        <v>50</v>
      </c>
      <c r="H23" s="91">
        <v>50</v>
      </c>
      <c r="I23" s="101">
        <v>50</v>
      </c>
      <c r="J23" s="18">
        <v>50</v>
      </c>
      <c r="K23" s="21"/>
      <c r="L23" s="20"/>
      <c r="M23" s="209">
        <v>50</v>
      </c>
      <c r="N23" s="18">
        <v>50</v>
      </c>
      <c r="O23" s="175">
        <v>41517</v>
      </c>
      <c r="P23" s="92">
        <v>41738</v>
      </c>
      <c r="Q23" s="11">
        <v>43951</v>
      </c>
      <c r="R23" s="18" t="s">
        <v>575</v>
      </c>
      <c r="S23" s="223" t="s">
        <v>16</v>
      </c>
      <c r="T23" s="223" t="s">
        <v>17</v>
      </c>
      <c r="U23" s="94">
        <v>514575915</v>
      </c>
      <c r="V23" s="104"/>
      <c r="W23" s="87" t="s">
        <v>600</v>
      </c>
      <c r="X23" s="97"/>
      <c r="Y23" s="97">
        <v>102</v>
      </c>
      <c r="Z23" s="224" t="s">
        <v>200</v>
      </c>
      <c r="AA23" s="20"/>
      <c r="AB23" s="20"/>
    </row>
    <row r="24" spans="1:28" ht="15.75" customHeight="1">
      <c r="A24" s="8">
        <v>23</v>
      </c>
      <c r="B24" s="104" t="s">
        <v>429</v>
      </c>
      <c r="C24" s="104" t="s">
        <v>564</v>
      </c>
      <c r="D24" s="159"/>
      <c r="E24" s="159"/>
      <c r="F24" s="159"/>
      <c r="G24" s="159"/>
      <c r="H24" s="18">
        <v>50</v>
      </c>
      <c r="I24" s="101">
        <v>50</v>
      </c>
      <c r="J24" s="18">
        <v>50</v>
      </c>
      <c r="K24" s="152"/>
      <c r="L24" s="55"/>
      <c r="M24" s="58">
        <v>50</v>
      </c>
      <c r="N24" s="10">
        <v>50</v>
      </c>
      <c r="O24" s="177">
        <v>41984</v>
      </c>
      <c r="P24" s="106">
        <v>41984</v>
      </c>
      <c r="Q24" s="106">
        <v>43832</v>
      </c>
      <c r="R24" s="8" t="s">
        <v>170</v>
      </c>
      <c r="S24" s="18" t="s">
        <v>565</v>
      </c>
      <c r="T24" s="18" t="s">
        <v>566</v>
      </c>
      <c r="U24" s="39">
        <v>604434095</v>
      </c>
      <c r="V24" s="167" t="s">
        <v>993</v>
      </c>
      <c r="W24" s="104" t="s">
        <v>567</v>
      </c>
      <c r="X24" s="104"/>
      <c r="Y24" s="104">
        <v>112</v>
      </c>
      <c r="Z24" s="103"/>
      <c r="AA24" s="20"/>
      <c r="AB24" s="20"/>
    </row>
    <row r="25" spans="1:28" ht="15.75" customHeight="1">
      <c r="A25" s="8">
        <v>24</v>
      </c>
      <c r="B25" s="20" t="s">
        <v>481</v>
      </c>
      <c r="C25" s="20" t="s">
        <v>548</v>
      </c>
      <c r="D25" s="159"/>
      <c r="E25" s="159"/>
      <c r="F25" s="159"/>
      <c r="G25" s="159"/>
      <c r="H25" s="209">
        <v>50</v>
      </c>
      <c r="I25" s="209">
        <v>50</v>
      </c>
      <c r="J25" s="204">
        <v>50</v>
      </c>
      <c r="K25" s="20"/>
      <c r="L25" s="204">
        <v>50</v>
      </c>
      <c r="M25" s="209">
        <v>50</v>
      </c>
      <c r="N25" s="167"/>
      <c r="O25" s="176">
        <v>41896</v>
      </c>
      <c r="P25" s="99">
        <v>41899</v>
      </c>
      <c r="Q25" s="169">
        <v>43648</v>
      </c>
      <c r="R25" s="8" t="s">
        <v>170</v>
      </c>
      <c r="S25" s="167" t="s">
        <v>869</v>
      </c>
      <c r="T25" s="167" t="s">
        <v>550</v>
      </c>
      <c r="U25" s="108">
        <v>604235534</v>
      </c>
      <c r="V25" s="104"/>
      <c r="W25" s="104" t="s">
        <v>551</v>
      </c>
      <c r="X25" s="104"/>
      <c r="Y25" s="104">
        <v>108</v>
      </c>
      <c r="Z25" s="204"/>
      <c r="AA25" s="20"/>
      <c r="AB25" s="20"/>
    </row>
    <row r="26" spans="1:28" ht="15.75" customHeight="1">
      <c r="A26" s="8">
        <v>25</v>
      </c>
      <c r="B26" s="104" t="s">
        <v>481</v>
      </c>
      <c r="C26" s="104" t="s">
        <v>613</v>
      </c>
      <c r="D26" s="159"/>
      <c r="E26" s="159"/>
      <c r="F26" s="159"/>
      <c r="G26" s="159"/>
      <c r="H26" s="159"/>
      <c r="I26" s="101">
        <v>50</v>
      </c>
      <c r="J26" s="18">
        <v>100</v>
      </c>
      <c r="K26" s="152"/>
      <c r="L26" s="218">
        <v>50</v>
      </c>
      <c r="M26" s="101">
        <v>50</v>
      </c>
      <c r="N26" s="10">
        <v>50</v>
      </c>
      <c r="O26" s="176">
        <v>42024</v>
      </c>
      <c r="P26" s="99">
        <v>42024</v>
      </c>
      <c r="Q26" s="99">
        <v>44057</v>
      </c>
      <c r="R26" s="8" t="s">
        <v>170</v>
      </c>
      <c r="S26" s="167" t="s">
        <v>614</v>
      </c>
      <c r="T26" s="18" t="s">
        <v>615</v>
      </c>
      <c r="U26" s="18">
        <v>698088272</v>
      </c>
      <c r="V26" s="104" t="s">
        <v>616</v>
      </c>
      <c r="W26" s="104" t="s">
        <v>617</v>
      </c>
      <c r="X26" s="104"/>
      <c r="Y26" s="104">
        <v>115</v>
      </c>
      <c r="Z26" s="203"/>
      <c r="AA26" s="20"/>
      <c r="AB26" s="20"/>
    </row>
    <row r="27" spans="1:28" ht="15.75" customHeight="1">
      <c r="A27" s="8">
        <v>26</v>
      </c>
      <c r="B27" s="104" t="s">
        <v>108</v>
      </c>
      <c r="C27" s="104" t="s">
        <v>544</v>
      </c>
      <c r="D27" s="159"/>
      <c r="E27" s="159"/>
      <c r="F27" s="159"/>
      <c r="G27" s="159"/>
      <c r="H27" s="159"/>
      <c r="I27" s="101">
        <v>50</v>
      </c>
      <c r="J27" s="18">
        <v>50</v>
      </c>
      <c r="K27" s="152">
        <v>50</v>
      </c>
      <c r="L27" s="218">
        <v>50</v>
      </c>
      <c r="M27" s="58">
        <v>50</v>
      </c>
      <c r="N27" s="10">
        <v>50</v>
      </c>
      <c r="O27" s="179"/>
      <c r="P27" s="169">
        <v>42165</v>
      </c>
      <c r="Q27" s="169">
        <v>44000</v>
      </c>
      <c r="R27" s="8" t="s">
        <v>170</v>
      </c>
      <c r="S27" s="167" t="s">
        <v>643</v>
      </c>
      <c r="T27" s="18" t="s">
        <v>994</v>
      </c>
      <c r="U27" s="20"/>
      <c r="V27" s="20"/>
      <c r="W27" s="20"/>
      <c r="X27" s="20"/>
      <c r="Y27" s="20">
        <v>119</v>
      </c>
      <c r="Z27" s="204"/>
      <c r="AA27" s="20"/>
      <c r="AB27" s="20"/>
    </row>
    <row r="28" spans="1:28" ht="15.75" customHeight="1">
      <c r="A28" s="8">
        <v>23</v>
      </c>
      <c r="B28" s="104" t="s">
        <v>688</v>
      </c>
      <c r="C28" s="104" t="s">
        <v>569</v>
      </c>
      <c r="D28" s="159"/>
      <c r="E28" s="159"/>
      <c r="F28" s="159"/>
      <c r="G28" s="159"/>
      <c r="H28" s="101">
        <v>50</v>
      </c>
      <c r="I28" s="101">
        <v>50</v>
      </c>
      <c r="J28" s="101">
        <v>50</v>
      </c>
      <c r="K28" s="101">
        <v>50</v>
      </c>
      <c r="L28" s="18"/>
      <c r="M28" s="152"/>
      <c r="N28" s="10">
        <v>50</v>
      </c>
      <c r="O28" s="176">
        <v>41982</v>
      </c>
      <c r="P28" s="99">
        <v>41997</v>
      </c>
      <c r="Q28" s="99">
        <v>44042</v>
      </c>
      <c r="R28" s="169" t="s">
        <v>689</v>
      </c>
      <c r="S28" s="169" t="s">
        <v>570</v>
      </c>
      <c r="T28" s="8" t="s">
        <v>571</v>
      </c>
      <c r="U28" s="167">
        <v>783419327</v>
      </c>
      <c r="V28" s="18"/>
      <c r="W28" s="20" t="s">
        <v>572</v>
      </c>
      <c r="X28" s="20"/>
      <c r="Y28" s="20">
        <v>113</v>
      </c>
      <c r="Z28" s="40" t="s">
        <v>200</v>
      </c>
      <c r="AA28" s="20"/>
      <c r="AB28" s="20"/>
    </row>
    <row r="29" spans="1:28" ht="15.75" customHeight="1">
      <c r="A29" s="8">
        <v>27</v>
      </c>
      <c r="B29" s="104" t="s">
        <v>637</v>
      </c>
      <c r="C29" s="104" t="s">
        <v>638</v>
      </c>
      <c r="D29" s="159"/>
      <c r="E29" s="159"/>
      <c r="F29" s="159"/>
      <c r="G29" s="159"/>
      <c r="H29" s="159"/>
      <c r="I29" s="101">
        <v>50</v>
      </c>
      <c r="J29" s="18"/>
      <c r="K29" s="20"/>
      <c r="L29" s="20"/>
      <c r="M29" s="209">
        <v>50</v>
      </c>
      <c r="N29" s="167"/>
      <c r="O29" s="178">
        <v>42144</v>
      </c>
      <c r="P29" s="169">
        <v>42144</v>
      </c>
      <c r="Q29" s="169">
        <v>43684</v>
      </c>
      <c r="R29" s="8" t="s">
        <v>170</v>
      </c>
      <c r="S29" s="167" t="s">
        <v>995</v>
      </c>
      <c r="T29" s="167" t="s">
        <v>640</v>
      </c>
      <c r="U29" s="167">
        <v>794751415</v>
      </c>
      <c r="V29" s="20" t="s">
        <v>641</v>
      </c>
      <c r="W29" s="20" t="s">
        <v>642</v>
      </c>
      <c r="X29" s="20"/>
      <c r="Y29" s="20">
        <v>118</v>
      </c>
      <c r="Z29" s="20"/>
      <c r="AA29" s="20"/>
      <c r="AB29" s="20"/>
    </row>
    <row r="30" spans="1:28" ht="15.75" customHeight="1">
      <c r="A30" s="8">
        <v>28</v>
      </c>
      <c r="B30" s="104" t="s">
        <v>701</v>
      </c>
      <c r="C30" s="104" t="s">
        <v>702</v>
      </c>
      <c r="D30" s="159"/>
      <c r="E30" s="159"/>
      <c r="F30" s="159"/>
      <c r="G30" s="159"/>
      <c r="H30" s="159"/>
      <c r="I30" s="159"/>
      <c r="J30" s="18">
        <v>50</v>
      </c>
      <c r="K30" s="18">
        <v>50</v>
      </c>
      <c r="L30" s="101">
        <v>50</v>
      </c>
      <c r="M30" s="101"/>
      <c r="N30" s="18">
        <v>50</v>
      </c>
      <c r="O30" s="178">
        <v>42429</v>
      </c>
      <c r="P30" s="169">
        <v>42429</v>
      </c>
      <c r="Q30" s="169">
        <v>43871</v>
      </c>
      <c r="R30" s="167" t="s">
        <v>170</v>
      </c>
      <c r="S30" s="167" t="s">
        <v>744</v>
      </c>
      <c r="T30" s="167" t="s">
        <v>745</v>
      </c>
      <c r="U30" s="181">
        <v>600294958</v>
      </c>
      <c r="V30" s="20"/>
      <c r="W30" s="20" t="s">
        <v>705</v>
      </c>
      <c r="X30" s="20"/>
      <c r="Y30" s="20">
        <v>130</v>
      </c>
      <c r="Z30" s="204"/>
      <c r="AA30" s="20"/>
      <c r="AB30" s="20"/>
    </row>
    <row r="31" spans="1:28" ht="15.75" customHeight="1">
      <c r="A31" s="8">
        <v>29</v>
      </c>
      <c r="B31" s="104" t="s">
        <v>217</v>
      </c>
      <c r="C31" s="104" t="s">
        <v>671</v>
      </c>
      <c r="D31" s="159"/>
      <c r="E31" s="159"/>
      <c r="F31" s="159"/>
      <c r="G31" s="159"/>
      <c r="H31" s="159"/>
      <c r="I31" s="159"/>
      <c r="J31" s="159"/>
      <c r="K31" s="20">
        <v>50</v>
      </c>
      <c r="L31" s="204">
        <v>50</v>
      </c>
      <c r="M31" s="204"/>
      <c r="N31" s="167"/>
      <c r="O31" s="178">
        <v>42744</v>
      </c>
      <c r="P31" s="169">
        <v>42744</v>
      </c>
      <c r="Q31" s="169">
        <v>42744</v>
      </c>
      <c r="R31" s="8" t="s">
        <v>170</v>
      </c>
      <c r="S31" s="135" t="s">
        <v>751</v>
      </c>
      <c r="T31" s="135" t="s">
        <v>752</v>
      </c>
      <c r="U31" s="196">
        <v>663912988</v>
      </c>
      <c r="V31" s="20"/>
      <c r="W31" s="20" t="s">
        <v>753</v>
      </c>
      <c r="X31" s="20"/>
      <c r="Y31" s="20">
        <v>140</v>
      </c>
      <c r="Z31" s="204"/>
      <c r="AA31" s="20"/>
      <c r="AB31" s="20"/>
    </row>
    <row r="32" spans="1:28" ht="15.75" customHeight="1">
      <c r="A32" s="8">
        <v>30</v>
      </c>
      <c r="B32" s="97" t="s">
        <v>754</v>
      </c>
      <c r="C32" s="183" t="s">
        <v>755</v>
      </c>
      <c r="D32" s="163"/>
      <c r="E32" s="163"/>
      <c r="F32" s="163"/>
      <c r="G32" s="163"/>
      <c r="H32" s="163"/>
      <c r="I32" s="163"/>
      <c r="J32" s="163"/>
      <c r="K32" s="183">
        <v>50</v>
      </c>
      <c r="L32" s="205"/>
      <c r="M32" s="204"/>
      <c r="N32" s="167">
        <v>50</v>
      </c>
      <c r="O32" s="225">
        <v>42769</v>
      </c>
      <c r="P32" s="182">
        <v>42769</v>
      </c>
      <c r="Q32" s="182">
        <v>43832</v>
      </c>
      <c r="R32" s="47" t="s">
        <v>170</v>
      </c>
      <c r="S32" s="197" t="s">
        <v>756</v>
      </c>
      <c r="T32" s="197" t="s">
        <v>757</v>
      </c>
      <c r="U32" s="198">
        <v>696453314</v>
      </c>
      <c r="V32" s="183"/>
      <c r="W32" s="141" t="s">
        <v>996</v>
      </c>
      <c r="X32" s="183"/>
      <c r="Y32" s="183">
        <v>141</v>
      </c>
      <c r="Z32" s="205"/>
      <c r="AA32" s="20"/>
      <c r="AB32" s="20"/>
    </row>
    <row r="33" spans="1:28" ht="15.75" customHeight="1">
      <c r="A33" s="8">
        <v>31</v>
      </c>
      <c r="B33" s="97" t="s">
        <v>775</v>
      </c>
      <c r="C33" s="97" t="s">
        <v>776</v>
      </c>
      <c r="D33" s="163"/>
      <c r="E33" s="163"/>
      <c r="F33" s="163"/>
      <c r="G33" s="163"/>
      <c r="H33" s="163"/>
      <c r="I33" s="163"/>
      <c r="J33" s="163"/>
      <c r="K33" s="183">
        <v>50</v>
      </c>
      <c r="L33" s="205">
        <v>50</v>
      </c>
      <c r="M33" s="204"/>
      <c r="N33" s="167"/>
      <c r="O33" s="225">
        <v>42606</v>
      </c>
      <c r="P33" s="182">
        <v>42822</v>
      </c>
      <c r="Q33" s="182">
        <v>43090</v>
      </c>
      <c r="R33" s="8" t="s">
        <v>170</v>
      </c>
      <c r="S33" s="184" t="s">
        <v>777</v>
      </c>
      <c r="T33" s="184" t="s">
        <v>778</v>
      </c>
      <c r="U33" s="184">
        <v>781504852</v>
      </c>
      <c r="V33" s="200" t="s">
        <v>779</v>
      </c>
      <c r="W33" s="183" t="s">
        <v>780</v>
      </c>
      <c r="X33" s="200">
        <v>587361570</v>
      </c>
      <c r="Y33" s="183">
        <v>134</v>
      </c>
      <c r="Z33" s="205"/>
      <c r="AA33" s="20"/>
      <c r="AB33" s="20"/>
    </row>
    <row r="34" spans="1:28" ht="15.75" customHeight="1">
      <c r="A34" s="8">
        <v>32</v>
      </c>
      <c r="B34" s="104" t="s">
        <v>812</v>
      </c>
      <c r="C34" s="20" t="s">
        <v>813</v>
      </c>
      <c r="D34" s="159"/>
      <c r="E34" s="159"/>
      <c r="F34" s="159"/>
      <c r="G34" s="159"/>
      <c r="H34" s="159"/>
      <c r="I34" s="159"/>
      <c r="J34" s="159"/>
      <c r="K34" s="20">
        <v>50</v>
      </c>
      <c r="L34" s="204">
        <v>50</v>
      </c>
      <c r="M34" s="204"/>
      <c r="N34" s="167"/>
      <c r="O34" s="178">
        <v>43084</v>
      </c>
      <c r="P34" s="169">
        <v>43084</v>
      </c>
      <c r="Q34" s="169">
        <v>43445</v>
      </c>
      <c r="R34" s="8" t="s">
        <v>170</v>
      </c>
      <c r="S34" s="167" t="s">
        <v>814</v>
      </c>
      <c r="T34" s="167" t="s">
        <v>815</v>
      </c>
      <c r="U34" s="167">
        <v>506427836</v>
      </c>
      <c r="V34" s="20" t="s">
        <v>816</v>
      </c>
      <c r="W34" s="20" t="s">
        <v>817</v>
      </c>
      <c r="X34" s="20"/>
      <c r="Y34" s="20">
        <v>152</v>
      </c>
      <c r="Z34" s="204"/>
      <c r="AA34" s="20"/>
      <c r="AB34" s="20"/>
    </row>
    <row r="35" spans="1:28" ht="15.75" customHeight="1">
      <c r="A35" s="8">
        <v>33</v>
      </c>
      <c r="B35" s="104" t="s">
        <v>818</v>
      </c>
      <c r="C35" s="20" t="s">
        <v>819</v>
      </c>
      <c r="D35" s="159"/>
      <c r="E35" s="159"/>
      <c r="F35" s="159"/>
      <c r="G35" s="159"/>
      <c r="H35" s="159"/>
      <c r="I35" s="159"/>
      <c r="J35" s="159"/>
      <c r="K35" s="20">
        <v>50</v>
      </c>
      <c r="L35" s="204"/>
      <c r="M35" s="204">
        <v>50</v>
      </c>
      <c r="N35" s="167">
        <v>50</v>
      </c>
      <c r="O35" s="178">
        <v>43087</v>
      </c>
      <c r="P35" s="169">
        <v>43087</v>
      </c>
      <c r="Q35" s="169">
        <v>43969</v>
      </c>
      <c r="R35" s="8" t="s">
        <v>170</v>
      </c>
      <c r="S35" s="167" t="s">
        <v>820</v>
      </c>
      <c r="T35" s="167" t="s">
        <v>821</v>
      </c>
      <c r="U35" s="167">
        <v>696545836</v>
      </c>
      <c r="V35" s="20"/>
      <c r="W35" s="20" t="s">
        <v>822</v>
      </c>
      <c r="X35" s="20"/>
      <c r="Y35" s="20">
        <v>153</v>
      </c>
      <c r="Z35" s="204"/>
      <c r="AA35" s="20"/>
      <c r="AB35" s="20"/>
    </row>
    <row r="36" spans="1:28" ht="15.75" customHeight="1">
      <c r="A36" s="8">
        <v>34</v>
      </c>
      <c r="B36" s="104" t="s">
        <v>824</v>
      </c>
      <c r="C36" s="20" t="s">
        <v>825</v>
      </c>
      <c r="D36" s="159"/>
      <c r="E36" s="159"/>
      <c r="F36" s="159"/>
      <c r="G36" s="159"/>
      <c r="H36" s="159"/>
      <c r="I36" s="159"/>
      <c r="J36" s="159"/>
      <c r="K36" s="159"/>
      <c r="L36" s="204">
        <v>50</v>
      </c>
      <c r="M36" s="204"/>
      <c r="N36" s="167"/>
      <c r="O36" s="178">
        <v>43110</v>
      </c>
      <c r="P36" s="169">
        <v>43110</v>
      </c>
      <c r="Q36" s="169">
        <v>43110</v>
      </c>
      <c r="R36" s="8" t="s">
        <v>170</v>
      </c>
      <c r="S36" s="167" t="s">
        <v>826</v>
      </c>
      <c r="T36" s="167" t="s">
        <v>748</v>
      </c>
      <c r="U36" s="167">
        <v>782680373</v>
      </c>
      <c r="V36" s="20" t="s">
        <v>827</v>
      </c>
      <c r="W36" s="20" t="s">
        <v>828</v>
      </c>
      <c r="X36" s="20"/>
      <c r="Y36" s="20">
        <v>154</v>
      </c>
      <c r="Z36" s="204"/>
      <c r="AA36" s="20"/>
      <c r="AB36" s="20"/>
    </row>
    <row r="37" spans="1:28" ht="15.75" customHeight="1">
      <c r="A37" s="8">
        <v>35</v>
      </c>
      <c r="B37" s="20" t="s">
        <v>296</v>
      </c>
      <c r="C37" s="20" t="s">
        <v>829</v>
      </c>
      <c r="D37" s="159"/>
      <c r="E37" s="159"/>
      <c r="F37" s="159"/>
      <c r="G37" s="159"/>
      <c r="H37" s="159"/>
      <c r="I37" s="159"/>
      <c r="J37" s="159"/>
      <c r="K37" s="159"/>
      <c r="L37" s="204">
        <v>50</v>
      </c>
      <c r="M37" s="204"/>
      <c r="N37" s="167"/>
      <c r="O37" s="178">
        <v>43117</v>
      </c>
      <c r="P37" s="169">
        <v>43118</v>
      </c>
      <c r="Q37" s="169">
        <v>43118</v>
      </c>
      <c r="R37" s="8" t="s">
        <v>170</v>
      </c>
      <c r="S37" s="167" t="s">
        <v>830</v>
      </c>
      <c r="T37" s="167" t="s">
        <v>191</v>
      </c>
      <c r="U37" s="167">
        <v>532288356</v>
      </c>
      <c r="V37" s="20" t="s">
        <v>831</v>
      </c>
      <c r="W37" s="20" t="s">
        <v>832</v>
      </c>
      <c r="X37" s="20"/>
      <c r="Y37" s="20">
        <v>155</v>
      </c>
      <c r="Z37" s="204"/>
      <c r="AA37" s="20" t="s">
        <v>833</v>
      </c>
      <c r="AB37" s="20"/>
    </row>
    <row r="38" spans="1:28" ht="15.75" customHeight="1">
      <c r="A38" s="8">
        <v>36</v>
      </c>
      <c r="B38" s="20" t="s">
        <v>618</v>
      </c>
      <c r="C38" s="20" t="s">
        <v>834</v>
      </c>
      <c r="D38" s="159"/>
      <c r="E38" s="159"/>
      <c r="F38" s="159"/>
      <c r="G38" s="159"/>
      <c r="H38" s="159"/>
      <c r="I38" s="159"/>
      <c r="J38" s="159"/>
      <c r="K38" s="159"/>
      <c r="L38" s="204">
        <v>50</v>
      </c>
      <c r="M38" s="204"/>
      <c r="N38" s="167"/>
      <c r="O38" s="178">
        <v>43126</v>
      </c>
      <c r="P38" s="169">
        <v>43129</v>
      </c>
      <c r="Q38" s="169">
        <v>43129</v>
      </c>
      <c r="R38" s="8" t="s">
        <v>170</v>
      </c>
      <c r="S38" s="167" t="s">
        <v>835</v>
      </c>
      <c r="T38" s="167" t="s">
        <v>836</v>
      </c>
      <c r="U38" s="167">
        <v>539923904</v>
      </c>
      <c r="V38" s="20" t="s">
        <v>837</v>
      </c>
      <c r="W38" s="20" t="s">
        <v>838</v>
      </c>
      <c r="X38" s="20"/>
      <c r="Y38" s="20">
        <v>156</v>
      </c>
      <c r="Z38" s="204"/>
      <c r="AA38" s="20"/>
      <c r="AB38" s="20"/>
    </row>
    <row r="39" spans="1:28" ht="15.75" customHeight="1">
      <c r="A39" s="8">
        <v>37</v>
      </c>
      <c r="B39" s="20" t="s">
        <v>839</v>
      </c>
      <c r="C39" s="20" t="s">
        <v>840</v>
      </c>
      <c r="D39" s="159"/>
      <c r="E39" s="159"/>
      <c r="F39" s="159"/>
      <c r="G39" s="159"/>
      <c r="H39" s="159"/>
      <c r="I39" s="159"/>
      <c r="J39" s="159"/>
      <c r="K39" s="159"/>
      <c r="L39" s="204">
        <v>50</v>
      </c>
      <c r="M39" s="204"/>
      <c r="N39" s="167"/>
      <c r="O39" s="178">
        <v>43134</v>
      </c>
      <c r="P39" s="169">
        <v>43134</v>
      </c>
      <c r="Q39" s="169">
        <v>43134</v>
      </c>
      <c r="R39" s="8" t="s">
        <v>170</v>
      </c>
      <c r="S39" s="167" t="s">
        <v>841</v>
      </c>
      <c r="T39" s="167" t="s">
        <v>842</v>
      </c>
      <c r="U39" s="167">
        <v>698180922</v>
      </c>
      <c r="V39" s="20"/>
      <c r="W39" s="20" t="s">
        <v>843</v>
      </c>
      <c r="X39" s="20"/>
      <c r="Y39" s="20">
        <v>157</v>
      </c>
      <c r="Z39" s="204"/>
      <c r="AA39" s="20" t="s">
        <v>844</v>
      </c>
      <c r="AB39" s="20"/>
    </row>
    <row r="40" spans="1:28" ht="15.75" customHeight="1">
      <c r="A40" s="8">
        <v>38</v>
      </c>
      <c r="B40" s="20" t="s">
        <v>759</v>
      </c>
      <c r="C40" s="20" t="s">
        <v>845</v>
      </c>
      <c r="D40" s="159"/>
      <c r="E40" s="159"/>
      <c r="F40" s="159"/>
      <c r="G40" s="159"/>
      <c r="H40" s="159"/>
      <c r="I40" s="159"/>
      <c r="J40" s="159"/>
      <c r="K40" s="159"/>
      <c r="L40" s="204">
        <v>50</v>
      </c>
      <c r="M40" s="204"/>
      <c r="N40" s="167"/>
      <c r="O40" s="178">
        <v>43136</v>
      </c>
      <c r="P40" s="169">
        <v>43136</v>
      </c>
      <c r="Q40" s="169">
        <v>43136</v>
      </c>
      <c r="R40" s="8" t="s">
        <v>170</v>
      </c>
      <c r="S40" s="167" t="s">
        <v>846</v>
      </c>
      <c r="T40" s="167" t="s">
        <v>847</v>
      </c>
      <c r="U40" s="167">
        <v>515042238</v>
      </c>
      <c r="V40" s="20"/>
      <c r="W40" s="20" t="s">
        <v>848</v>
      </c>
      <c r="X40" s="20"/>
      <c r="Y40" s="20">
        <v>158</v>
      </c>
      <c r="Z40" s="204"/>
      <c r="AA40" s="20" t="s">
        <v>849</v>
      </c>
      <c r="AB40" s="20"/>
    </row>
    <row r="41" spans="1:28" ht="15.75" customHeight="1">
      <c r="A41" s="8">
        <v>39</v>
      </c>
      <c r="B41" s="20" t="s">
        <v>850</v>
      </c>
      <c r="C41" s="20" t="s">
        <v>851</v>
      </c>
      <c r="D41" s="159"/>
      <c r="E41" s="159"/>
      <c r="F41" s="159"/>
      <c r="G41" s="159"/>
      <c r="H41" s="159"/>
      <c r="I41" s="159"/>
      <c r="J41" s="159"/>
      <c r="K41" s="159"/>
      <c r="L41" s="204">
        <v>50</v>
      </c>
      <c r="M41" s="204"/>
      <c r="N41" s="167"/>
      <c r="O41" s="178">
        <v>43146</v>
      </c>
      <c r="P41" s="169">
        <v>43147</v>
      </c>
      <c r="Q41" s="169">
        <v>43147</v>
      </c>
      <c r="R41" s="8" t="s">
        <v>170</v>
      </c>
      <c r="S41" s="167" t="s">
        <v>852</v>
      </c>
      <c r="T41" s="167" t="s">
        <v>853</v>
      </c>
      <c r="U41" s="167">
        <v>609835895</v>
      </c>
      <c r="V41" s="20"/>
      <c r="W41" s="20" t="s">
        <v>854</v>
      </c>
      <c r="X41" s="20"/>
      <c r="Y41" s="20">
        <v>159</v>
      </c>
      <c r="Z41" s="204"/>
      <c r="AA41" s="20"/>
      <c r="AB41" s="20"/>
    </row>
    <row r="42" spans="1:28" ht="15.75" customHeight="1">
      <c r="A42" s="8">
        <v>40</v>
      </c>
      <c r="B42" s="20" t="s">
        <v>543</v>
      </c>
      <c r="C42" s="20" t="s">
        <v>855</v>
      </c>
      <c r="D42" s="159"/>
      <c r="E42" s="159"/>
      <c r="F42" s="159"/>
      <c r="G42" s="159"/>
      <c r="H42" s="159"/>
      <c r="I42" s="159"/>
      <c r="J42" s="159"/>
      <c r="K42" s="159"/>
      <c r="L42" s="204">
        <v>50</v>
      </c>
      <c r="M42" s="204"/>
      <c r="N42" s="167"/>
      <c r="O42" s="178">
        <v>43151</v>
      </c>
      <c r="P42" s="169">
        <v>43152</v>
      </c>
      <c r="Q42" s="169">
        <v>43152</v>
      </c>
      <c r="R42" s="8" t="s">
        <v>170</v>
      </c>
      <c r="S42" s="167" t="s">
        <v>856</v>
      </c>
      <c r="T42" s="167" t="s">
        <v>321</v>
      </c>
      <c r="U42" s="167">
        <v>601069973</v>
      </c>
      <c r="V42" s="20"/>
      <c r="W42" s="20" t="s">
        <v>857</v>
      </c>
      <c r="X42" s="20"/>
      <c r="Y42" s="20">
        <v>160</v>
      </c>
      <c r="Z42" s="204"/>
      <c r="AA42" s="20"/>
      <c r="AB42" s="20"/>
    </row>
    <row r="43" spans="1:28" ht="15.75" customHeight="1">
      <c r="A43" s="8">
        <v>41</v>
      </c>
      <c r="B43" s="20" t="s">
        <v>21</v>
      </c>
      <c r="C43" s="20" t="s">
        <v>1167</v>
      </c>
      <c r="D43" s="159"/>
      <c r="E43" s="159"/>
      <c r="F43" s="159"/>
      <c r="G43" s="159"/>
      <c r="H43" s="159"/>
      <c r="I43" s="159"/>
      <c r="J43" s="159"/>
      <c r="K43" s="159"/>
      <c r="L43" s="204">
        <v>50</v>
      </c>
      <c r="M43" s="204">
        <v>50</v>
      </c>
      <c r="N43" s="167">
        <v>50</v>
      </c>
      <c r="O43" s="178">
        <v>43153</v>
      </c>
      <c r="P43" s="169">
        <v>43153</v>
      </c>
      <c r="Q43" s="169">
        <v>44096</v>
      </c>
      <c r="R43" s="8" t="s">
        <v>15</v>
      </c>
      <c r="S43" s="208" t="s">
        <v>859</v>
      </c>
      <c r="T43" s="208" t="s">
        <v>860</v>
      </c>
      <c r="U43" s="167">
        <v>510180652</v>
      </c>
      <c r="V43" s="20" t="s">
        <v>861</v>
      </c>
      <c r="W43" s="20" t="s">
        <v>862</v>
      </c>
      <c r="X43" s="20"/>
      <c r="Y43" s="20">
        <v>161</v>
      </c>
      <c r="Z43" s="204"/>
      <c r="AA43" s="20" t="s">
        <v>863</v>
      </c>
      <c r="AB43" s="20" t="s">
        <v>997</v>
      </c>
    </row>
    <row r="44" spans="1:28" ht="15.75" customHeight="1">
      <c r="A44" s="8">
        <v>42</v>
      </c>
      <c r="B44" s="20" t="s">
        <v>239</v>
      </c>
      <c r="C44" s="20" t="s">
        <v>864</v>
      </c>
      <c r="D44" s="159"/>
      <c r="E44" s="159"/>
      <c r="F44" s="159"/>
      <c r="G44" s="159"/>
      <c r="H44" s="159"/>
      <c r="I44" s="159"/>
      <c r="J44" s="159"/>
      <c r="K44" s="159"/>
      <c r="L44" s="204">
        <v>50</v>
      </c>
      <c r="M44" s="204">
        <v>50</v>
      </c>
      <c r="N44" s="167"/>
      <c r="O44" s="178">
        <v>43156</v>
      </c>
      <c r="P44" s="169">
        <v>43157</v>
      </c>
      <c r="Q44" s="169">
        <v>43752</v>
      </c>
      <c r="R44" s="8" t="s">
        <v>170</v>
      </c>
      <c r="S44" s="167" t="s">
        <v>865</v>
      </c>
      <c r="T44" s="167" t="s">
        <v>866</v>
      </c>
      <c r="U44" s="167">
        <v>884952721</v>
      </c>
      <c r="V44" s="20"/>
      <c r="W44" s="20" t="s">
        <v>867</v>
      </c>
      <c r="X44" s="20"/>
      <c r="Y44" s="20">
        <v>162</v>
      </c>
      <c r="Z44" s="204"/>
      <c r="AA44" s="20" t="s">
        <v>868</v>
      </c>
      <c r="AB44" s="20"/>
    </row>
    <row r="45" spans="1:28" ht="15.75" customHeight="1">
      <c r="A45" s="8">
        <v>43</v>
      </c>
      <c r="B45" s="20" t="s">
        <v>645</v>
      </c>
      <c r="C45" s="20" t="s">
        <v>870</v>
      </c>
      <c r="D45" s="159"/>
      <c r="E45" s="159"/>
      <c r="F45" s="159"/>
      <c r="G45" s="159"/>
      <c r="H45" s="159"/>
      <c r="I45" s="159"/>
      <c r="J45" s="159"/>
      <c r="K45" s="159"/>
      <c r="L45" s="204">
        <v>50</v>
      </c>
      <c r="M45" s="204">
        <v>50</v>
      </c>
      <c r="N45" s="167"/>
      <c r="O45" s="178">
        <v>43165</v>
      </c>
      <c r="P45" s="169">
        <v>43165</v>
      </c>
      <c r="Q45" s="169">
        <v>43530</v>
      </c>
      <c r="R45" s="8" t="s">
        <v>170</v>
      </c>
      <c r="S45" s="167" t="s">
        <v>871</v>
      </c>
      <c r="T45" s="167" t="s">
        <v>872</v>
      </c>
      <c r="U45" s="167">
        <v>693762620</v>
      </c>
      <c r="V45" s="20"/>
      <c r="W45" s="20" t="s">
        <v>873</v>
      </c>
      <c r="X45" s="20"/>
      <c r="Y45" s="20">
        <v>163</v>
      </c>
      <c r="Z45" s="204"/>
      <c r="AA45" s="20" t="s">
        <v>874</v>
      </c>
      <c r="AB45" s="20"/>
    </row>
    <row r="46" spans="1:28" ht="15.75" customHeight="1">
      <c r="A46" s="8">
        <v>44</v>
      </c>
      <c r="B46" s="20" t="s">
        <v>559</v>
      </c>
      <c r="C46" s="20" t="s">
        <v>875</v>
      </c>
      <c r="D46" s="159"/>
      <c r="E46" s="159"/>
      <c r="F46" s="159"/>
      <c r="G46" s="159"/>
      <c r="H46" s="159"/>
      <c r="I46" s="159"/>
      <c r="J46" s="159"/>
      <c r="K46" s="159"/>
      <c r="L46" s="204">
        <v>50</v>
      </c>
      <c r="M46" s="204"/>
      <c r="N46" s="167"/>
      <c r="O46" s="178">
        <v>43169</v>
      </c>
      <c r="P46" s="169">
        <v>43171</v>
      </c>
      <c r="Q46" s="169">
        <v>43171</v>
      </c>
      <c r="R46" s="8" t="s">
        <v>170</v>
      </c>
      <c r="S46" s="167" t="s">
        <v>876</v>
      </c>
      <c r="T46" s="167" t="s">
        <v>877</v>
      </c>
      <c r="U46" s="186">
        <v>664756377</v>
      </c>
      <c r="V46" s="20" t="s">
        <v>878</v>
      </c>
      <c r="W46" s="20" t="s">
        <v>879</v>
      </c>
      <c r="X46" s="20"/>
      <c r="Y46" s="20">
        <v>164</v>
      </c>
      <c r="Z46" s="204"/>
      <c r="AA46" s="20" t="s">
        <v>880</v>
      </c>
      <c r="AB46" s="20"/>
    </row>
    <row r="47" spans="1:28" ht="15.75" customHeight="1">
      <c r="A47" s="8">
        <v>45</v>
      </c>
      <c r="B47" s="20" t="s">
        <v>881</v>
      </c>
      <c r="C47" s="20" t="s">
        <v>882</v>
      </c>
      <c r="D47" s="159"/>
      <c r="E47" s="159"/>
      <c r="F47" s="159"/>
      <c r="G47" s="159"/>
      <c r="H47" s="159"/>
      <c r="I47" s="159"/>
      <c r="J47" s="159"/>
      <c r="K47" s="159"/>
      <c r="L47" s="204">
        <v>50</v>
      </c>
      <c r="M47" s="204"/>
      <c r="N47" s="167"/>
      <c r="O47" s="178">
        <v>43179</v>
      </c>
      <c r="P47" s="169">
        <v>43179</v>
      </c>
      <c r="Q47" s="169">
        <v>43179</v>
      </c>
      <c r="R47" s="8" t="s">
        <v>170</v>
      </c>
      <c r="S47" s="167" t="s">
        <v>883</v>
      </c>
      <c r="T47" s="167" t="s">
        <v>884</v>
      </c>
      <c r="U47" s="186">
        <v>509587470</v>
      </c>
      <c r="V47" s="20" t="s">
        <v>885</v>
      </c>
      <c r="W47" s="20" t="s">
        <v>886</v>
      </c>
      <c r="X47" s="210">
        <v>781808626</v>
      </c>
      <c r="Y47" s="20">
        <v>165</v>
      </c>
      <c r="Z47" s="204"/>
      <c r="AA47" s="20"/>
      <c r="AB47" s="20"/>
    </row>
    <row r="48" spans="1:28" ht="15.75" customHeight="1">
      <c r="A48" s="8">
        <v>46</v>
      </c>
      <c r="B48" s="20" t="s">
        <v>568</v>
      </c>
      <c r="C48" s="20" t="s">
        <v>887</v>
      </c>
      <c r="D48" s="159"/>
      <c r="E48" s="159"/>
      <c r="F48" s="159"/>
      <c r="G48" s="159"/>
      <c r="H48" s="159"/>
      <c r="I48" s="159"/>
      <c r="J48" s="159"/>
      <c r="K48" s="159"/>
      <c r="L48" s="204">
        <v>50</v>
      </c>
      <c r="M48" s="204"/>
      <c r="N48" s="167"/>
      <c r="O48" s="178">
        <v>43193</v>
      </c>
      <c r="P48" s="169">
        <v>43194</v>
      </c>
      <c r="Q48" s="169">
        <v>43194</v>
      </c>
      <c r="R48" s="8" t="s">
        <v>170</v>
      </c>
      <c r="S48" s="167" t="s">
        <v>888</v>
      </c>
      <c r="T48" s="167" t="s">
        <v>889</v>
      </c>
      <c r="U48" s="167">
        <v>731996984</v>
      </c>
      <c r="V48" s="20"/>
      <c r="W48" s="20" t="s">
        <v>890</v>
      </c>
      <c r="X48" s="20"/>
      <c r="Y48" s="20">
        <v>166</v>
      </c>
      <c r="Z48" s="204"/>
      <c r="AA48" s="20"/>
      <c r="AB48" s="20"/>
    </row>
    <row r="49" spans="1:28" ht="15.75" customHeight="1">
      <c r="A49" s="8">
        <v>47</v>
      </c>
      <c r="B49" s="20" t="s">
        <v>476</v>
      </c>
      <c r="C49" s="20" t="s">
        <v>891</v>
      </c>
      <c r="D49" s="159"/>
      <c r="E49" s="159"/>
      <c r="F49" s="159"/>
      <c r="G49" s="159"/>
      <c r="H49" s="159"/>
      <c r="I49" s="159"/>
      <c r="J49" s="159"/>
      <c r="K49" s="159"/>
      <c r="L49" s="204">
        <v>50</v>
      </c>
      <c r="M49" s="204"/>
      <c r="N49" s="10">
        <v>50</v>
      </c>
      <c r="O49" s="178">
        <v>43194</v>
      </c>
      <c r="P49" s="169">
        <v>43195</v>
      </c>
      <c r="Q49" s="169">
        <v>44064</v>
      </c>
      <c r="R49" s="8" t="s">
        <v>170</v>
      </c>
      <c r="S49" s="167" t="s">
        <v>892</v>
      </c>
      <c r="T49" s="167" t="s">
        <v>893</v>
      </c>
      <c r="U49" s="167">
        <v>788790612</v>
      </c>
      <c r="V49" s="20"/>
      <c r="W49" s="20" t="s">
        <v>894</v>
      </c>
      <c r="X49" s="20"/>
      <c r="Y49" s="20">
        <v>167</v>
      </c>
      <c r="Z49" s="204"/>
      <c r="AA49" s="20"/>
      <c r="AB49" s="20"/>
    </row>
    <row r="50" spans="1:28" ht="15.75" customHeight="1">
      <c r="A50" s="8">
        <v>48</v>
      </c>
      <c r="B50" s="20" t="s">
        <v>895</v>
      </c>
      <c r="C50" s="20" t="s">
        <v>896</v>
      </c>
      <c r="D50" s="159"/>
      <c r="E50" s="159"/>
      <c r="F50" s="159"/>
      <c r="G50" s="159"/>
      <c r="H50" s="159"/>
      <c r="I50" s="159"/>
      <c r="J50" s="159"/>
      <c r="K50" s="159"/>
      <c r="L50" s="204">
        <v>50</v>
      </c>
      <c r="M50" s="204">
        <v>50</v>
      </c>
      <c r="N50" s="167"/>
      <c r="O50" s="178">
        <v>43200</v>
      </c>
      <c r="P50" s="169">
        <v>43201</v>
      </c>
      <c r="Q50" s="169">
        <v>43789</v>
      </c>
      <c r="R50" s="8" t="s">
        <v>170</v>
      </c>
      <c r="S50" s="167" t="s">
        <v>897</v>
      </c>
      <c r="T50" s="167" t="s">
        <v>898</v>
      </c>
      <c r="U50" s="167">
        <v>733766151</v>
      </c>
      <c r="V50" s="20"/>
      <c r="W50" s="20" t="s">
        <v>899</v>
      </c>
      <c r="X50" s="20"/>
      <c r="Y50" s="20">
        <v>168</v>
      </c>
      <c r="Z50" s="204"/>
      <c r="AA50" s="20" t="s">
        <v>900</v>
      </c>
      <c r="AB50" s="20"/>
    </row>
    <row r="51" spans="1:28" ht="15.75" customHeight="1">
      <c r="A51" s="8">
        <v>49</v>
      </c>
      <c r="B51" s="20" t="s">
        <v>194</v>
      </c>
      <c r="C51" s="20" t="s">
        <v>901</v>
      </c>
      <c r="D51" s="159"/>
      <c r="E51" s="159"/>
      <c r="F51" s="159"/>
      <c r="G51" s="159"/>
      <c r="H51" s="159"/>
      <c r="I51" s="159"/>
      <c r="J51" s="159"/>
      <c r="K51" s="159"/>
      <c r="L51" s="204">
        <v>50</v>
      </c>
      <c r="M51" s="204">
        <v>50</v>
      </c>
      <c r="N51" s="167">
        <v>50</v>
      </c>
      <c r="O51" s="178">
        <v>43209</v>
      </c>
      <c r="P51" s="169">
        <v>43209</v>
      </c>
      <c r="Q51" s="169">
        <v>43969</v>
      </c>
      <c r="R51" s="8" t="s">
        <v>170</v>
      </c>
      <c r="S51" s="167" t="s">
        <v>902</v>
      </c>
      <c r="T51" s="167" t="s">
        <v>903</v>
      </c>
      <c r="U51" s="167">
        <v>514494038</v>
      </c>
      <c r="V51" s="20"/>
      <c r="W51" s="20" t="s">
        <v>904</v>
      </c>
      <c r="X51" s="20"/>
      <c r="Y51" s="20">
        <v>169</v>
      </c>
      <c r="Z51" s="204"/>
      <c r="AA51" s="20"/>
      <c r="AB51" s="20"/>
    </row>
    <row r="52" spans="1:28" ht="15.75" customHeight="1">
      <c r="A52" s="8">
        <v>50</v>
      </c>
      <c r="B52" s="20" t="s">
        <v>905</v>
      </c>
      <c r="C52" s="20" t="s">
        <v>906</v>
      </c>
      <c r="D52" s="159"/>
      <c r="E52" s="159"/>
      <c r="F52" s="159"/>
      <c r="G52" s="159"/>
      <c r="H52" s="159"/>
      <c r="I52" s="159"/>
      <c r="J52" s="159"/>
      <c r="K52" s="159"/>
      <c r="L52" s="204">
        <v>50</v>
      </c>
      <c r="M52" s="204">
        <v>50</v>
      </c>
      <c r="N52" s="167"/>
      <c r="O52" s="178">
        <v>43210</v>
      </c>
      <c r="P52" s="169">
        <v>43213</v>
      </c>
      <c r="Q52" s="169">
        <v>43789</v>
      </c>
      <c r="R52" s="8" t="s">
        <v>170</v>
      </c>
      <c r="S52" s="167" t="s">
        <v>998</v>
      </c>
      <c r="T52" s="167" t="s">
        <v>999</v>
      </c>
      <c r="U52" s="167">
        <v>781363705</v>
      </c>
      <c r="V52" s="20"/>
      <c r="W52" s="20" t="s">
        <v>908</v>
      </c>
      <c r="X52" s="20"/>
      <c r="Y52" s="20">
        <v>170</v>
      </c>
      <c r="Z52" s="204"/>
      <c r="AA52" s="141" t="s">
        <v>1000</v>
      </c>
      <c r="AB52" s="20" t="s">
        <v>1001</v>
      </c>
    </row>
    <row r="53" spans="1:28" ht="15.75" customHeight="1">
      <c r="A53" s="8">
        <v>51</v>
      </c>
      <c r="B53" s="20" t="s">
        <v>910</v>
      </c>
      <c r="C53" s="20" t="s">
        <v>702</v>
      </c>
      <c r="D53" s="159"/>
      <c r="E53" s="159"/>
      <c r="F53" s="159"/>
      <c r="G53" s="159"/>
      <c r="H53" s="159"/>
      <c r="I53" s="159"/>
      <c r="J53" s="159"/>
      <c r="K53" s="159"/>
      <c r="L53" s="204">
        <v>50</v>
      </c>
      <c r="M53" s="204"/>
      <c r="N53" s="167">
        <v>50</v>
      </c>
      <c r="O53" s="178">
        <v>43212</v>
      </c>
      <c r="P53" s="169">
        <v>43213</v>
      </c>
      <c r="Q53" s="169">
        <v>43871</v>
      </c>
      <c r="R53" s="8" t="s">
        <v>170</v>
      </c>
      <c r="S53" s="167" t="s">
        <v>744</v>
      </c>
      <c r="T53" s="167" t="s">
        <v>745</v>
      </c>
      <c r="U53" s="167">
        <v>794381301</v>
      </c>
      <c r="V53" s="20"/>
      <c r="W53" s="20" t="s">
        <v>911</v>
      </c>
      <c r="X53" s="20"/>
      <c r="Y53" s="20">
        <v>171</v>
      </c>
      <c r="Z53" s="204"/>
      <c r="AA53" s="20" t="s">
        <v>912</v>
      </c>
      <c r="AB53" s="20"/>
    </row>
    <row r="54" spans="1:28" ht="15.75" customHeight="1">
      <c r="A54" s="8">
        <v>52</v>
      </c>
      <c r="B54" s="20" t="s">
        <v>913</v>
      </c>
      <c r="C54" s="20" t="s">
        <v>914</v>
      </c>
      <c r="D54" s="159"/>
      <c r="E54" s="159"/>
      <c r="F54" s="159"/>
      <c r="G54" s="159"/>
      <c r="H54" s="159"/>
      <c r="I54" s="159"/>
      <c r="J54" s="159"/>
      <c r="K54" s="159"/>
      <c r="L54" s="204">
        <v>50</v>
      </c>
      <c r="M54" s="204"/>
      <c r="N54" s="167"/>
      <c r="O54" s="178">
        <v>43230</v>
      </c>
      <c r="P54" s="169">
        <v>43231</v>
      </c>
      <c r="Q54" s="169">
        <v>43231</v>
      </c>
      <c r="R54" s="8" t="s">
        <v>170</v>
      </c>
      <c r="S54" s="167" t="s">
        <v>915</v>
      </c>
      <c r="T54" s="167" t="s">
        <v>916</v>
      </c>
      <c r="U54" s="167">
        <v>519562001</v>
      </c>
      <c r="V54" s="20"/>
      <c r="W54" s="20" t="s">
        <v>917</v>
      </c>
      <c r="X54" s="20"/>
      <c r="Y54" s="20">
        <v>172</v>
      </c>
      <c r="Z54" s="204"/>
      <c r="AA54" s="20" t="s">
        <v>918</v>
      </c>
      <c r="AB54" s="20"/>
    </row>
    <row r="55" spans="1:28" ht="15.75" customHeight="1">
      <c r="A55" s="8">
        <v>53</v>
      </c>
      <c r="B55" s="20" t="s">
        <v>919</v>
      </c>
      <c r="C55" s="20" t="s">
        <v>920</v>
      </c>
      <c r="D55" s="159"/>
      <c r="E55" s="159"/>
      <c r="F55" s="159"/>
      <c r="G55" s="159"/>
      <c r="H55" s="159"/>
      <c r="I55" s="159"/>
      <c r="J55" s="159"/>
      <c r="K55" s="159"/>
      <c r="L55" s="204">
        <v>50</v>
      </c>
      <c r="M55" s="204"/>
      <c r="N55" s="167">
        <v>50</v>
      </c>
      <c r="O55" s="178">
        <v>43237</v>
      </c>
      <c r="P55" s="169">
        <v>43238</v>
      </c>
      <c r="Q55" s="169">
        <v>44140</v>
      </c>
      <c r="R55" s="8" t="s">
        <v>170</v>
      </c>
      <c r="S55" s="167" t="s">
        <v>921</v>
      </c>
      <c r="T55" s="167" t="s">
        <v>922</v>
      </c>
      <c r="U55" s="167">
        <v>514945980</v>
      </c>
      <c r="V55" s="20"/>
      <c r="W55" s="20" t="s">
        <v>923</v>
      </c>
      <c r="X55" s="20"/>
      <c r="Y55" s="20">
        <v>173</v>
      </c>
      <c r="Z55" s="204"/>
      <c r="AA55" s="20" t="s">
        <v>919</v>
      </c>
      <c r="AB55" s="20"/>
    </row>
    <row r="56" spans="1:28" ht="15.75" customHeight="1">
      <c r="A56" s="8">
        <v>54</v>
      </c>
      <c r="B56" s="20" t="s">
        <v>924</v>
      </c>
      <c r="C56" s="20" t="s">
        <v>925</v>
      </c>
      <c r="D56" s="159"/>
      <c r="E56" s="159"/>
      <c r="F56" s="159"/>
      <c r="G56" s="159"/>
      <c r="H56" s="159"/>
      <c r="I56" s="159"/>
      <c r="J56" s="159"/>
      <c r="K56" s="159"/>
      <c r="L56" s="204">
        <v>50</v>
      </c>
      <c r="M56" s="204"/>
      <c r="N56" s="167"/>
      <c r="O56" s="178">
        <v>43245</v>
      </c>
      <c r="P56" s="169">
        <v>43245</v>
      </c>
      <c r="Q56" s="169">
        <v>43245</v>
      </c>
      <c r="R56" s="8" t="s">
        <v>170</v>
      </c>
      <c r="S56" s="167" t="s">
        <v>926</v>
      </c>
      <c r="T56" s="167" t="s">
        <v>927</v>
      </c>
      <c r="U56" s="167">
        <v>509900664</v>
      </c>
      <c r="V56" s="20"/>
      <c r="W56" s="20" t="s">
        <v>928</v>
      </c>
      <c r="X56" s="20"/>
      <c r="Y56" s="20">
        <v>174</v>
      </c>
      <c r="Z56" s="204"/>
      <c r="AA56" s="20"/>
      <c r="AB56" s="20" t="s">
        <v>929</v>
      </c>
    </row>
    <row r="57" spans="1:28" ht="15.75" customHeight="1">
      <c r="A57" s="8">
        <v>55</v>
      </c>
      <c r="B57" s="20" t="s">
        <v>930</v>
      </c>
      <c r="C57" s="20" t="s">
        <v>931</v>
      </c>
      <c r="D57" s="159"/>
      <c r="E57" s="159"/>
      <c r="F57" s="159"/>
      <c r="G57" s="159"/>
      <c r="H57" s="159"/>
      <c r="I57" s="159"/>
      <c r="J57" s="159"/>
      <c r="K57" s="159"/>
      <c r="L57" s="204">
        <v>50</v>
      </c>
      <c r="M57" s="204"/>
      <c r="N57" s="167"/>
      <c r="O57" s="178">
        <v>43246</v>
      </c>
      <c r="P57" s="169">
        <v>43248</v>
      </c>
      <c r="Q57" s="169">
        <v>43248</v>
      </c>
      <c r="R57" s="8" t="s">
        <v>170</v>
      </c>
      <c r="S57" s="167" t="s">
        <v>932</v>
      </c>
      <c r="T57" s="167" t="s">
        <v>933</v>
      </c>
      <c r="U57" s="186">
        <v>531361998</v>
      </c>
      <c r="V57" s="20"/>
      <c r="W57" s="20" t="s">
        <v>934</v>
      </c>
      <c r="X57" s="20"/>
      <c r="Y57" s="20">
        <v>175</v>
      </c>
      <c r="Z57" s="204"/>
      <c r="AA57" s="20"/>
      <c r="AB57" s="20"/>
    </row>
    <row r="58" spans="1:28" ht="15.75" customHeight="1">
      <c r="A58" s="8">
        <v>56</v>
      </c>
      <c r="B58" s="20" t="s">
        <v>481</v>
      </c>
      <c r="C58" s="20" t="s">
        <v>935</v>
      </c>
      <c r="D58" s="159"/>
      <c r="E58" s="159"/>
      <c r="F58" s="159"/>
      <c r="G58" s="159"/>
      <c r="H58" s="159"/>
      <c r="I58" s="159"/>
      <c r="J58" s="159"/>
      <c r="K58" s="159"/>
      <c r="L58" s="204">
        <v>50</v>
      </c>
      <c r="M58" s="204"/>
      <c r="N58" s="167"/>
      <c r="O58" s="178">
        <v>43261</v>
      </c>
      <c r="P58" s="169">
        <v>43262</v>
      </c>
      <c r="Q58" s="169">
        <v>43262</v>
      </c>
      <c r="R58" s="8" t="s">
        <v>170</v>
      </c>
      <c r="S58" s="167" t="s">
        <v>936</v>
      </c>
      <c r="T58" s="167" t="s">
        <v>937</v>
      </c>
      <c r="U58" s="167">
        <v>601200235</v>
      </c>
      <c r="V58" s="20" t="s">
        <v>938</v>
      </c>
      <c r="W58" s="20" t="s">
        <v>939</v>
      </c>
      <c r="X58" s="20"/>
      <c r="Y58" s="20">
        <v>176</v>
      </c>
      <c r="Z58" s="204"/>
      <c r="AA58" s="20"/>
      <c r="AB58" s="20"/>
    </row>
    <row r="59" spans="1:28" ht="15.75" customHeight="1">
      <c r="A59" s="8">
        <v>57</v>
      </c>
      <c r="B59" s="20" t="s">
        <v>940</v>
      </c>
      <c r="C59" s="20" t="s">
        <v>941</v>
      </c>
      <c r="D59" s="159"/>
      <c r="E59" s="159"/>
      <c r="F59" s="159"/>
      <c r="G59" s="159"/>
      <c r="H59" s="159"/>
      <c r="I59" s="159"/>
      <c r="J59" s="159"/>
      <c r="K59" s="159"/>
      <c r="L59" s="204">
        <v>50</v>
      </c>
      <c r="M59" s="204"/>
      <c r="N59" s="167">
        <v>50</v>
      </c>
      <c r="O59" s="178">
        <v>43275</v>
      </c>
      <c r="P59" s="169">
        <v>43276</v>
      </c>
      <c r="Q59" s="169">
        <v>44105</v>
      </c>
      <c r="R59" s="8" t="s">
        <v>170</v>
      </c>
      <c r="S59" s="167" t="s">
        <v>942</v>
      </c>
      <c r="T59" s="167" t="s">
        <v>943</v>
      </c>
      <c r="U59" s="167">
        <v>690982541</v>
      </c>
      <c r="V59" s="20"/>
      <c r="W59" s="20" t="s">
        <v>944</v>
      </c>
      <c r="X59" s="20"/>
      <c r="Y59" s="20">
        <v>177</v>
      </c>
      <c r="Z59" s="204"/>
      <c r="AA59" s="20"/>
      <c r="AB59" s="20"/>
    </row>
    <row r="60" spans="1:28" ht="15.75" customHeight="1">
      <c r="A60" s="8">
        <v>58</v>
      </c>
      <c r="B60" s="20" t="s">
        <v>924</v>
      </c>
      <c r="C60" s="20" t="s">
        <v>945</v>
      </c>
      <c r="D60" s="159"/>
      <c r="E60" s="159"/>
      <c r="F60" s="159"/>
      <c r="G60" s="159"/>
      <c r="H60" s="159"/>
      <c r="I60" s="159"/>
      <c r="J60" s="159"/>
      <c r="K60" s="159"/>
      <c r="L60" s="204">
        <v>50</v>
      </c>
      <c r="M60" s="204">
        <v>50</v>
      </c>
      <c r="N60" s="10">
        <v>50</v>
      </c>
      <c r="O60" s="178">
        <v>43317</v>
      </c>
      <c r="P60" s="169">
        <v>43318</v>
      </c>
      <c r="Q60" s="169">
        <v>44071</v>
      </c>
      <c r="R60" s="8" t="s">
        <v>170</v>
      </c>
      <c r="S60" s="167" t="s">
        <v>946</v>
      </c>
      <c r="T60" s="167" t="s">
        <v>947</v>
      </c>
      <c r="U60" s="167">
        <v>607299999</v>
      </c>
      <c r="V60" s="20" t="s">
        <v>948</v>
      </c>
      <c r="W60" s="20" t="s">
        <v>949</v>
      </c>
      <c r="X60" s="20"/>
      <c r="Y60" s="20">
        <v>178</v>
      </c>
      <c r="Z60" s="204"/>
      <c r="AA60" s="20"/>
      <c r="AB60" s="20"/>
    </row>
    <row r="61" spans="1:28" ht="15.75" customHeight="1">
      <c r="A61" s="8">
        <v>59</v>
      </c>
      <c r="B61" s="20" t="s">
        <v>559</v>
      </c>
      <c r="C61" s="20" t="s">
        <v>128</v>
      </c>
      <c r="D61" s="159"/>
      <c r="E61" s="159"/>
      <c r="F61" s="159"/>
      <c r="G61" s="159"/>
      <c r="H61" s="159"/>
      <c r="I61" s="159"/>
      <c r="J61" s="159"/>
      <c r="K61" s="159"/>
      <c r="L61" s="204">
        <v>50</v>
      </c>
      <c r="M61" s="204"/>
      <c r="N61" s="167"/>
      <c r="O61" s="178">
        <v>43333</v>
      </c>
      <c r="P61" s="169">
        <v>43333</v>
      </c>
      <c r="Q61" s="169">
        <v>43333</v>
      </c>
      <c r="R61" s="8" t="s">
        <v>170</v>
      </c>
      <c r="S61" s="167" t="s">
        <v>950</v>
      </c>
      <c r="T61" s="167" t="s">
        <v>951</v>
      </c>
      <c r="U61" s="186">
        <v>604516243</v>
      </c>
      <c r="V61" s="20" t="s">
        <v>952</v>
      </c>
      <c r="W61" s="20" t="s">
        <v>953</v>
      </c>
      <c r="X61" s="20"/>
      <c r="Y61" s="20">
        <v>179</v>
      </c>
      <c r="Z61" s="204"/>
      <c r="AA61" s="20" t="s">
        <v>954</v>
      </c>
      <c r="AB61" s="20"/>
    </row>
    <row r="62" spans="1:28" ht="15.75" customHeight="1">
      <c r="A62" s="8">
        <v>60</v>
      </c>
      <c r="B62" s="20" t="s">
        <v>568</v>
      </c>
      <c r="C62" s="20" t="s">
        <v>116</v>
      </c>
      <c r="D62" s="159"/>
      <c r="E62" s="159"/>
      <c r="F62" s="159"/>
      <c r="G62" s="159"/>
      <c r="H62" s="159"/>
      <c r="I62" s="159"/>
      <c r="J62" s="159"/>
      <c r="K62" s="159"/>
      <c r="L62" s="204">
        <v>50</v>
      </c>
      <c r="M62" s="204"/>
      <c r="N62" s="167"/>
      <c r="O62" s="178">
        <v>43341</v>
      </c>
      <c r="P62" s="169">
        <v>43342</v>
      </c>
      <c r="Q62" s="169">
        <v>43342</v>
      </c>
      <c r="R62" s="8" t="s">
        <v>170</v>
      </c>
      <c r="S62" s="167" t="s">
        <v>955</v>
      </c>
      <c r="T62" s="167" t="s">
        <v>956</v>
      </c>
      <c r="U62" s="167">
        <v>721120282</v>
      </c>
      <c r="V62" s="20"/>
      <c r="W62" s="20" t="s">
        <v>957</v>
      </c>
      <c r="X62" s="20"/>
      <c r="Y62" s="20">
        <v>180</v>
      </c>
      <c r="Z62" s="204"/>
      <c r="AA62" s="20"/>
      <c r="AB62" s="20"/>
    </row>
    <row r="63" spans="1:28" ht="15.75" customHeight="1">
      <c r="A63" s="8">
        <v>61</v>
      </c>
      <c r="B63" s="20" t="s">
        <v>48</v>
      </c>
      <c r="C63" s="20" t="s">
        <v>958</v>
      </c>
      <c r="D63" s="159"/>
      <c r="E63" s="159"/>
      <c r="F63" s="159"/>
      <c r="G63" s="159"/>
      <c r="H63" s="159"/>
      <c r="I63" s="159"/>
      <c r="J63" s="159"/>
      <c r="K63" s="159"/>
      <c r="L63" s="204">
        <v>50</v>
      </c>
      <c r="M63" s="204"/>
      <c r="N63" s="167">
        <v>50</v>
      </c>
      <c r="O63" s="178">
        <v>43353</v>
      </c>
      <c r="P63" s="169">
        <v>43354</v>
      </c>
      <c r="Q63" s="169">
        <v>43936</v>
      </c>
      <c r="R63" s="8" t="s">
        <v>170</v>
      </c>
      <c r="S63" s="167" t="s">
        <v>959</v>
      </c>
      <c r="T63" s="167" t="s">
        <v>960</v>
      </c>
      <c r="U63" s="186">
        <v>791142314</v>
      </c>
      <c r="V63" s="20"/>
      <c r="W63" s="20" t="s">
        <v>961</v>
      </c>
      <c r="X63" s="20"/>
      <c r="Y63" s="20">
        <v>181</v>
      </c>
      <c r="Z63" s="204"/>
      <c r="AA63" s="20"/>
      <c r="AB63" s="20"/>
    </row>
    <row r="64" spans="1:28" ht="15.75" customHeight="1">
      <c r="A64" s="8">
        <v>62</v>
      </c>
      <c r="B64" s="20" t="s">
        <v>239</v>
      </c>
      <c r="C64" s="20" t="s">
        <v>962</v>
      </c>
      <c r="D64" s="159"/>
      <c r="E64" s="159"/>
      <c r="F64" s="159"/>
      <c r="G64" s="159"/>
      <c r="H64" s="159"/>
      <c r="I64" s="159"/>
      <c r="J64" s="159"/>
      <c r="K64" s="159"/>
      <c r="L64" s="204">
        <v>50</v>
      </c>
      <c r="M64" s="204"/>
      <c r="N64" s="167"/>
      <c r="O64" s="178">
        <v>43368</v>
      </c>
      <c r="P64" s="169">
        <v>43369</v>
      </c>
      <c r="Q64" s="169">
        <v>43369</v>
      </c>
      <c r="R64" s="8" t="s">
        <v>170</v>
      </c>
      <c r="S64" s="167" t="s">
        <v>963</v>
      </c>
      <c r="T64" s="167" t="s">
        <v>964</v>
      </c>
      <c r="U64" s="186">
        <v>664733883</v>
      </c>
      <c r="V64" s="20"/>
      <c r="W64" s="20" t="s">
        <v>965</v>
      </c>
      <c r="X64" s="20"/>
      <c r="Y64" s="20">
        <v>182</v>
      </c>
      <c r="Z64" s="204"/>
      <c r="AA64" s="20" t="s">
        <v>966</v>
      </c>
      <c r="AB64" s="20"/>
    </row>
    <row r="65" spans="1:28" ht="15.75" customHeight="1">
      <c r="A65" s="8">
        <v>63</v>
      </c>
      <c r="B65" s="20" t="s">
        <v>55</v>
      </c>
      <c r="C65" s="20" t="s">
        <v>402</v>
      </c>
      <c r="D65" s="159"/>
      <c r="E65" s="159"/>
      <c r="F65" s="159"/>
      <c r="G65" s="159"/>
      <c r="H65" s="159"/>
      <c r="I65" s="159"/>
      <c r="J65" s="159"/>
      <c r="K65" s="159"/>
      <c r="L65" s="204">
        <v>50</v>
      </c>
      <c r="M65" s="204"/>
      <c r="N65" s="167"/>
      <c r="O65" s="178">
        <v>43397</v>
      </c>
      <c r="P65" s="169">
        <v>43398</v>
      </c>
      <c r="Q65" s="169">
        <v>43398</v>
      </c>
      <c r="R65" s="8" t="s">
        <v>170</v>
      </c>
      <c r="S65" s="167" t="s">
        <v>967</v>
      </c>
      <c r="T65" s="167" t="s">
        <v>968</v>
      </c>
      <c r="U65" s="167">
        <v>609295232</v>
      </c>
      <c r="V65" s="20"/>
      <c r="W65" s="20" t="s">
        <v>969</v>
      </c>
      <c r="X65" s="20"/>
      <c r="Y65" s="20">
        <v>183</v>
      </c>
      <c r="Z65" s="204"/>
      <c r="AA65" s="20"/>
      <c r="AB65" s="20"/>
    </row>
    <row r="66" spans="1:28" ht="15.75" customHeight="1">
      <c r="A66" s="8">
        <v>64</v>
      </c>
      <c r="B66" s="20" t="s">
        <v>13</v>
      </c>
      <c r="C66" s="20" t="s">
        <v>970</v>
      </c>
      <c r="D66" s="159"/>
      <c r="E66" s="159"/>
      <c r="F66" s="159"/>
      <c r="G66" s="159"/>
      <c r="H66" s="159"/>
      <c r="I66" s="159"/>
      <c r="J66" s="159"/>
      <c r="K66" s="159"/>
      <c r="L66" s="204">
        <v>50</v>
      </c>
      <c r="M66" s="204">
        <v>50</v>
      </c>
      <c r="N66" s="167">
        <v>50</v>
      </c>
      <c r="O66" s="178">
        <v>43398</v>
      </c>
      <c r="P66" s="169">
        <v>43399</v>
      </c>
      <c r="Q66" s="169">
        <v>44160</v>
      </c>
      <c r="R66" s="8" t="s">
        <v>170</v>
      </c>
      <c r="S66" s="167" t="s">
        <v>971</v>
      </c>
      <c r="T66" s="167" t="s">
        <v>972</v>
      </c>
      <c r="U66" s="167">
        <v>506162905</v>
      </c>
      <c r="V66" s="20"/>
      <c r="W66" s="20" t="s">
        <v>973</v>
      </c>
      <c r="X66" s="20"/>
      <c r="Y66" s="20">
        <v>184</v>
      </c>
      <c r="Z66" s="204"/>
      <c r="AA66" s="20"/>
      <c r="AB66" s="20"/>
    </row>
    <row r="67" spans="1:28" ht="15.75" customHeight="1">
      <c r="A67" s="8">
        <v>65</v>
      </c>
      <c r="B67" s="20" t="s">
        <v>300</v>
      </c>
      <c r="C67" s="20" t="s">
        <v>974</v>
      </c>
      <c r="D67" s="159"/>
      <c r="E67" s="159"/>
      <c r="F67" s="159"/>
      <c r="G67" s="159"/>
      <c r="H67" s="159"/>
      <c r="I67" s="159"/>
      <c r="J67" s="159"/>
      <c r="K67" s="159"/>
      <c r="L67" s="204">
        <v>50</v>
      </c>
      <c r="M67" s="204">
        <v>50</v>
      </c>
      <c r="N67" s="167">
        <v>50</v>
      </c>
      <c r="O67" s="178">
        <v>43402</v>
      </c>
      <c r="P67" s="169">
        <v>43403</v>
      </c>
      <c r="Q67" s="169">
        <v>44138</v>
      </c>
      <c r="R67" s="8" t="s">
        <v>170</v>
      </c>
      <c r="S67" s="167" t="s">
        <v>975</v>
      </c>
      <c r="T67" s="167" t="s">
        <v>976</v>
      </c>
      <c r="U67" s="167">
        <v>881438135</v>
      </c>
      <c r="V67" s="20"/>
      <c r="W67" s="20" t="s">
        <v>977</v>
      </c>
      <c r="X67" s="20"/>
      <c r="Y67" s="20">
        <v>185</v>
      </c>
      <c r="Z67" s="204"/>
      <c r="AA67" s="20" t="s">
        <v>978</v>
      </c>
      <c r="AB67" s="20" t="s">
        <v>979</v>
      </c>
    </row>
    <row r="68" spans="1:28" ht="15.75" customHeight="1">
      <c r="A68" s="8">
        <v>66</v>
      </c>
      <c r="B68" s="20" t="s">
        <v>980</v>
      </c>
      <c r="C68" s="20" t="s">
        <v>981</v>
      </c>
      <c r="D68" s="159"/>
      <c r="E68" s="159"/>
      <c r="F68" s="159"/>
      <c r="G68" s="159"/>
      <c r="H68" s="159"/>
      <c r="I68" s="159"/>
      <c r="J68" s="159"/>
      <c r="K68" s="159"/>
      <c r="L68" s="204">
        <v>50</v>
      </c>
      <c r="M68" s="204"/>
      <c r="N68" s="167"/>
      <c r="O68" s="178">
        <v>43417</v>
      </c>
      <c r="P68" s="169">
        <v>43418</v>
      </c>
      <c r="Q68" s="169">
        <v>43418</v>
      </c>
      <c r="R68" s="8" t="s">
        <v>170</v>
      </c>
      <c r="S68" s="167" t="s">
        <v>982</v>
      </c>
      <c r="T68" s="167" t="s">
        <v>983</v>
      </c>
      <c r="U68" s="167">
        <v>600367361</v>
      </c>
      <c r="V68" s="20"/>
      <c r="W68" s="20" t="s">
        <v>984</v>
      </c>
      <c r="X68" s="20"/>
      <c r="Y68" s="20">
        <v>186</v>
      </c>
      <c r="Z68" s="204"/>
      <c r="AA68" s="20" t="s">
        <v>985</v>
      </c>
      <c r="AB68" s="20"/>
    </row>
    <row r="69" spans="1:28" ht="15.75" customHeight="1">
      <c r="A69" s="8">
        <v>67</v>
      </c>
      <c r="B69" s="20" t="s">
        <v>559</v>
      </c>
      <c r="C69" s="20" t="s">
        <v>986</v>
      </c>
      <c r="D69" s="159"/>
      <c r="E69" s="159"/>
      <c r="F69" s="159"/>
      <c r="G69" s="159"/>
      <c r="H69" s="159"/>
      <c r="I69" s="159"/>
      <c r="J69" s="159"/>
      <c r="K69" s="159"/>
      <c r="L69" s="20">
        <v>50</v>
      </c>
      <c r="M69" s="204"/>
      <c r="N69" s="167"/>
      <c r="O69" s="178">
        <v>43418</v>
      </c>
      <c r="P69" s="169">
        <v>43419</v>
      </c>
      <c r="Q69" s="169">
        <v>43419</v>
      </c>
      <c r="R69" s="8" t="s">
        <v>170</v>
      </c>
      <c r="S69" s="167" t="s">
        <v>987</v>
      </c>
      <c r="T69" s="167" t="s">
        <v>988</v>
      </c>
      <c r="U69" s="167">
        <v>669609981</v>
      </c>
      <c r="V69" s="20"/>
      <c r="W69" s="20" t="s">
        <v>989</v>
      </c>
      <c r="X69" s="20"/>
      <c r="Y69" s="20">
        <v>187</v>
      </c>
      <c r="Z69" s="20"/>
      <c r="AA69" s="20"/>
      <c r="AB69" s="20"/>
    </row>
    <row r="70" spans="1:28" ht="15.75" customHeight="1">
      <c r="A70" s="8">
        <v>68</v>
      </c>
      <c r="B70" s="20" t="s">
        <v>1002</v>
      </c>
      <c r="C70" s="20" t="s">
        <v>755</v>
      </c>
      <c r="D70" s="159"/>
      <c r="E70" s="159"/>
      <c r="F70" s="159"/>
      <c r="G70" s="159"/>
      <c r="H70" s="159"/>
      <c r="I70" s="159"/>
      <c r="J70" s="159"/>
      <c r="K70" s="159"/>
      <c r="L70" s="159"/>
      <c r="M70" s="204">
        <v>50</v>
      </c>
      <c r="N70" s="167"/>
      <c r="O70" s="178">
        <v>43469</v>
      </c>
      <c r="P70" s="169">
        <v>43469</v>
      </c>
      <c r="Q70" s="169">
        <v>43469</v>
      </c>
      <c r="R70" s="8" t="s">
        <v>170</v>
      </c>
      <c r="S70" s="167" t="s">
        <v>1003</v>
      </c>
      <c r="T70" s="167" t="s">
        <v>757</v>
      </c>
      <c r="U70" s="186">
        <v>696453314</v>
      </c>
      <c r="V70" s="20"/>
      <c r="W70" s="20" t="s">
        <v>1004</v>
      </c>
      <c r="X70" s="20"/>
      <c r="Y70" s="20">
        <v>188</v>
      </c>
      <c r="Z70" s="20"/>
      <c r="AA70" s="20"/>
      <c r="AB70" s="20"/>
    </row>
    <row r="71" spans="1:28" ht="15.75" customHeight="1">
      <c r="A71" s="8">
        <v>69</v>
      </c>
      <c r="B71" s="20" t="s">
        <v>511</v>
      </c>
      <c r="C71" s="20" t="s">
        <v>1005</v>
      </c>
      <c r="D71" s="159"/>
      <c r="E71" s="159"/>
      <c r="F71" s="159"/>
      <c r="G71" s="159"/>
      <c r="H71" s="159"/>
      <c r="I71" s="159"/>
      <c r="J71" s="159"/>
      <c r="K71" s="159"/>
      <c r="L71" s="159"/>
      <c r="M71" s="204">
        <v>50</v>
      </c>
      <c r="N71" s="167">
        <v>50</v>
      </c>
      <c r="O71" s="178">
        <v>43503</v>
      </c>
      <c r="P71" s="169">
        <v>43503</v>
      </c>
      <c r="Q71" s="169">
        <v>43865</v>
      </c>
      <c r="R71" s="8" t="s">
        <v>170</v>
      </c>
      <c r="S71" s="167" t="s">
        <v>1006</v>
      </c>
      <c r="T71" s="167" t="s">
        <v>656</v>
      </c>
      <c r="U71" s="167">
        <v>729769112</v>
      </c>
      <c r="V71" s="20"/>
      <c r="W71" s="20" t="s">
        <v>1007</v>
      </c>
      <c r="X71" s="20"/>
      <c r="Y71" s="20">
        <v>189</v>
      </c>
      <c r="Z71" s="20"/>
      <c r="AA71" s="20"/>
      <c r="AB71" s="20"/>
    </row>
    <row r="72" spans="1:28" ht="15.75" customHeight="1">
      <c r="A72" s="8">
        <v>70</v>
      </c>
      <c r="B72" s="20" t="s">
        <v>194</v>
      </c>
      <c r="C72" s="20" t="s">
        <v>1008</v>
      </c>
      <c r="D72" s="159"/>
      <c r="E72" s="159"/>
      <c r="F72" s="159"/>
      <c r="G72" s="159"/>
      <c r="H72" s="159"/>
      <c r="I72" s="159"/>
      <c r="J72" s="159"/>
      <c r="K72" s="159"/>
      <c r="L72" s="159"/>
      <c r="M72" s="204">
        <v>50</v>
      </c>
      <c r="N72" s="167"/>
      <c r="O72" s="178">
        <v>43509</v>
      </c>
      <c r="P72" s="169">
        <v>43510</v>
      </c>
      <c r="Q72" s="169">
        <v>43510</v>
      </c>
      <c r="R72" s="8" t="s">
        <v>170</v>
      </c>
      <c r="S72" s="167" t="s">
        <v>1009</v>
      </c>
      <c r="T72" s="167" t="s">
        <v>1010</v>
      </c>
      <c r="U72" s="167">
        <v>507407737</v>
      </c>
      <c r="V72" s="20"/>
      <c r="W72" s="20" t="s">
        <v>1011</v>
      </c>
      <c r="X72" s="20"/>
      <c r="Y72" s="20">
        <v>190</v>
      </c>
      <c r="Z72" s="20"/>
      <c r="AA72" s="20" t="s">
        <v>1012</v>
      </c>
      <c r="AB72" s="20"/>
    </row>
    <row r="73" spans="1:28" ht="15.75" customHeight="1">
      <c r="A73" s="8">
        <v>71</v>
      </c>
      <c r="B73" s="20" t="s">
        <v>1013</v>
      </c>
      <c r="C73" s="20" t="s">
        <v>1014</v>
      </c>
      <c r="D73" s="159"/>
      <c r="E73" s="159"/>
      <c r="F73" s="159"/>
      <c r="G73" s="159"/>
      <c r="H73" s="159"/>
      <c r="I73" s="159"/>
      <c r="J73" s="159"/>
      <c r="K73" s="159"/>
      <c r="L73" s="159"/>
      <c r="M73" s="204">
        <v>50</v>
      </c>
      <c r="N73" s="167"/>
      <c r="O73" s="178">
        <v>43521</v>
      </c>
      <c r="P73" s="169">
        <v>43521</v>
      </c>
      <c r="Q73" s="169">
        <v>43521</v>
      </c>
      <c r="R73" s="8" t="s">
        <v>170</v>
      </c>
      <c r="S73" s="167" t="s">
        <v>1015</v>
      </c>
      <c r="T73" s="167" t="s">
        <v>1016</v>
      </c>
      <c r="U73" s="167">
        <v>503790338</v>
      </c>
      <c r="V73" s="20"/>
      <c r="W73" s="20" t="s">
        <v>1017</v>
      </c>
      <c r="X73" s="20"/>
      <c r="Y73" s="20">
        <v>191</v>
      </c>
      <c r="Z73" s="40" t="s">
        <v>200</v>
      </c>
      <c r="AA73" s="20"/>
      <c r="AB73" s="20"/>
    </row>
    <row r="74" spans="1:28" ht="15.75" customHeight="1">
      <c r="A74" s="8">
        <v>72</v>
      </c>
      <c r="B74" s="20" t="s">
        <v>1018</v>
      </c>
      <c r="C74" s="20" t="s">
        <v>1019</v>
      </c>
      <c r="D74" s="159"/>
      <c r="E74" s="159"/>
      <c r="F74" s="159"/>
      <c r="G74" s="159"/>
      <c r="H74" s="159"/>
      <c r="I74" s="159"/>
      <c r="J74" s="159"/>
      <c r="K74" s="159"/>
      <c r="L74" s="159"/>
      <c r="M74" s="204">
        <v>50</v>
      </c>
      <c r="N74" s="167"/>
      <c r="O74" s="178">
        <v>43521</v>
      </c>
      <c r="P74" s="169">
        <v>43522</v>
      </c>
      <c r="Q74" s="169">
        <v>43522</v>
      </c>
      <c r="R74" s="8" t="s">
        <v>170</v>
      </c>
      <c r="S74" s="167" t="s">
        <v>1020</v>
      </c>
      <c r="T74" s="167" t="s">
        <v>1021</v>
      </c>
      <c r="U74" s="167">
        <v>788500095</v>
      </c>
      <c r="V74" s="20"/>
      <c r="W74" s="20" t="s">
        <v>1022</v>
      </c>
      <c r="X74" s="20"/>
      <c r="Y74" s="20">
        <v>192</v>
      </c>
      <c r="Z74" s="40" t="s">
        <v>200</v>
      </c>
      <c r="AA74" s="20"/>
      <c r="AB74" s="20" t="s">
        <v>1023</v>
      </c>
    </row>
    <row r="75" spans="1:28" ht="15.75" customHeight="1">
      <c r="A75" s="8">
        <v>73</v>
      </c>
      <c r="B75" s="20" t="s">
        <v>556</v>
      </c>
      <c r="C75" s="20" t="s">
        <v>48</v>
      </c>
      <c r="D75" s="159"/>
      <c r="E75" s="159"/>
      <c r="F75" s="159"/>
      <c r="G75" s="159"/>
      <c r="H75" s="159"/>
      <c r="I75" s="159"/>
      <c r="J75" s="159"/>
      <c r="K75" s="159"/>
      <c r="L75" s="159"/>
      <c r="M75" s="204">
        <v>50</v>
      </c>
      <c r="N75" s="167"/>
      <c r="O75" s="178">
        <v>43538</v>
      </c>
      <c r="P75" s="169">
        <v>43538</v>
      </c>
      <c r="Q75" s="169">
        <v>43538</v>
      </c>
      <c r="R75" s="8" t="s">
        <v>170</v>
      </c>
      <c r="S75" s="167" t="s">
        <v>1024</v>
      </c>
      <c r="T75" s="167" t="s">
        <v>535</v>
      </c>
      <c r="U75" s="167">
        <v>601610131</v>
      </c>
      <c r="V75" s="20"/>
      <c r="W75" s="20" t="s">
        <v>536</v>
      </c>
      <c r="X75" s="20"/>
      <c r="Y75" s="20">
        <v>193</v>
      </c>
      <c r="Z75" s="20"/>
      <c r="AA75" s="20" t="s">
        <v>1025</v>
      </c>
      <c r="AB75" s="20"/>
    </row>
    <row r="76" spans="1:28" ht="15.75" customHeight="1">
      <c r="A76" s="8">
        <v>74</v>
      </c>
      <c r="B76" s="20" t="s">
        <v>559</v>
      </c>
      <c r="C76" s="20" t="s">
        <v>1026</v>
      </c>
      <c r="D76" s="159"/>
      <c r="E76" s="159"/>
      <c r="F76" s="159"/>
      <c r="G76" s="159"/>
      <c r="H76" s="159"/>
      <c r="I76" s="159"/>
      <c r="J76" s="159"/>
      <c r="K76" s="159"/>
      <c r="L76" s="159"/>
      <c r="M76" s="204">
        <v>50</v>
      </c>
      <c r="N76" s="167">
        <v>50</v>
      </c>
      <c r="O76" s="178">
        <v>43542</v>
      </c>
      <c r="P76" s="169">
        <v>43543</v>
      </c>
      <c r="Q76" s="169">
        <v>43909</v>
      </c>
      <c r="R76" s="18" t="s">
        <v>689</v>
      </c>
      <c r="S76" s="167" t="s">
        <v>1027</v>
      </c>
      <c r="T76" s="167" t="s">
        <v>1028</v>
      </c>
      <c r="U76" s="167">
        <v>532474731</v>
      </c>
      <c r="V76" s="20" t="s">
        <v>1029</v>
      </c>
      <c r="W76" s="20" t="s">
        <v>1030</v>
      </c>
      <c r="X76" s="20"/>
      <c r="Y76" s="20">
        <v>194</v>
      </c>
      <c r="Z76" s="40" t="s">
        <v>200</v>
      </c>
      <c r="AA76" s="20" t="s">
        <v>1031</v>
      </c>
      <c r="AB76" s="20"/>
    </row>
    <row r="77" spans="1:28" ht="15.75" customHeight="1">
      <c r="A77" s="8">
        <v>75</v>
      </c>
      <c r="B77" s="20" t="s">
        <v>441</v>
      </c>
      <c r="C77" s="20" t="s">
        <v>1032</v>
      </c>
      <c r="D77" s="159"/>
      <c r="E77" s="159"/>
      <c r="F77" s="159"/>
      <c r="G77" s="159"/>
      <c r="H77" s="159"/>
      <c r="I77" s="159"/>
      <c r="J77" s="159"/>
      <c r="K77" s="159"/>
      <c r="L77" s="159"/>
      <c r="M77" s="204">
        <v>50</v>
      </c>
      <c r="N77" s="167"/>
      <c r="O77" s="178">
        <v>43573</v>
      </c>
      <c r="P77" s="169">
        <v>43573</v>
      </c>
      <c r="Q77" s="169">
        <v>43573</v>
      </c>
      <c r="R77" s="8" t="s">
        <v>170</v>
      </c>
      <c r="S77" s="167" t="s">
        <v>1033</v>
      </c>
      <c r="T77" s="167" t="s">
        <v>1034</v>
      </c>
      <c r="U77" s="167">
        <v>608631929</v>
      </c>
      <c r="V77" s="20" t="s">
        <v>1035</v>
      </c>
      <c r="W77" s="20" t="s">
        <v>1036</v>
      </c>
      <c r="X77" s="20">
        <v>502754558</v>
      </c>
      <c r="Y77" s="20">
        <v>195</v>
      </c>
      <c r="Z77" s="20"/>
      <c r="AA77" s="20"/>
      <c r="AB77" s="20"/>
    </row>
    <row r="78" spans="1:28" ht="15.75" customHeight="1">
      <c r="A78" s="8">
        <v>76</v>
      </c>
      <c r="B78" s="20" t="s">
        <v>905</v>
      </c>
      <c r="C78" s="20" t="s">
        <v>1037</v>
      </c>
      <c r="D78" s="159"/>
      <c r="E78" s="159"/>
      <c r="F78" s="159"/>
      <c r="G78" s="159"/>
      <c r="H78" s="159"/>
      <c r="I78" s="159"/>
      <c r="J78" s="159"/>
      <c r="K78" s="159"/>
      <c r="L78" s="159"/>
      <c r="M78" s="204">
        <v>50</v>
      </c>
      <c r="N78" s="167"/>
      <c r="O78" s="178">
        <v>43577</v>
      </c>
      <c r="P78" s="169">
        <v>43577</v>
      </c>
      <c r="Q78" s="169">
        <v>43577</v>
      </c>
      <c r="R78" s="8" t="s">
        <v>170</v>
      </c>
      <c r="S78" s="167" t="s">
        <v>1038</v>
      </c>
      <c r="T78" s="167" t="s">
        <v>1039</v>
      </c>
      <c r="U78" s="167">
        <v>664081460</v>
      </c>
      <c r="V78" s="20"/>
      <c r="W78" s="20" t="s">
        <v>1040</v>
      </c>
      <c r="X78" s="20"/>
      <c r="Y78" s="20">
        <v>196</v>
      </c>
      <c r="Z78" s="20"/>
      <c r="AA78" s="20"/>
      <c r="AB78" s="20"/>
    </row>
    <row r="79" spans="1:28" ht="15.75" customHeight="1">
      <c r="A79" s="8">
        <v>77</v>
      </c>
      <c r="B79" s="20" t="s">
        <v>194</v>
      </c>
      <c r="C79" s="20" t="s">
        <v>710</v>
      </c>
      <c r="D79" s="159"/>
      <c r="E79" s="159"/>
      <c r="F79" s="159"/>
      <c r="G79" s="159"/>
      <c r="H79" s="159"/>
      <c r="I79" s="159"/>
      <c r="J79" s="159"/>
      <c r="K79" s="159"/>
      <c r="L79" s="159"/>
      <c r="M79" s="204">
        <v>50</v>
      </c>
      <c r="N79" s="167"/>
      <c r="O79" s="178">
        <v>43578</v>
      </c>
      <c r="P79" s="169">
        <v>43578</v>
      </c>
      <c r="Q79" s="169">
        <v>43578</v>
      </c>
      <c r="R79" s="8" t="s">
        <v>170</v>
      </c>
      <c r="S79" s="167" t="s">
        <v>1041</v>
      </c>
      <c r="T79" s="167" t="s">
        <v>712</v>
      </c>
      <c r="U79" s="167">
        <v>605206191</v>
      </c>
      <c r="V79" s="20"/>
      <c r="W79" s="20" t="s">
        <v>1042</v>
      </c>
      <c r="X79" s="20"/>
      <c r="Y79" s="20">
        <v>197</v>
      </c>
      <c r="Z79" s="20"/>
      <c r="AA79" s="20"/>
      <c r="AB79" s="20"/>
    </row>
    <row r="80" spans="1:28" ht="15.75" customHeight="1">
      <c r="A80" s="8">
        <v>78</v>
      </c>
      <c r="B80" s="20" t="s">
        <v>127</v>
      </c>
      <c r="C80" s="20" t="s">
        <v>1043</v>
      </c>
      <c r="D80" s="159"/>
      <c r="E80" s="159"/>
      <c r="F80" s="159"/>
      <c r="G80" s="159"/>
      <c r="H80" s="159"/>
      <c r="I80" s="159"/>
      <c r="J80" s="159"/>
      <c r="K80" s="159"/>
      <c r="L80" s="159"/>
      <c r="M80" s="204">
        <v>50</v>
      </c>
      <c r="N80" s="167">
        <v>50</v>
      </c>
      <c r="O80" s="178">
        <v>43579</v>
      </c>
      <c r="P80" s="169">
        <v>43580</v>
      </c>
      <c r="Q80" s="169">
        <v>43959</v>
      </c>
      <c r="R80" s="8" t="s">
        <v>170</v>
      </c>
      <c r="S80" s="167" t="s">
        <v>1044</v>
      </c>
      <c r="T80" s="167" t="s">
        <v>1045</v>
      </c>
      <c r="U80" s="167">
        <v>787944957</v>
      </c>
      <c r="V80" s="20" t="s">
        <v>1046</v>
      </c>
      <c r="W80" s="20" t="s">
        <v>1047</v>
      </c>
      <c r="X80" s="20">
        <v>797542446</v>
      </c>
      <c r="Y80" s="20">
        <v>198</v>
      </c>
      <c r="Z80" s="20"/>
      <c r="AA80" s="20"/>
      <c r="AB80" s="20"/>
    </row>
    <row r="81" spans="1:28" ht="15.75" customHeight="1">
      <c r="A81" s="8">
        <v>79</v>
      </c>
      <c r="B81" s="20" t="s">
        <v>1048</v>
      </c>
      <c r="C81" s="20" t="s">
        <v>1049</v>
      </c>
      <c r="D81" s="159"/>
      <c r="E81" s="159"/>
      <c r="F81" s="159"/>
      <c r="G81" s="159"/>
      <c r="H81" s="159"/>
      <c r="I81" s="159"/>
      <c r="J81" s="159"/>
      <c r="K81" s="159"/>
      <c r="L81" s="159"/>
      <c r="M81" s="204">
        <v>50</v>
      </c>
      <c r="N81" s="167"/>
      <c r="O81" s="178">
        <v>43642</v>
      </c>
      <c r="P81" s="169">
        <v>43642</v>
      </c>
      <c r="Q81" s="169">
        <v>43642</v>
      </c>
      <c r="R81" s="8" t="s">
        <v>170</v>
      </c>
      <c r="S81" s="167" t="s">
        <v>1050</v>
      </c>
      <c r="T81" s="167" t="s">
        <v>1051</v>
      </c>
      <c r="U81" s="167">
        <v>607758544</v>
      </c>
      <c r="V81" s="20"/>
      <c r="W81" s="20" t="s">
        <v>1052</v>
      </c>
      <c r="X81" s="20"/>
      <c r="Y81" s="20">
        <v>199</v>
      </c>
      <c r="Z81" s="20"/>
      <c r="AA81" s="20"/>
      <c r="AB81" s="20"/>
    </row>
    <row r="82" spans="1:28" ht="15.75" customHeight="1">
      <c r="A82" s="8">
        <v>80</v>
      </c>
      <c r="B82" s="20" t="s">
        <v>108</v>
      </c>
      <c r="C82" s="20" t="s">
        <v>1053</v>
      </c>
      <c r="D82" s="159"/>
      <c r="E82" s="159"/>
      <c r="F82" s="159"/>
      <c r="G82" s="159"/>
      <c r="H82" s="159"/>
      <c r="I82" s="159"/>
      <c r="J82" s="159"/>
      <c r="K82" s="159"/>
      <c r="L82" s="159"/>
      <c r="M82" s="204">
        <v>50</v>
      </c>
      <c r="N82" s="167"/>
      <c r="O82" s="178">
        <v>43649</v>
      </c>
      <c r="P82" s="169">
        <v>43650</v>
      </c>
      <c r="Q82" s="169">
        <v>43650</v>
      </c>
      <c r="R82" s="8" t="s">
        <v>170</v>
      </c>
      <c r="S82" s="167" t="s">
        <v>1054</v>
      </c>
      <c r="T82" s="167" t="s">
        <v>1055</v>
      </c>
      <c r="U82" s="167">
        <v>503042380</v>
      </c>
      <c r="V82" s="20"/>
      <c r="W82" s="20" t="s">
        <v>1056</v>
      </c>
      <c r="X82" s="20"/>
      <c r="Y82" s="20">
        <v>200</v>
      </c>
      <c r="Z82" s="20"/>
      <c r="AA82" s="20"/>
      <c r="AB82" s="20"/>
    </row>
    <row r="83" spans="1:28" ht="15.75" customHeight="1">
      <c r="A83" s="8">
        <v>81</v>
      </c>
      <c r="B83" s="20" t="s">
        <v>141</v>
      </c>
      <c r="C83" s="20" t="s">
        <v>1057</v>
      </c>
      <c r="D83" s="159"/>
      <c r="E83" s="159"/>
      <c r="F83" s="159"/>
      <c r="G83" s="159"/>
      <c r="H83" s="159"/>
      <c r="I83" s="159"/>
      <c r="J83" s="159"/>
      <c r="K83" s="159"/>
      <c r="L83" s="159"/>
      <c r="M83" s="204">
        <v>50</v>
      </c>
      <c r="N83" s="167"/>
      <c r="O83" s="178">
        <v>43651</v>
      </c>
      <c r="P83" s="169">
        <v>43651</v>
      </c>
      <c r="Q83" s="169">
        <v>43651</v>
      </c>
      <c r="R83" s="8" t="s">
        <v>170</v>
      </c>
      <c r="S83" s="167" t="s">
        <v>1058</v>
      </c>
      <c r="T83" s="167" t="s">
        <v>1059</v>
      </c>
      <c r="U83" s="167">
        <v>784184984</v>
      </c>
      <c r="V83" s="20"/>
      <c r="W83" s="20" t="s">
        <v>1060</v>
      </c>
      <c r="X83" s="20"/>
      <c r="Y83" s="20">
        <v>201</v>
      </c>
      <c r="Z83" s="40" t="s">
        <v>200</v>
      </c>
      <c r="AA83" s="20" t="s">
        <v>1061</v>
      </c>
      <c r="AB83" s="20"/>
    </row>
    <row r="84" spans="1:28" ht="15.75" customHeight="1">
      <c r="A84" s="8">
        <v>82</v>
      </c>
      <c r="B84" s="20" t="s">
        <v>1062</v>
      </c>
      <c r="C84" s="20" t="s">
        <v>1063</v>
      </c>
      <c r="D84" s="159"/>
      <c r="E84" s="159"/>
      <c r="F84" s="159"/>
      <c r="G84" s="159"/>
      <c r="H84" s="159"/>
      <c r="I84" s="159"/>
      <c r="J84" s="159"/>
      <c r="K84" s="159"/>
      <c r="L84" s="159"/>
      <c r="M84" s="204">
        <v>50</v>
      </c>
      <c r="N84" s="10">
        <v>50</v>
      </c>
      <c r="O84" s="178">
        <v>43672</v>
      </c>
      <c r="P84" s="169">
        <v>43675</v>
      </c>
      <c r="Q84" s="169">
        <v>44025</v>
      </c>
      <c r="R84" s="8" t="s">
        <v>170</v>
      </c>
      <c r="S84" s="167" t="s">
        <v>1064</v>
      </c>
      <c r="T84" s="167" t="s">
        <v>1065</v>
      </c>
      <c r="U84" s="167">
        <v>509670464</v>
      </c>
      <c r="V84" s="20"/>
      <c r="W84" s="20" t="s">
        <v>1066</v>
      </c>
      <c r="X84" s="20"/>
      <c r="Y84" s="20">
        <v>202</v>
      </c>
      <c r="Z84" s="40" t="s">
        <v>200</v>
      </c>
      <c r="AA84" s="20" t="s">
        <v>1067</v>
      </c>
      <c r="AB84" s="20"/>
    </row>
    <row r="85" spans="1:28" ht="15.75" customHeight="1">
      <c r="A85" s="8">
        <v>83</v>
      </c>
      <c r="B85" s="20" t="s">
        <v>1068</v>
      </c>
      <c r="C85" s="20" t="s">
        <v>1069</v>
      </c>
      <c r="D85" s="159"/>
      <c r="E85" s="159"/>
      <c r="F85" s="159"/>
      <c r="G85" s="159"/>
      <c r="H85" s="159"/>
      <c r="I85" s="159"/>
      <c r="J85" s="159"/>
      <c r="K85" s="159"/>
      <c r="L85" s="159"/>
      <c r="M85" s="204">
        <v>50</v>
      </c>
      <c r="N85" s="10">
        <v>50</v>
      </c>
      <c r="O85" s="178">
        <v>43684</v>
      </c>
      <c r="P85" s="169">
        <v>43684</v>
      </c>
      <c r="Q85" s="169">
        <v>44053</v>
      </c>
      <c r="R85" s="8" t="s">
        <v>170</v>
      </c>
      <c r="S85" s="167" t="s">
        <v>1070</v>
      </c>
      <c r="T85" s="167" t="s">
        <v>1071</v>
      </c>
      <c r="U85" s="167">
        <v>509117890</v>
      </c>
      <c r="V85" s="20"/>
      <c r="W85" s="20" t="s">
        <v>1072</v>
      </c>
      <c r="X85" s="20"/>
      <c r="Y85" s="20">
        <v>203</v>
      </c>
      <c r="Z85" s="40" t="s">
        <v>200</v>
      </c>
      <c r="AA85" s="20"/>
      <c r="AB85" s="20"/>
    </row>
    <row r="86" spans="1:28" ht="15.75" customHeight="1">
      <c r="A86" s="8">
        <v>84</v>
      </c>
      <c r="B86" s="20" t="s">
        <v>1073</v>
      </c>
      <c r="C86" s="20" t="s">
        <v>1074</v>
      </c>
      <c r="D86" s="159"/>
      <c r="E86" s="159"/>
      <c r="F86" s="159"/>
      <c r="G86" s="159"/>
      <c r="H86" s="159"/>
      <c r="I86" s="159"/>
      <c r="J86" s="159"/>
      <c r="K86" s="159"/>
      <c r="L86" s="159"/>
      <c r="M86" s="204">
        <v>50</v>
      </c>
      <c r="N86" s="167"/>
      <c r="O86" s="178">
        <v>43684</v>
      </c>
      <c r="P86" s="169">
        <v>43685</v>
      </c>
      <c r="Q86" s="169">
        <v>43685</v>
      </c>
      <c r="R86" s="8" t="s">
        <v>170</v>
      </c>
      <c r="S86" s="167" t="s">
        <v>1075</v>
      </c>
      <c r="T86" s="167" t="s">
        <v>1076</v>
      </c>
      <c r="U86" s="167">
        <v>690526904</v>
      </c>
      <c r="V86" s="20"/>
      <c r="W86" s="20" t="s">
        <v>1077</v>
      </c>
      <c r="X86" s="20"/>
      <c r="Y86" s="20">
        <v>204</v>
      </c>
      <c r="Z86" s="40" t="s">
        <v>200</v>
      </c>
      <c r="AA86" s="20"/>
      <c r="AB86" s="20"/>
    </row>
    <row r="87" spans="1:28" ht="15.75" customHeight="1">
      <c r="A87" s="8">
        <v>85</v>
      </c>
      <c r="B87" s="20" t="s">
        <v>701</v>
      </c>
      <c r="C87" s="20" t="s">
        <v>1078</v>
      </c>
      <c r="D87" s="159"/>
      <c r="E87" s="159"/>
      <c r="F87" s="159"/>
      <c r="G87" s="159"/>
      <c r="H87" s="159"/>
      <c r="I87" s="159"/>
      <c r="J87" s="159"/>
      <c r="K87" s="159"/>
      <c r="L87" s="159"/>
      <c r="M87" s="204">
        <v>50</v>
      </c>
      <c r="N87" s="10">
        <v>50</v>
      </c>
      <c r="O87" s="178">
        <v>43689</v>
      </c>
      <c r="P87" s="169">
        <v>43685</v>
      </c>
      <c r="Q87" s="169">
        <v>44060</v>
      </c>
      <c r="R87" s="8" t="s">
        <v>170</v>
      </c>
      <c r="S87" s="167" t="s">
        <v>1079</v>
      </c>
      <c r="T87" s="167" t="s">
        <v>1080</v>
      </c>
      <c r="U87" s="167">
        <v>500688237</v>
      </c>
      <c r="V87" s="20" t="s">
        <v>1081</v>
      </c>
      <c r="W87" s="20" t="s">
        <v>1082</v>
      </c>
      <c r="X87" s="20"/>
      <c r="Y87" s="20">
        <v>205</v>
      </c>
      <c r="Z87" s="40" t="s">
        <v>200</v>
      </c>
      <c r="AA87" s="20" t="s">
        <v>1083</v>
      </c>
      <c r="AB87" s="20"/>
    </row>
    <row r="88" spans="1:28" ht="15.75" customHeight="1">
      <c r="A88" s="8">
        <v>86</v>
      </c>
      <c r="B88" s="20" t="s">
        <v>55</v>
      </c>
      <c r="C88" s="20" t="s">
        <v>1084</v>
      </c>
      <c r="D88" s="159"/>
      <c r="E88" s="159"/>
      <c r="F88" s="159"/>
      <c r="G88" s="159"/>
      <c r="H88" s="159"/>
      <c r="I88" s="159"/>
      <c r="J88" s="159"/>
      <c r="K88" s="159"/>
      <c r="L88" s="159"/>
      <c r="M88" s="204">
        <v>50</v>
      </c>
      <c r="N88" s="167"/>
      <c r="O88" s="178">
        <v>43673</v>
      </c>
      <c r="P88" s="169">
        <v>43679</v>
      </c>
      <c r="Q88" s="169">
        <v>43679</v>
      </c>
      <c r="R88" s="8" t="s">
        <v>170</v>
      </c>
      <c r="S88" s="167" t="s">
        <v>1085</v>
      </c>
      <c r="T88" s="167" t="s">
        <v>1086</v>
      </c>
      <c r="U88" s="167">
        <v>792287874</v>
      </c>
      <c r="V88" s="20"/>
      <c r="W88" s="20" t="s">
        <v>1087</v>
      </c>
      <c r="X88" s="20"/>
      <c r="Y88" s="20">
        <v>206</v>
      </c>
      <c r="Z88" s="40" t="s">
        <v>200</v>
      </c>
      <c r="AA88" s="20"/>
      <c r="AB88" s="20"/>
    </row>
    <row r="89" spans="1:28" ht="15.75" customHeight="1">
      <c r="A89" s="8">
        <v>87</v>
      </c>
      <c r="B89" s="20" t="s">
        <v>1088</v>
      </c>
      <c r="C89" s="20" t="s">
        <v>1089</v>
      </c>
      <c r="D89" s="159"/>
      <c r="E89" s="159"/>
      <c r="F89" s="159"/>
      <c r="G89" s="159"/>
      <c r="H89" s="159"/>
      <c r="I89" s="159"/>
      <c r="J89" s="159"/>
      <c r="K89" s="159"/>
      <c r="L89" s="159"/>
      <c r="M89" s="204">
        <v>50</v>
      </c>
      <c r="N89" s="10">
        <v>50</v>
      </c>
      <c r="O89" s="178">
        <v>43691</v>
      </c>
      <c r="P89" s="169">
        <v>43693</v>
      </c>
      <c r="Q89" s="169">
        <v>44060</v>
      </c>
      <c r="R89" s="8" t="s">
        <v>170</v>
      </c>
      <c r="S89" s="167" t="s">
        <v>1090</v>
      </c>
      <c r="T89" s="167" t="s">
        <v>1091</v>
      </c>
      <c r="U89" s="167">
        <v>797376226</v>
      </c>
      <c r="V89" s="20"/>
      <c r="W89" s="20" t="s">
        <v>1092</v>
      </c>
      <c r="X89" s="20"/>
      <c r="Y89" s="20">
        <v>207</v>
      </c>
      <c r="Z89" s="40" t="s">
        <v>200</v>
      </c>
      <c r="AA89" s="20"/>
      <c r="AB89" s="20"/>
    </row>
    <row r="90" spans="1:28" ht="15.75" customHeight="1">
      <c r="A90" s="8">
        <v>88</v>
      </c>
      <c r="B90" s="20" t="s">
        <v>481</v>
      </c>
      <c r="C90" s="20" t="s">
        <v>1093</v>
      </c>
      <c r="D90" s="159"/>
      <c r="E90" s="159"/>
      <c r="F90" s="159"/>
      <c r="G90" s="159"/>
      <c r="H90" s="159"/>
      <c r="I90" s="159"/>
      <c r="J90" s="159"/>
      <c r="K90" s="159"/>
      <c r="L90" s="159"/>
      <c r="M90" s="204">
        <v>50</v>
      </c>
      <c r="N90" s="10">
        <v>50</v>
      </c>
      <c r="O90" s="178">
        <v>43710</v>
      </c>
      <c r="P90" s="169">
        <v>43710</v>
      </c>
      <c r="Q90" s="169">
        <v>44078</v>
      </c>
      <c r="R90" s="8" t="s">
        <v>170</v>
      </c>
      <c r="S90" s="167" t="s">
        <v>1094</v>
      </c>
      <c r="T90" s="167" t="s">
        <v>1095</v>
      </c>
      <c r="U90" s="167">
        <v>532791289</v>
      </c>
      <c r="V90" s="20" t="s">
        <v>1096</v>
      </c>
      <c r="W90" s="20" t="s">
        <v>1097</v>
      </c>
      <c r="X90" s="20"/>
      <c r="Y90" s="20">
        <v>208</v>
      </c>
      <c r="Z90" s="20"/>
      <c r="AA90" s="20" t="s">
        <v>1098</v>
      </c>
      <c r="AB90" s="20"/>
    </row>
    <row r="91" spans="1:28" ht="15.75" customHeight="1">
      <c r="A91" s="8">
        <v>89</v>
      </c>
      <c r="B91" s="20" t="s">
        <v>559</v>
      </c>
      <c r="C91" s="20" t="s">
        <v>1099</v>
      </c>
      <c r="D91" s="159"/>
      <c r="E91" s="159"/>
      <c r="F91" s="159"/>
      <c r="G91" s="159"/>
      <c r="H91" s="159"/>
      <c r="I91" s="159"/>
      <c r="J91" s="159"/>
      <c r="K91" s="159"/>
      <c r="L91" s="159"/>
      <c r="M91" s="204">
        <v>50</v>
      </c>
      <c r="N91" s="167"/>
      <c r="O91" s="178">
        <v>43713</v>
      </c>
      <c r="P91" s="169">
        <v>43713</v>
      </c>
      <c r="Q91" s="169">
        <v>43713</v>
      </c>
      <c r="R91" s="8" t="s">
        <v>170</v>
      </c>
      <c r="S91" s="167" t="s">
        <v>1100</v>
      </c>
      <c r="T91" s="167" t="s">
        <v>1101</v>
      </c>
      <c r="U91" s="167">
        <v>731957142</v>
      </c>
      <c r="V91" s="20" t="s">
        <v>1102</v>
      </c>
      <c r="W91" s="20" t="s">
        <v>1103</v>
      </c>
      <c r="X91" s="20"/>
      <c r="Y91" s="20">
        <v>209</v>
      </c>
      <c r="Z91" s="20"/>
      <c r="AA91" s="20" t="s">
        <v>1104</v>
      </c>
      <c r="AB91" s="20"/>
    </row>
    <row r="92" spans="1:28" ht="15.75" customHeight="1">
      <c r="A92" s="8">
        <v>90</v>
      </c>
      <c r="B92" s="20" t="s">
        <v>1105</v>
      </c>
      <c r="C92" s="20" t="s">
        <v>1106</v>
      </c>
      <c r="D92" s="159"/>
      <c r="E92" s="159"/>
      <c r="F92" s="159"/>
      <c r="G92" s="159"/>
      <c r="H92" s="159"/>
      <c r="I92" s="159"/>
      <c r="J92" s="159"/>
      <c r="K92" s="159"/>
      <c r="L92" s="159"/>
      <c r="M92" s="204">
        <v>50</v>
      </c>
      <c r="N92" s="10">
        <v>50</v>
      </c>
      <c r="O92" s="178">
        <v>43718</v>
      </c>
      <c r="P92" s="169">
        <v>43718</v>
      </c>
      <c r="Q92" s="169">
        <v>44085</v>
      </c>
      <c r="R92" s="8" t="s">
        <v>170</v>
      </c>
      <c r="S92" s="167" t="s">
        <v>1107</v>
      </c>
      <c r="T92" s="167" t="s">
        <v>191</v>
      </c>
      <c r="U92" s="167">
        <v>665474203</v>
      </c>
      <c r="V92" s="20" t="s">
        <v>1108</v>
      </c>
      <c r="W92" s="20" t="s">
        <v>1109</v>
      </c>
      <c r="X92" s="20"/>
      <c r="Y92" s="20">
        <v>210</v>
      </c>
      <c r="Z92" s="40" t="s">
        <v>200</v>
      </c>
      <c r="AA92" s="20" t="s">
        <v>1110</v>
      </c>
      <c r="AB92" s="20"/>
    </row>
    <row r="93" spans="1:28" ht="15.75" customHeight="1">
      <c r="A93" s="8">
        <v>91</v>
      </c>
      <c r="B93" s="20" t="s">
        <v>1111</v>
      </c>
      <c r="C93" s="20" t="s">
        <v>1053</v>
      </c>
      <c r="D93" s="159"/>
      <c r="E93" s="159"/>
      <c r="F93" s="159"/>
      <c r="G93" s="159"/>
      <c r="H93" s="159"/>
      <c r="I93" s="159"/>
      <c r="J93" s="159"/>
      <c r="K93" s="159"/>
      <c r="L93" s="159"/>
      <c r="M93" s="204">
        <v>50</v>
      </c>
      <c r="N93" s="167"/>
      <c r="O93" s="178">
        <v>43718</v>
      </c>
      <c r="P93" s="169">
        <v>43718</v>
      </c>
      <c r="Q93" s="169">
        <v>43718</v>
      </c>
      <c r="R93" s="8" t="s">
        <v>170</v>
      </c>
      <c r="S93" s="167" t="s">
        <v>1112</v>
      </c>
      <c r="T93" s="167" t="s">
        <v>1113</v>
      </c>
      <c r="U93" s="167">
        <v>505875326</v>
      </c>
      <c r="V93" s="20"/>
      <c r="W93" s="20" t="s">
        <v>1114</v>
      </c>
      <c r="X93" s="20"/>
      <c r="Y93" s="20">
        <v>211</v>
      </c>
      <c r="Z93" s="40" t="s">
        <v>200</v>
      </c>
      <c r="AA93" s="20"/>
      <c r="AB93" s="20"/>
    </row>
    <row r="94" spans="1:28" ht="15.75" customHeight="1">
      <c r="A94" s="8">
        <v>92</v>
      </c>
      <c r="B94" s="20" t="s">
        <v>13</v>
      </c>
      <c r="C94" s="20" t="s">
        <v>1115</v>
      </c>
      <c r="D94" s="159"/>
      <c r="E94" s="159"/>
      <c r="F94" s="159"/>
      <c r="G94" s="159"/>
      <c r="H94" s="159"/>
      <c r="I94" s="159"/>
      <c r="J94" s="159"/>
      <c r="K94" s="159"/>
      <c r="L94" s="159"/>
      <c r="M94" s="204">
        <v>50</v>
      </c>
      <c r="N94" s="167"/>
      <c r="O94" s="227" t="s">
        <v>1116</v>
      </c>
      <c r="P94" s="167" t="str">
        <f t="shared" ref="P94:Q94" si="0">$O$94</f>
        <v>1019-09-15</v>
      </c>
      <c r="Q94" s="167" t="str">
        <f t="shared" si="0"/>
        <v>1019-09-15</v>
      </c>
      <c r="R94" s="8" t="s">
        <v>170</v>
      </c>
      <c r="S94" s="167" t="s">
        <v>1117</v>
      </c>
      <c r="T94" s="167" t="s">
        <v>1118</v>
      </c>
      <c r="U94" s="167">
        <v>503014237</v>
      </c>
      <c r="V94" s="20"/>
      <c r="W94" s="20" t="s">
        <v>1119</v>
      </c>
      <c r="X94" s="20"/>
      <c r="Y94" s="20">
        <v>213</v>
      </c>
      <c r="Z94" s="20"/>
      <c r="AA94" s="20"/>
      <c r="AB94" s="20"/>
    </row>
    <row r="95" spans="1:28" ht="15.75" customHeight="1">
      <c r="A95" s="8">
        <v>93</v>
      </c>
      <c r="B95" s="20" t="s">
        <v>1120</v>
      </c>
      <c r="C95" s="20" t="s">
        <v>1121</v>
      </c>
      <c r="D95" s="159"/>
      <c r="E95" s="159"/>
      <c r="F95" s="159"/>
      <c r="G95" s="159"/>
      <c r="H95" s="159"/>
      <c r="I95" s="159"/>
      <c r="J95" s="159"/>
      <c r="K95" s="159"/>
      <c r="L95" s="159"/>
      <c r="M95" s="204">
        <v>50</v>
      </c>
      <c r="N95" s="167"/>
      <c r="O95" s="177">
        <v>43724</v>
      </c>
      <c r="P95" s="106">
        <v>43724</v>
      </c>
      <c r="Q95" s="106">
        <v>43724</v>
      </c>
      <c r="R95" s="8" t="s">
        <v>170</v>
      </c>
      <c r="S95" s="167" t="s">
        <v>1122</v>
      </c>
      <c r="T95" s="167" t="s">
        <v>1123</v>
      </c>
      <c r="U95" s="167">
        <v>502277874</v>
      </c>
      <c r="V95" s="20"/>
      <c r="W95" s="20" t="s">
        <v>1124</v>
      </c>
      <c r="X95" s="20"/>
      <c r="Y95" s="20">
        <v>212</v>
      </c>
      <c r="Z95" s="20"/>
      <c r="AA95" s="20"/>
      <c r="AB95" s="20"/>
    </row>
    <row r="96" spans="1:28" ht="15.75" customHeight="1">
      <c r="A96" s="8">
        <v>94</v>
      </c>
      <c r="B96" s="20" t="s">
        <v>645</v>
      </c>
      <c r="C96" s="20" t="s">
        <v>1125</v>
      </c>
      <c r="D96" s="159"/>
      <c r="E96" s="159"/>
      <c r="F96" s="159"/>
      <c r="G96" s="159"/>
      <c r="H96" s="159"/>
      <c r="I96" s="159"/>
      <c r="J96" s="159"/>
      <c r="K96" s="159"/>
      <c r="L96" s="159"/>
      <c r="M96" s="204">
        <v>50</v>
      </c>
      <c r="N96" s="167"/>
      <c r="O96" s="177">
        <v>43751</v>
      </c>
      <c r="P96" s="106">
        <v>43751</v>
      </c>
      <c r="Q96" s="106">
        <v>43751</v>
      </c>
      <c r="R96" s="8" t="s">
        <v>170</v>
      </c>
      <c r="S96" s="167" t="s">
        <v>1126</v>
      </c>
      <c r="T96" s="167" t="s">
        <v>1127</v>
      </c>
      <c r="U96" s="167">
        <v>793603358</v>
      </c>
      <c r="V96" s="20"/>
      <c r="W96" s="20" t="s">
        <v>1128</v>
      </c>
      <c r="X96" s="20"/>
      <c r="Y96" s="20">
        <v>214</v>
      </c>
      <c r="Z96" s="20"/>
      <c r="AA96" s="20"/>
      <c r="AB96" s="20" t="s">
        <v>1129</v>
      </c>
    </row>
    <row r="97" spans="1:28" ht="15.75" customHeight="1">
      <c r="A97" s="8">
        <v>95</v>
      </c>
      <c r="B97" s="20" t="s">
        <v>1130</v>
      </c>
      <c r="C97" s="20" t="s">
        <v>1131</v>
      </c>
      <c r="D97" s="159"/>
      <c r="E97" s="159"/>
      <c r="F97" s="159"/>
      <c r="G97" s="159"/>
      <c r="H97" s="159"/>
      <c r="I97" s="159"/>
      <c r="J97" s="159"/>
      <c r="K97" s="159"/>
      <c r="L97" s="159"/>
      <c r="M97" s="204">
        <v>50</v>
      </c>
      <c r="N97" s="167"/>
      <c r="O97" s="177">
        <v>43763</v>
      </c>
      <c r="P97" s="106">
        <v>43766</v>
      </c>
      <c r="Q97" s="106">
        <v>43766</v>
      </c>
      <c r="R97" s="8" t="s">
        <v>170</v>
      </c>
      <c r="S97" s="167" t="s">
        <v>1132</v>
      </c>
      <c r="T97" s="167" t="s">
        <v>1133</v>
      </c>
      <c r="U97" s="167">
        <v>881557200</v>
      </c>
      <c r="V97" s="20"/>
      <c r="W97" s="20" t="s">
        <v>1134</v>
      </c>
      <c r="X97" s="20"/>
      <c r="Y97" s="20">
        <v>215</v>
      </c>
      <c r="Z97" s="20"/>
      <c r="AA97" s="20"/>
      <c r="AB97" s="20"/>
    </row>
    <row r="98" spans="1:28" ht="15.75" customHeight="1">
      <c r="A98" s="8">
        <v>96</v>
      </c>
      <c r="B98" s="20" t="s">
        <v>1135</v>
      </c>
      <c r="C98" s="20" t="s">
        <v>1136</v>
      </c>
      <c r="D98" s="159"/>
      <c r="E98" s="159"/>
      <c r="F98" s="159"/>
      <c r="G98" s="159"/>
      <c r="H98" s="159"/>
      <c r="I98" s="159"/>
      <c r="J98" s="159"/>
      <c r="K98" s="159"/>
      <c r="L98" s="159"/>
      <c r="M98" s="204">
        <v>50</v>
      </c>
      <c r="N98" s="167"/>
      <c r="O98" s="177">
        <v>43766</v>
      </c>
      <c r="P98" s="106">
        <v>43767</v>
      </c>
      <c r="Q98" s="106">
        <v>43767</v>
      </c>
      <c r="R98" s="8" t="s">
        <v>170</v>
      </c>
      <c r="S98" s="167" t="s">
        <v>1137</v>
      </c>
      <c r="T98" s="167" t="s">
        <v>1138</v>
      </c>
      <c r="U98" s="167">
        <v>660507453</v>
      </c>
      <c r="V98" s="20"/>
      <c r="W98" s="20" t="s">
        <v>1139</v>
      </c>
      <c r="X98" s="20"/>
      <c r="Y98" s="20">
        <v>216</v>
      </c>
      <c r="Z98" s="20"/>
      <c r="AA98" s="20"/>
      <c r="AB98" s="20"/>
    </row>
    <row r="99" spans="1:28" ht="15.75" customHeight="1">
      <c r="A99" s="8">
        <v>97</v>
      </c>
      <c r="B99" s="20" t="s">
        <v>279</v>
      </c>
      <c r="C99" s="20" t="s">
        <v>920</v>
      </c>
      <c r="D99" s="159"/>
      <c r="E99" s="159"/>
      <c r="F99" s="159"/>
      <c r="G99" s="159"/>
      <c r="H99" s="159"/>
      <c r="I99" s="159"/>
      <c r="J99" s="159"/>
      <c r="K99" s="159"/>
      <c r="L99" s="159"/>
      <c r="M99" s="204">
        <v>50</v>
      </c>
      <c r="N99" s="167"/>
      <c r="O99" s="177">
        <v>43770</v>
      </c>
      <c r="P99" s="106">
        <v>43773</v>
      </c>
      <c r="Q99" s="106">
        <v>43773</v>
      </c>
      <c r="R99" s="8" t="s">
        <v>170</v>
      </c>
      <c r="S99" s="167" t="s">
        <v>921</v>
      </c>
      <c r="T99" s="167" t="s">
        <v>922</v>
      </c>
      <c r="U99" s="186">
        <v>514945980</v>
      </c>
      <c r="V99" s="20"/>
      <c r="W99" s="20" t="s">
        <v>923</v>
      </c>
      <c r="X99" s="20"/>
      <c r="Y99" s="20">
        <v>217</v>
      </c>
      <c r="Z99" s="20"/>
      <c r="AA99" s="20"/>
      <c r="AB99" s="20"/>
    </row>
    <row r="100" spans="1:28" ht="15.75" customHeight="1">
      <c r="A100" s="8">
        <v>98</v>
      </c>
      <c r="B100" s="20" t="s">
        <v>1140</v>
      </c>
      <c r="C100" s="20" t="s">
        <v>1141</v>
      </c>
      <c r="D100" s="159"/>
      <c r="E100" s="159"/>
      <c r="F100" s="159"/>
      <c r="G100" s="159"/>
      <c r="H100" s="159"/>
      <c r="I100" s="159"/>
      <c r="J100" s="159"/>
      <c r="K100" s="159"/>
      <c r="L100" s="159"/>
      <c r="M100" s="204">
        <v>50</v>
      </c>
      <c r="N100" s="167"/>
      <c r="O100" s="177">
        <v>43771</v>
      </c>
      <c r="P100" s="106">
        <v>43773</v>
      </c>
      <c r="Q100" s="106">
        <v>43773</v>
      </c>
      <c r="R100" s="8" t="s">
        <v>170</v>
      </c>
      <c r="S100" s="167" t="s">
        <v>1142</v>
      </c>
      <c r="T100" s="167" t="s">
        <v>1143</v>
      </c>
      <c r="U100" s="167">
        <v>667596383</v>
      </c>
      <c r="V100" s="20"/>
      <c r="W100" s="20" t="s">
        <v>1144</v>
      </c>
      <c r="X100" s="20"/>
      <c r="Y100" s="20">
        <v>218</v>
      </c>
      <c r="Z100" s="20"/>
      <c r="AA100" s="20"/>
      <c r="AB100" s="20"/>
    </row>
    <row r="101" spans="1:28" ht="15.75" customHeight="1">
      <c r="A101" s="8">
        <v>99</v>
      </c>
      <c r="B101" s="20" t="s">
        <v>446</v>
      </c>
      <c r="C101" s="20" t="s">
        <v>1145</v>
      </c>
      <c r="D101" s="159"/>
      <c r="E101" s="159"/>
      <c r="F101" s="159"/>
      <c r="G101" s="159"/>
      <c r="H101" s="159"/>
      <c r="I101" s="159"/>
      <c r="J101" s="159"/>
      <c r="K101" s="159"/>
      <c r="L101" s="159"/>
      <c r="M101" s="204">
        <v>50</v>
      </c>
      <c r="N101" s="167">
        <v>50</v>
      </c>
      <c r="O101" s="177">
        <v>43777</v>
      </c>
      <c r="P101" s="106">
        <v>43781</v>
      </c>
      <c r="Q101" s="106">
        <v>44158</v>
      </c>
      <c r="R101" s="8" t="s">
        <v>170</v>
      </c>
      <c r="S101" s="167" t="s">
        <v>1146</v>
      </c>
      <c r="T101" s="167" t="s">
        <v>1147</v>
      </c>
      <c r="U101" s="167">
        <v>691963096</v>
      </c>
      <c r="V101" s="20"/>
      <c r="W101" s="20" t="s">
        <v>1148</v>
      </c>
      <c r="X101" s="20"/>
      <c r="Y101" s="20">
        <v>219</v>
      </c>
      <c r="Z101" s="40" t="s">
        <v>200</v>
      </c>
      <c r="AA101" s="20"/>
      <c r="AB101" s="20"/>
    </row>
    <row r="102" spans="1:28" ht="15.75" customHeight="1">
      <c r="A102" s="8">
        <v>100</v>
      </c>
      <c r="B102" s="20" t="s">
        <v>1149</v>
      </c>
      <c r="C102" s="20" t="s">
        <v>1150</v>
      </c>
      <c r="D102" s="159"/>
      <c r="E102" s="159"/>
      <c r="F102" s="159"/>
      <c r="G102" s="159"/>
      <c r="H102" s="159"/>
      <c r="I102" s="159"/>
      <c r="J102" s="159"/>
      <c r="K102" s="159"/>
      <c r="L102" s="159"/>
      <c r="M102" s="204">
        <v>50</v>
      </c>
      <c r="N102" s="167"/>
      <c r="O102" s="177">
        <v>43781</v>
      </c>
      <c r="P102" s="106">
        <v>43782</v>
      </c>
      <c r="Q102" s="106">
        <v>43782</v>
      </c>
      <c r="R102" s="8" t="s">
        <v>170</v>
      </c>
      <c r="S102" s="167" t="s">
        <v>1151</v>
      </c>
      <c r="T102" s="167" t="s">
        <v>1152</v>
      </c>
      <c r="U102" s="167">
        <v>733869262</v>
      </c>
      <c r="V102" s="20"/>
      <c r="W102" s="20" t="s">
        <v>1153</v>
      </c>
      <c r="X102" s="20"/>
      <c r="Y102" s="20">
        <v>220</v>
      </c>
      <c r="Z102" s="20"/>
      <c r="AA102" s="20"/>
      <c r="AB102" s="20"/>
    </row>
    <row r="103" spans="1:28" ht="15.75" customHeight="1">
      <c r="A103" s="8">
        <v>101</v>
      </c>
      <c r="B103" s="20" t="s">
        <v>13</v>
      </c>
      <c r="C103" s="20" t="s">
        <v>1154</v>
      </c>
      <c r="D103" s="159"/>
      <c r="E103" s="159"/>
      <c r="F103" s="159"/>
      <c r="G103" s="159"/>
      <c r="H103" s="159"/>
      <c r="I103" s="159"/>
      <c r="J103" s="159"/>
      <c r="K103" s="159"/>
      <c r="L103" s="159"/>
      <c r="M103" s="20">
        <v>50</v>
      </c>
      <c r="N103" s="167"/>
      <c r="O103" s="169">
        <v>43804</v>
      </c>
      <c r="P103" s="169">
        <v>43804</v>
      </c>
      <c r="Q103" s="169">
        <v>43804</v>
      </c>
      <c r="R103" s="8" t="s">
        <v>170</v>
      </c>
      <c r="S103" s="167" t="s">
        <v>1155</v>
      </c>
      <c r="T103" s="167" t="s">
        <v>1156</v>
      </c>
      <c r="U103" s="167">
        <v>504282713</v>
      </c>
      <c r="V103" s="20"/>
      <c r="W103" s="20" t="s">
        <v>1157</v>
      </c>
      <c r="X103" s="20"/>
      <c r="Y103" s="20">
        <v>221</v>
      </c>
      <c r="Z103" s="20"/>
      <c r="AA103" s="20"/>
      <c r="AB103" s="20"/>
    </row>
    <row r="104" spans="1:28" ht="15.75" customHeight="1">
      <c r="A104" s="8">
        <v>102</v>
      </c>
      <c r="B104" s="20" t="s">
        <v>1158</v>
      </c>
      <c r="C104" s="20" t="s">
        <v>1154</v>
      </c>
      <c r="D104" s="159"/>
      <c r="E104" s="159"/>
      <c r="F104" s="159"/>
      <c r="G104" s="159"/>
      <c r="H104" s="159"/>
      <c r="I104" s="159"/>
      <c r="J104" s="159"/>
      <c r="K104" s="159"/>
      <c r="L104" s="159"/>
      <c r="M104" s="20">
        <v>50</v>
      </c>
      <c r="N104" s="167"/>
      <c r="O104" s="169">
        <v>43807</v>
      </c>
      <c r="P104" s="169">
        <v>43804</v>
      </c>
      <c r="Q104" s="169">
        <v>43804</v>
      </c>
      <c r="R104" s="18" t="s">
        <v>689</v>
      </c>
      <c r="S104" s="167" t="s">
        <v>1155</v>
      </c>
      <c r="T104" s="167" t="s">
        <v>1156</v>
      </c>
      <c r="U104" s="20"/>
      <c r="V104" s="20"/>
      <c r="W104" s="20"/>
      <c r="X104" s="20"/>
      <c r="Y104" s="20">
        <v>222</v>
      </c>
      <c r="Z104" s="20"/>
      <c r="AA104" s="20"/>
      <c r="AB104" s="20"/>
    </row>
    <row r="105" spans="1:28" ht="15.75" customHeight="1">
      <c r="A105" s="8">
        <v>103</v>
      </c>
      <c r="B105" s="20" t="s">
        <v>1159</v>
      </c>
      <c r="C105" s="20" t="s">
        <v>1154</v>
      </c>
      <c r="D105" s="159"/>
      <c r="E105" s="159"/>
      <c r="F105" s="159"/>
      <c r="G105" s="159"/>
      <c r="H105" s="159"/>
      <c r="I105" s="159"/>
      <c r="J105" s="159"/>
      <c r="K105" s="159"/>
      <c r="L105" s="159"/>
      <c r="M105" s="20">
        <v>50</v>
      </c>
      <c r="N105" s="167"/>
      <c r="O105" s="169">
        <v>43807</v>
      </c>
      <c r="P105" s="169">
        <v>43804</v>
      </c>
      <c r="Q105" s="169">
        <v>43804</v>
      </c>
      <c r="R105" s="18" t="s">
        <v>689</v>
      </c>
      <c r="S105" s="167" t="s">
        <v>1155</v>
      </c>
      <c r="T105" s="167" t="s">
        <v>1156</v>
      </c>
      <c r="U105" s="20"/>
      <c r="V105" s="20"/>
      <c r="W105" s="20"/>
      <c r="X105" s="20"/>
      <c r="Y105" s="20">
        <v>223</v>
      </c>
      <c r="Z105" s="20"/>
      <c r="AA105" s="20"/>
      <c r="AB105" s="20"/>
    </row>
    <row r="106" spans="1:28" ht="15.75" customHeight="1">
      <c r="A106" s="8">
        <v>104</v>
      </c>
      <c r="B106" s="20" t="s">
        <v>1160</v>
      </c>
      <c r="C106" s="20" t="s">
        <v>1161</v>
      </c>
      <c r="D106" s="159"/>
      <c r="E106" s="159"/>
      <c r="F106" s="159"/>
      <c r="G106" s="159"/>
      <c r="H106" s="159"/>
      <c r="I106" s="159"/>
      <c r="J106" s="159"/>
      <c r="K106" s="159"/>
      <c r="L106" s="159"/>
      <c r="M106" s="20">
        <v>50</v>
      </c>
      <c r="N106" s="167"/>
      <c r="O106" s="169">
        <v>43794</v>
      </c>
      <c r="P106" s="169">
        <v>43794</v>
      </c>
      <c r="Q106" s="169">
        <v>43795</v>
      </c>
      <c r="R106" s="8" t="s">
        <v>170</v>
      </c>
      <c r="S106" s="167" t="s">
        <v>1162</v>
      </c>
      <c r="T106" s="167" t="s">
        <v>1163</v>
      </c>
      <c r="U106" s="228">
        <v>393492805374</v>
      </c>
      <c r="V106" s="20"/>
      <c r="W106" s="20" t="s">
        <v>1164</v>
      </c>
      <c r="X106" s="20"/>
      <c r="Y106" s="20">
        <v>224</v>
      </c>
      <c r="Z106" s="20"/>
      <c r="AA106" s="20"/>
      <c r="AB106" s="20"/>
    </row>
    <row r="107" spans="1:28" ht="15.75" customHeight="1">
      <c r="A107" s="8">
        <v>105</v>
      </c>
      <c r="B107" s="20" t="s">
        <v>1168</v>
      </c>
      <c r="C107" s="20" t="s">
        <v>1169</v>
      </c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67">
        <v>50</v>
      </c>
      <c r="O107" s="169">
        <v>43878</v>
      </c>
      <c r="P107" s="169">
        <v>43879</v>
      </c>
      <c r="Q107" s="169">
        <v>43879</v>
      </c>
      <c r="R107" s="8" t="s">
        <v>170</v>
      </c>
      <c r="S107" s="167" t="s">
        <v>1170</v>
      </c>
      <c r="T107" s="167" t="s">
        <v>1171</v>
      </c>
      <c r="U107" s="167">
        <v>664844898</v>
      </c>
      <c r="V107" s="20"/>
      <c r="W107" s="20" t="s">
        <v>1172</v>
      </c>
      <c r="X107" s="20"/>
      <c r="Y107" s="20">
        <v>225</v>
      </c>
      <c r="Z107" s="20"/>
      <c r="AA107" s="20" t="s">
        <v>1173</v>
      </c>
      <c r="AB107" s="20"/>
    </row>
    <row r="108" spans="1:28" ht="15.75" customHeight="1">
      <c r="A108" s="8">
        <v>106</v>
      </c>
      <c r="B108" s="20" t="s">
        <v>134</v>
      </c>
      <c r="C108" s="20" t="s">
        <v>1174</v>
      </c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67">
        <v>50</v>
      </c>
      <c r="O108" s="169">
        <v>43879</v>
      </c>
      <c r="P108" s="169">
        <v>43879</v>
      </c>
      <c r="Q108" s="169">
        <v>43879</v>
      </c>
      <c r="R108" s="8" t="s">
        <v>170</v>
      </c>
      <c r="S108" s="167" t="s">
        <v>1175</v>
      </c>
      <c r="T108" s="167" t="s">
        <v>615</v>
      </c>
      <c r="U108" s="167">
        <v>663175709</v>
      </c>
      <c r="V108" s="20"/>
      <c r="W108" s="20" t="s">
        <v>1176</v>
      </c>
      <c r="X108" s="20"/>
      <c r="Y108" s="20">
        <v>226</v>
      </c>
      <c r="Z108" s="20"/>
      <c r="AA108" s="20"/>
      <c r="AB108" s="20"/>
    </row>
    <row r="109" spans="1:28" ht="15.75" customHeight="1">
      <c r="A109" s="8">
        <v>107</v>
      </c>
      <c r="B109" s="20" t="s">
        <v>35</v>
      </c>
      <c r="C109" s="20" t="s">
        <v>1177</v>
      </c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67">
        <v>50</v>
      </c>
      <c r="O109" s="169">
        <v>43895</v>
      </c>
      <c r="P109" s="169">
        <v>43895</v>
      </c>
      <c r="Q109" s="169">
        <v>43895</v>
      </c>
      <c r="R109" s="8" t="s">
        <v>170</v>
      </c>
      <c r="S109" s="167" t="s">
        <v>1178</v>
      </c>
      <c r="T109" s="167" t="s">
        <v>1179</v>
      </c>
      <c r="U109" s="167" t="s">
        <v>1180</v>
      </c>
      <c r="V109" s="20"/>
      <c r="W109" s="20" t="s">
        <v>1181</v>
      </c>
      <c r="X109" s="20"/>
      <c r="Y109" s="20">
        <v>232</v>
      </c>
      <c r="Z109" s="20"/>
      <c r="AA109" s="20"/>
      <c r="AB109" s="20"/>
    </row>
    <row r="110" spans="1:28" ht="15.75" customHeight="1">
      <c r="A110" s="8">
        <v>108</v>
      </c>
      <c r="B110" s="20" t="s">
        <v>568</v>
      </c>
      <c r="C110" s="20" t="s">
        <v>1182</v>
      </c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67">
        <v>50</v>
      </c>
      <c r="O110" s="169">
        <v>43935</v>
      </c>
      <c r="P110" s="169">
        <v>43937</v>
      </c>
      <c r="Q110" s="169">
        <v>43937</v>
      </c>
      <c r="R110" s="8" t="s">
        <v>170</v>
      </c>
      <c r="S110" s="167" t="s">
        <v>1183</v>
      </c>
      <c r="T110" s="167" t="s">
        <v>1184</v>
      </c>
      <c r="U110" s="167">
        <v>798418759</v>
      </c>
      <c r="V110" s="20"/>
      <c r="W110" s="20" t="s">
        <v>1185</v>
      </c>
      <c r="X110" s="20"/>
      <c r="Y110" s="20">
        <v>227</v>
      </c>
      <c r="Z110" s="20"/>
      <c r="AA110" s="20"/>
      <c r="AB110" s="20"/>
    </row>
    <row r="111" spans="1:28" ht="15.75" customHeight="1">
      <c r="A111" s="8">
        <v>109</v>
      </c>
      <c r="B111" s="20" t="s">
        <v>556</v>
      </c>
      <c r="C111" s="20" t="s">
        <v>1186</v>
      </c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67">
        <v>50</v>
      </c>
      <c r="O111" s="169">
        <v>43920</v>
      </c>
      <c r="P111" s="169">
        <v>43951</v>
      </c>
      <c r="Q111" s="169">
        <v>43951</v>
      </c>
      <c r="R111" s="18" t="s">
        <v>689</v>
      </c>
      <c r="S111" s="167" t="s">
        <v>1187</v>
      </c>
      <c r="T111" s="167" t="s">
        <v>1188</v>
      </c>
      <c r="U111" s="167">
        <v>602742622</v>
      </c>
      <c r="V111" s="20"/>
      <c r="W111" s="20" t="s">
        <v>1189</v>
      </c>
      <c r="X111" s="20"/>
      <c r="Y111" s="20">
        <v>228</v>
      </c>
      <c r="Z111" s="20"/>
      <c r="AA111" s="20"/>
      <c r="AB111" s="20" t="s">
        <v>1190</v>
      </c>
    </row>
    <row r="112" spans="1:28" ht="15.75" customHeight="1">
      <c r="A112" s="8">
        <v>110</v>
      </c>
      <c r="B112" s="20" t="s">
        <v>1191</v>
      </c>
      <c r="C112" s="20" t="s">
        <v>1192</v>
      </c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0">
        <v>50</v>
      </c>
      <c r="O112" s="169">
        <v>43982</v>
      </c>
      <c r="P112" s="169">
        <v>43983</v>
      </c>
      <c r="Q112" s="169">
        <v>43983</v>
      </c>
      <c r="R112" s="8" t="s">
        <v>170</v>
      </c>
      <c r="S112" s="167" t="s">
        <v>1193</v>
      </c>
      <c r="T112" s="167" t="s">
        <v>1194</v>
      </c>
      <c r="U112" s="167">
        <v>512305330</v>
      </c>
      <c r="V112" s="20"/>
      <c r="W112" s="20" t="s">
        <v>1195</v>
      </c>
      <c r="X112" s="20"/>
      <c r="Y112" s="20">
        <v>229</v>
      </c>
      <c r="Z112" s="20"/>
      <c r="AA112" s="20"/>
      <c r="AB112" s="20"/>
    </row>
    <row r="113" spans="1:28" ht="15.75" customHeight="1">
      <c r="A113" s="8">
        <v>111</v>
      </c>
      <c r="B113" s="20" t="s">
        <v>127</v>
      </c>
      <c r="C113" s="20" t="s">
        <v>1196</v>
      </c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0">
        <v>50</v>
      </c>
      <c r="O113" s="169">
        <v>43997</v>
      </c>
      <c r="P113" s="169">
        <v>43998</v>
      </c>
      <c r="Q113" s="169">
        <v>43998</v>
      </c>
      <c r="R113" s="8" t="s">
        <v>170</v>
      </c>
      <c r="S113" s="167" t="s">
        <v>1197</v>
      </c>
      <c r="T113" s="167" t="s">
        <v>1198</v>
      </c>
      <c r="U113" s="167">
        <v>692982432</v>
      </c>
      <c r="V113" s="20"/>
      <c r="W113" s="20" t="s">
        <v>1199</v>
      </c>
      <c r="X113" s="20"/>
      <c r="Y113" s="20">
        <v>230</v>
      </c>
      <c r="Z113" s="20"/>
      <c r="AA113" s="20"/>
      <c r="AB113" s="20"/>
    </row>
    <row r="114" spans="1:28" ht="15.75" customHeight="1">
      <c r="A114" s="8">
        <v>112</v>
      </c>
      <c r="B114" s="20" t="s">
        <v>465</v>
      </c>
      <c r="C114" s="20" t="s">
        <v>1200</v>
      </c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0">
        <v>50</v>
      </c>
      <c r="O114" s="169">
        <v>44001</v>
      </c>
      <c r="P114" s="169">
        <v>44001</v>
      </c>
      <c r="Q114" s="169">
        <v>44001</v>
      </c>
      <c r="R114" s="8" t="s">
        <v>170</v>
      </c>
      <c r="S114" s="167" t="s">
        <v>1201</v>
      </c>
      <c r="T114" s="167" t="s">
        <v>1202</v>
      </c>
      <c r="U114" s="167">
        <v>579639631</v>
      </c>
      <c r="V114" s="20" t="s">
        <v>1203</v>
      </c>
      <c r="W114" s="20" t="s">
        <v>1204</v>
      </c>
      <c r="X114" s="20"/>
      <c r="Y114" s="20">
        <v>231</v>
      </c>
      <c r="Z114" s="20"/>
      <c r="AA114" s="20"/>
      <c r="AB114" s="20"/>
    </row>
    <row r="115" spans="1:28" ht="15.75" customHeight="1">
      <c r="A115" s="8">
        <v>113</v>
      </c>
      <c r="B115" s="20" t="s">
        <v>325</v>
      </c>
      <c r="C115" s="20" t="s">
        <v>1205</v>
      </c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67">
        <v>50</v>
      </c>
      <c r="O115" s="169">
        <v>44020</v>
      </c>
      <c r="P115" s="169">
        <v>44020</v>
      </c>
      <c r="Q115" s="169">
        <v>44020</v>
      </c>
      <c r="R115" s="8" t="s">
        <v>170</v>
      </c>
      <c r="S115" s="167" t="s">
        <v>1206</v>
      </c>
      <c r="T115" s="167" t="s">
        <v>1207</v>
      </c>
      <c r="U115" s="167">
        <v>570211227</v>
      </c>
      <c r="V115" s="20" t="s">
        <v>1208</v>
      </c>
      <c r="W115" s="20" t="s">
        <v>1209</v>
      </c>
      <c r="X115" s="20"/>
      <c r="Y115" s="20">
        <v>233</v>
      </c>
      <c r="Z115" s="40" t="s">
        <v>200</v>
      </c>
      <c r="AA115" s="20" t="s">
        <v>1210</v>
      </c>
      <c r="AB115" s="20"/>
    </row>
    <row r="116" spans="1:28" ht="15.75" customHeight="1">
      <c r="A116" s="8">
        <v>114</v>
      </c>
      <c r="B116" s="20" t="s">
        <v>212</v>
      </c>
      <c r="C116" s="20" t="s">
        <v>1211</v>
      </c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67">
        <v>50</v>
      </c>
      <c r="O116" s="169">
        <v>44032</v>
      </c>
      <c r="P116" s="169">
        <v>44033</v>
      </c>
      <c r="Q116" s="169">
        <v>44033</v>
      </c>
      <c r="R116" s="8" t="s">
        <v>170</v>
      </c>
      <c r="S116" s="167" t="s">
        <v>1212</v>
      </c>
      <c r="T116" s="167" t="s">
        <v>1213</v>
      </c>
      <c r="U116" s="167">
        <v>724567921</v>
      </c>
      <c r="V116" s="20" t="s">
        <v>1214</v>
      </c>
      <c r="W116" s="20" t="s">
        <v>1215</v>
      </c>
      <c r="X116" s="20"/>
      <c r="Y116" s="20">
        <v>234</v>
      </c>
      <c r="Z116" s="40" t="s">
        <v>200</v>
      </c>
      <c r="AA116" s="20" t="s">
        <v>1216</v>
      </c>
      <c r="AB116" s="20" t="s">
        <v>1217</v>
      </c>
    </row>
    <row r="117" spans="1:28" ht="15.75" customHeight="1">
      <c r="A117" s="8">
        <v>115</v>
      </c>
      <c r="B117" s="20" t="s">
        <v>345</v>
      </c>
      <c r="C117" s="20" t="s">
        <v>981</v>
      </c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67">
        <v>50</v>
      </c>
      <c r="O117" s="169">
        <v>44038</v>
      </c>
      <c r="P117" s="169">
        <v>44039</v>
      </c>
      <c r="Q117" s="169">
        <v>44039</v>
      </c>
      <c r="R117" s="8" t="s">
        <v>170</v>
      </c>
      <c r="S117" s="167" t="s">
        <v>1218</v>
      </c>
      <c r="T117" s="167" t="s">
        <v>1219</v>
      </c>
      <c r="U117" s="167">
        <v>795494851</v>
      </c>
      <c r="V117" s="20" t="s">
        <v>1220</v>
      </c>
      <c r="W117" s="20" t="s">
        <v>1221</v>
      </c>
      <c r="X117" s="20"/>
      <c r="Y117" s="20">
        <v>235</v>
      </c>
      <c r="Z117" s="40" t="s">
        <v>200</v>
      </c>
      <c r="AA117" s="20" t="s">
        <v>1222</v>
      </c>
      <c r="AB117" s="20" t="s">
        <v>1223</v>
      </c>
    </row>
    <row r="118" spans="1:28" ht="15.75" customHeight="1">
      <c r="A118" s="8">
        <v>116</v>
      </c>
      <c r="B118" s="20" t="s">
        <v>1224</v>
      </c>
      <c r="C118" s="20" t="s">
        <v>1225</v>
      </c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67">
        <v>50</v>
      </c>
      <c r="O118" s="169">
        <v>44047</v>
      </c>
      <c r="P118" s="169">
        <v>44048</v>
      </c>
      <c r="Q118" s="169">
        <v>44048</v>
      </c>
      <c r="R118" s="8" t="s">
        <v>170</v>
      </c>
      <c r="S118" s="167" t="s">
        <v>1226</v>
      </c>
      <c r="T118" s="167" t="s">
        <v>1227</v>
      </c>
      <c r="U118" s="167">
        <v>600549246</v>
      </c>
      <c r="V118" s="20"/>
      <c r="W118" s="20" t="s">
        <v>1228</v>
      </c>
      <c r="X118" s="20"/>
      <c r="Y118" s="20">
        <v>236</v>
      </c>
      <c r="Z118" s="40" t="s">
        <v>200</v>
      </c>
      <c r="AA118" s="20"/>
      <c r="AB118" s="20"/>
    </row>
    <row r="119" spans="1:28" ht="15.75" customHeight="1">
      <c r="A119" s="8">
        <v>117</v>
      </c>
      <c r="B119" s="20" t="s">
        <v>543</v>
      </c>
      <c r="C119" s="20" t="s">
        <v>1229</v>
      </c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67">
        <v>50</v>
      </c>
      <c r="O119" s="169">
        <v>44047</v>
      </c>
      <c r="P119" s="169">
        <v>44048</v>
      </c>
      <c r="Q119" s="169">
        <v>44048</v>
      </c>
      <c r="R119" s="8" t="s">
        <v>170</v>
      </c>
      <c r="S119" s="167" t="s">
        <v>1230</v>
      </c>
      <c r="T119" s="167" t="s">
        <v>1231</v>
      </c>
      <c r="U119" s="167">
        <v>510097957</v>
      </c>
      <c r="V119" s="20"/>
      <c r="W119" s="20" t="s">
        <v>1232</v>
      </c>
      <c r="X119" s="20"/>
      <c r="Y119" s="20">
        <v>237</v>
      </c>
      <c r="Z119" s="20"/>
      <c r="AA119" s="20" t="s">
        <v>1233</v>
      </c>
      <c r="AB119" s="20"/>
    </row>
    <row r="120" spans="1:28" ht="15.75" customHeight="1">
      <c r="A120" s="8">
        <v>118</v>
      </c>
      <c r="B120" s="20" t="s">
        <v>300</v>
      </c>
      <c r="C120" s="20" t="s">
        <v>1234</v>
      </c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67">
        <v>50</v>
      </c>
      <c r="O120" s="169">
        <v>44048</v>
      </c>
      <c r="P120" s="169">
        <v>44050</v>
      </c>
      <c r="Q120" s="169">
        <v>44050</v>
      </c>
      <c r="R120" s="8" t="s">
        <v>170</v>
      </c>
      <c r="S120" s="167" t="s">
        <v>1235</v>
      </c>
      <c r="T120" s="167" t="s">
        <v>1236</v>
      </c>
      <c r="U120" s="167">
        <v>732999174</v>
      </c>
      <c r="V120" s="20"/>
      <c r="W120" s="20" t="s">
        <v>1237</v>
      </c>
      <c r="X120" s="20"/>
      <c r="Y120" s="20">
        <v>238</v>
      </c>
      <c r="Z120" s="40" t="s">
        <v>200</v>
      </c>
      <c r="AA120" s="20"/>
      <c r="AB120" s="20"/>
    </row>
    <row r="121" spans="1:28" ht="15.75" customHeight="1">
      <c r="A121" s="8">
        <v>119</v>
      </c>
      <c r="B121" s="20" t="s">
        <v>1238</v>
      </c>
      <c r="C121" s="20" t="s">
        <v>1239</v>
      </c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67">
        <v>50</v>
      </c>
      <c r="O121" s="169">
        <v>44048</v>
      </c>
      <c r="P121" s="169">
        <v>44049</v>
      </c>
      <c r="Q121" s="169">
        <v>44049</v>
      </c>
      <c r="R121" s="8" t="s">
        <v>170</v>
      </c>
      <c r="S121" s="167" t="s">
        <v>1240</v>
      </c>
      <c r="T121" s="167" t="s">
        <v>1241</v>
      </c>
      <c r="U121" s="167">
        <v>787971008</v>
      </c>
      <c r="V121" s="20"/>
      <c r="W121" s="20" t="s">
        <v>1242</v>
      </c>
      <c r="X121" s="20"/>
      <c r="Y121" s="20">
        <v>239</v>
      </c>
      <c r="Z121" s="40" t="s">
        <v>200</v>
      </c>
      <c r="AA121" s="20"/>
      <c r="AB121" s="20" t="s">
        <v>1243</v>
      </c>
    </row>
    <row r="122" spans="1:28" ht="15.75" customHeight="1">
      <c r="A122" s="8">
        <v>120</v>
      </c>
      <c r="B122" s="20" t="s">
        <v>1244</v>
      </c>
      <c r="C122" s="20" t="s">
        <v>1245</v>
      </c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67">
        <v>50</v>
      </c>
      <c r="O122" s="169">
        <v>44049</v>
      </c>
      <c r="P122" s="169">
        <v>44049</v>
      </c>
      <c r="Q122" s="169">
        <v>44049</v>
      </c>
      <c r="R122" s="8" t="s">
        <v>170</v>
      </c>
      <c r="S122" s="167" t="s">
        <v>1246</v>
      </c>
      <c r="T122" s="167" t="s">
        <v>1247</v>
      </c>
      <c r="U122" s="167">
        <v>507487738</v>
      </c>
      <c r="V122" s="20" t="s">
        <v>1248</v>
      </c>
      <c r="W122" s="20" t="s">
        <v>1249</v>
      </c>
      <c r="X122" s="20"/>
      <c r="Y122" s="20">
        <v>240</v>
      </c>
      <c r="Z122" s="40" t="s">
        <v>200</v>
      </c>
      <c r="AA122" s="20" t="s">
        <v>1250</v>
      </c>
      <c r="AB122" s="20"/>
    </row>
    <row r="123" spans="1:28" ht="15.75" customHeight="1">
      <c r="A123" s="8">
        <v>121</v>
      </c>
      <c r="B123" s="20" t="s">
        <v>1251</v>
      </c>
      <c r="C123" s="20" t="s">
        <v>1252</v>
      </c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67">
        <v>50</v>
      </c>
      <c r="O123" s="169">
        <v>44060</v>
      </c>
      <c r="P123" s="169">
        <v>44061</v>
      </c>
      <c r="Q123" s="169">
        <v>44061</v>
      </c>
      <c r="R123" s="8" t="s">
        <v>170</v>
      </c>
      <c r="S123" s="167" t="s">
        <v>1253</v>
      </c>
      <c r="T123" s="167" t="s">
        <v>1254</v>
      </c>
      <c r="U123" s="167">
        <v>781750936</v>
      </c>
      <c r="V123" s="20" t="s">
        <v>1255</v>
      </c>
      <c r="W123" s="20" t="s">
        <v>1256</v>
      </c>
      <c r="X123" s="20"/>
      <c r="Y123" s="20">
        <v>241</v>
      </c>
      <c r="Z123" s="20"/>
      <c r="AA123" s="20" t="s">
        <v>1257</v>
      </c>
      <c r="AB123" s="20"/>
    </row>
    <row r="124" spans="1:28" ht="15.75" customHeight="1">
      <c r="A124" s="8">
        <v>122</v>
      </c>
      <c r="B124" s="20" t="s">
        <v>568</v>
      </c>
      <c r="C124" s="20" t="s">
        <v>1258</v>
      </c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67">
        <v>50</v>
      </c>
      <c r="O124" s="169">
        <v>44064</v>
      </c>
      <c r="P124" s="169">
        <v>44064</v>
      </c>
      <c r="Q124" s="169">
        <v>44064</v>
      </c>
      <c r="R124" s="8" t="s">
        <v>170</v>
      </c>
      <c r="S124" s="167" t="s">
        <v>1259</v>
      </c>
      <c r="T124" s="167" t="s">
        <v>1260</v>
      </c>
      <c r="U124" s="167">
        <v>530115465</v>
      </c>
      <c r="V124" s="20"/>
      <c r="W124" s="20" t="s">
        <v>1261</v>
      </c>
      <c r="X124" s="20"/>
      <c r="Y124" s="20">
        <v>242</v>
      </c>
      <c r="Z124" s="20"/>
      <c r="AA124" s="20"/>
      <c r="AB124" s="20"/>
    </row>
    <row r="125" spans="1:28" ht="15.75" customHeight="1">
      <c r="A125" s="8">
        <v>123</v>
      </c>
      <c r="B125" s="20" t="s">
        <v>268</v>
      </c>
      <c r="C125" s="20" t="s">
        <v>1262</v>
      </c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67">
        <v>50</v>
      </c>
      <c r="O125" s="169">
        <v>44065</v>
      </c>
      <c r="P125" s="169">
        <v>44067</v>
      </c>
      <c r="Q125" s="169">
        <v>44067</v>
      </c>
      <c r="R125" s="8" t="s">
        <v>170</v>
      </c>
      <c r="S125" s="167" t="s">
        <v>1263</v>
      </c>
      <c r="T125" s="167" t="s">
        <v>1264</v>
      </c>
      <c r="U125" s="167">
        <v>504687381</v>
      </c>
      <c r="V125" s="20"/>
      <c r="W125" s="20" t="s">
        <v>1265</v>
      </c>
      <c r="X125" s="20"/>
      <c r="Y125" s="20">
        <v>243</v>
      </c>
      <c r="Z125" s="20"/>
      <c r="AA125" s="20" t="s">
        <v>1266</v>
      </c>
      <c r="AB125" s="20"/>
    </row>
    <row r="126" spans="1:28" ht="15.75" customHeight="1">
      <c r="A126" s="8">
        <v>124</v>
      </c>
      <c r="B126" s="20" t="s">
        <v>371</v>
      </c>
      <c r="C126" s="20" t="s">
        <v>1267</v>
      </c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67">
        <v>50</v>
      </c>
      <c r="O126" s="169">
        <v>44070</v>
      </c>
      <c r="P126" s="169">
        <v>44071</v>
      </c>
      <c r="Q126" s="169">
        <v>44071</v>
      </c>
      <c r="R126" s="8" t="s">
        <v>170</v>
      </c>
      <c r="S126" s="167" t="s">
        <v>1268</v>
      </c>
      <c r="T126" s="167" t="s">
        <v>1269</v>
      </c>
      <c r="U126" s="167">
        <v>667428177</v>
      </c>
      <c r="V126" s="20"/>
      <c r="W126" s="20" t="s">
        <v>1270</v>
      </c>
      <c r="X126" s="20"/>
      <c r="Y126" s="20">
        <v>244</v>
      </c>
      <c r="Z126" s="20"/>
      <c r="AA126" s="20" t="s">
        <v>1271</v>
      </c>
      <c r="AB126" s="20"/>
    </row>
    <row r="127" spans="1:28" ht="15.75" customHeight="1">
      <c r="A127" s="8">
        <v>125</v>
      </c>
      <c r="B127" s="20" t="s">
        <v>1272</v>
      </c>
      <c r="C127" s="20" t="s">
        <v>1273</v>
      </c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67">
        <v>50</v>
      </c>
      <c r="O127" s="169">
        <v>44074</v>
      </c>
      <c r="P127" s="169">
        <v>44074</v>
      </c>
      <c r="Q127" s="169">
        <v>44074</v>
      </c>
      <c r="R127" s="8" t="s">
        <v>170</v>
      </c>
      <c r="S127" s="167" t="s">
        <v>1274</v>
      </c>
      <c r="T127" s="167" t="s">
        <v>1275</v>
      </c>
      <c r="U127" s="167">
        <v>570633458</v>
      </c>
      <c r="V127" s="20"/>
      <c r="W127" s="20" t="s">
        <v>1276</v>
      </c>
      <c r="X127" s="20"/>
      <c r="Y127" s="20">
        <v>245</v>
      </c>
      <c r="Z127" s="20"/>
      <c r="AA127" s="20"/>
      <c r="AB127" s="20"/>
    </row>
    <row r="128" spans="1:28" ht="15.75" customHeight="1">
      <c r="A128" s="8">
        <v>126</v>
      </c>
      <c r="B128" s="20" t="s">
        <v>1277</v>
      </c>
      <c r="C128" s="20" t="s">
        <v>1278</v>
      </c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67">
        <v>50</v>
      </c>
      <c r="O128" s="169">
        <v>44077</v>
      </c>
      <c r="P128" s="169">
        <v>44078</v>
      </c>
      <c r="Q128" s="169">
        <v>44078</v>
      </c>
      <c r="R128" s="8" t="s">
        <v>170</v>
      </c>
      <c r="S128" s="167" t="s">
        <v>1279</v>
      </c>
      <c r="T128" s="167" t="s">
        <v>1280</v>
      </c>
      <c r="U128" s="186">
        <v>514741060</v>
      </c>
      <c r="V128" s="230"/>
      <c r="W128" s="20" t="s">
        <v>1281</v>
      </c>
      <c r="X128" s="20"/>
      <c r="Y128" s="20">
        <v>246</v>
      </c>
      <c r="Z128" s="20"/>
      <c r="AA128" s="141" t="s">
        <v>1282</v>
      </c>
      <c r="AB128" s="20"/>
    </row>
    <row r="129" spans="1:28" ht="15.75" customHeight="1">
      <c r="A129" s="8">
        <v>127</v>
      </c>
      <c r="B129" s="20" t="s">
        <v>1283</v>
      </c>
      <c r="C129" s="20" t="s">
        <v>1284</v>
      </c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67">
        <v>50</v>
      </c>
      <c r="O129" s="169">
        <v>44081</v>
      </c>
      <c r="P129" s="169">
        <v>44081</v>
      </c>
      <c r="Q129" s="169">
        <v>44081</v>
      </c>
      <c r="R129" s="8" t="s">
        <v>170</v>
      </c>
      <c r="S129" s="167" t="s">
        <v>1285</v>
      </c>
      <c r="T129" s="167" t="s">
        <v>1286</v>
      </c>
      <c r="U129" s="167">
        <v>12218158</v>
      </c>
      <c r="V129" s="230"/>
      <c r="W129" s="20" t="s">
        <v>1287</v>
      </c>
      <c r="X129" s="20"/>
      <c r="Y129" s="20">
        <v>247</v>
      </c>
      <c r="Z129" s="20"/>
      <c r="AA129" s="20" t="s">
        <v>1288</v>
      </c>
      <c r="AB129" s="20" t="s">
        <v>1289</v>
      </c>
    </row>
    <row r="130" spans="1:28" ht="15.75" customHeight="1">
      <c r="A130" s="8">
        <v>128</v>
      </c>
      <c r="B130" s="20" t="s">
        <v>21</v>
      </c>
      <c r="C130" s="20" t="s">
        <v>1290</v>
      </c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67">
        <v>50</v>
      </c>
      <c r="O130" s="169">
        <v>44085</v>
      </c>
      <c r="P130" s="169">
        <v>44088</v>
      </c>
      <c r="Q130" s="169">
        <v>44088</v>
      </c>
      <c r="R130" s="8" t="s">
        <v>170</v>
      </c>
      <c r="S130" s="167" t="s">
        <v>1291</v>
      </c>
      <c r="T130" s="167" t="s">
        <v>1292</v>
      </c>
      <c r="U130" s="167">
        <v>609262862</v>
      </c>
      <c r="V130" s="141" t="s">
        <v>1293</v>
      </c>
      <c r="W130" s="20" t="s">
        <v>1294</v>
      </c>
      <c r="X130" s="20"/>
      <c r="Y130" s="20">
        <v>248</v>
      </c>
      <c r="Z130" s="20"/>
      <c r="AA130" s="141" t="s">
        <v>1293</v>
      </c>
      <c r="AB130" s="20"/>
    </row>
    <row r="131" spans="1:28" ht="15.75" customHeight="1">
      <c r="A131" s="8">
        <v>129</v>
      </c>
      <c r="B131" s="20" t="s">
        <v>1295</v>
      </c>
      <c r="C131" s="20" t="s">
        <v>1296</v>
      </c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67"/>
      <c r="O131" s="169">
        <v>44086</v>
      </c>
      <c r="P131" s="167"/>
      <c r="Q131" s="167"/>
      <c r="R131" s="20"/>
      <c r="S131" s="167" t="s">
        <v>1297</v>
      </c>
      <c r="T131" s="167" t="s">
        <v>191</v>
      </c>
      <c r="U131" s="167">
        <v>609352723</v>
      </c>
      <c r="V131" s="230"/>
      <c r="W131" s="20" t="s">
        <v>1298</v>
      </c>
      <c r="X131" s="20"/>
      <c r="Y131" s="20"/>
      <c r="Z131" s="20"/>
      <c r="AA131" s="20"/>
      <c r="AB131" s="20"/>
    </row>
    <row r="132" spans="1:28" ht="15.75" customHeight="1">
      <c r="A132" s="8">
        <v>130</v>
      </c>
      <c r="B132" s="20" t="s">
        <v>919</v>
      </c>
      <c r="C132" s="20" t="s">
        <v>1299</v>
      </c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67">
        <v>50</v>
      </c>
      <c r="O132" s="169">
        <v>44089</v>
      </c>
      <c r="P132" s="169">
        <v>44089</v>
      </c>
      <c r="Q132" s="169">
        <v>44089</v>
      </c>
      <c r="R132" s="8" t="s">
        <v>170</v>
      </c>
      <c r="S132" s="167" t="s">
        <v>1300</v>
      </c>
      <c r="T132" s="167" t="s">
        <v>1301</v>
      </c>
      <c r="U132" s="167">
        <v>505836886</v>
      </c>
      <c r="V132" s="230"/>
      <c r="W132" s="20" t="s">
        <v>1302</v>
      </c>
      <c r="X132" s="20"/>
      <c r="Y132" s="20">
        <v>249</v>
      </c>
      <c r="Z132" s="20"/>
      <c r="AA132" s="20"/>
      <c r="AB132" s="20"/>
    </row>
    <row r="133" spans="1:28" ht="15.75" customHeight="1">
      <c r="A133" s="8">
        <v>131</v>
      </c>
      <c r="B133" s="20" t="s">
        <v>194</v>
      </c>
      <c r="C133" s="20" t="s">
        <v>1303</v>
      </c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67"/>
      <c r="O133" s="169">
        <v>44089</v>
      </c>
      <c r="P133" s="167"/>
      <c r="Q133" s="167"/>
      <c r="R133" s="20"/>
      <c r="S133" s="167" t="s">
        <v>1304</v>
      </c>
      <c r="T133" s="167" t="s">
        <v>1305</v>
      </c>
      <c r="U133" s="167">
        <v>663348466</v>
      </c>
      <c r="V133" s="230"/>
      <c r="W133" s="20" t="s">
        <v>1306</v>
      </c>
      <c r="X133" s="20"/>
      <c r="Y133" s="20"/>
      <c r="Z133" s="20"/>
      <c r="AA133" s="141" t="s">
        <v>1307</v>
      </c>
      <c r="AB133" s="20"/>
    </row>
    <row r="134" spans="1:28" ht="15.75" customHeight="1">
      <c r="A134" s="8">
        <v>132</v>
      </c>
      <c r="B134" s="20" t="s">
        <v>48</v>
      </c>
      <c r="C134" s="20" t="s">
        <v>1308</v>
      </c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67">
        <v>50</v>
      </c>
      <c r="O134" s="169">
        <v>44098</v>
      </c>
      <c r="P134" s="169">
        <v>44109</v>
      </c>
      <c r="Q134" s="169">
        <v>44109</v>
      </c>
      <c r="R134" s="8" t="s">
        <v>170</v>
      </c>
      <c r="S134" s="167" t="s">
        <v>1309</v>
      </c>
      <c r="T134" s="167" t="s">
        <v>1310</v>
      </c>
      <c r="U134" s="167">
        <v>728762692</v>
      </c>
      <c r="V134" s="230"/>
      <c r="W134" s="20" t="s">
        <v>1311</v>
      </c>
      <c r="X134" s="20"/>
      <c r="Y134" s="20">
        <v>250</v>
      </c>
      <c r="Z134" s="20"/>
      <c r="AA134" s="20"/>
      <c r="AB134" s="20"/>
    </row>
    <row r="135" spans="1:28" ht="15.75" customHeight="1">
      <c r="A135" s="8">
        <v>133</v>
      </c>
      <c r="B135" s="20" t="s">
        <v>1312</v>
      </c>
      <c r="C135" s="20" t="s">
        <v>1313</v>
      </c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67">
        <v>50</v>
      </c>
      <c r="O135" s="169">
        <v>44051</v>
      </c>
      <c r="P135" s="169">
        <v>44053</v>
      </c>
      <c r="Q135" s="169">
        <v>44053</v>
      </c>
      <c r="R135" s="8" t="s">
        <v>170</v>
      </c>
      <c r="S135" s="167" t="s">
        <v>1314</v>
      </c>
      <c r="T135" s="167" t="s">
        <v>1315</v>
      </c>
      <c r="U135" s="167">
        <v>662522961</v>
      </c>
      <c r="V135" s="20" t="s">
        <v>1316</v>
      </c>
      <c r="W135" s="20" t="s">
        <v>1317</v>
      </c>
      <c r="X135" s="20"/>
      <c r="Y135" s="20">
        <v>251</v>
      </c>
      <c r="Z135" s="40" t="s">
        <v>200</v>
      </c>
      <c r="AA135" s="20"/>
      <c r="AB135" s="20"/>
    </row>
    <row r="136" spans="1:28" ht="15.75" customHeight="1">
      <c r="A136" s="8">
        <v>134</v>
      </c>
      <c r="B136" s="20" t="s">
        <v>618</v>
      </c>
      <c r="C136" s="20" t="s">
        <v>1318</v>
      </c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67">
        <v>50</v>
      </c>
      <c r="O136" s="169">
        <v>44122</v>
      </c>
      <c r="P136" s="169">
        <v>44123</v>
      </c>
      <c r="Q136" s="169">
        <v>44123</v>
      </c>
      <c r="R136" s="8" t="s">
        <v>170</v>
      </c>
      <c r="S136" s="167" t="s">
        <v>1319</v>
      </c>
      <c r="T136" s="167" t="s">
        <v>933</v>
      </c>
      <c r="U136" s="167">
        <v>509291245</v>
      </c>
      <c r="V136" s="20"/>
      <c r="W136" s="20" t="s">
        <v>1320</v>
      </c>
      <c r="X136" s="20"/>
      <c r="Y136" s="20">
        <v>252</v>
      </c>
      <c r="Z136" s="20"/>
      <c r="AA136" s="20"/>
      <c r="AB136" s="20"/>
    </row>
    <row r="137" spans="1:28" ht="15.75" customHeight="1">
      <c r="A137" s="8">
        <v>135</v>
      </c>
      <c r="B137" s="20" t="s">
        <v>1149</v>
      </c>
      <c r="C137" s="20" t="s">
        <v>1321</v>
      </c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67"/>
      <c r="O137" s="169">
        <v>44146</v>
      </c>
      <c r="P137" s="20"/>
      <c r="Q137" s="20"/>
      <c r="R137" s="8" t="s">
        <v>1322</v>
      </c>
      <c r="S137" s="167" t="s">
        <v>1323</v>
      </c>
      <c r="T137" s="167" t="s">
        <v>1324</v>
      </c>
      <c r="U137" s="167">
        <v>665981182</v>
      </c>
      <c r="V137" s="20" t="s">
        <v>1325</v>
      </c>
      <c r="W137" s="20" t="s">
        <v>1326</v>
      </c>
      <c r="X137" s="20"/>
      <c r="Y137" s="20">
        <v>253</v>
      </c>
      <c r="Z137" s="20"/>
      <c r="AA137" s="20" t="s">
        <v>1325</v>
      </c>
      <c r="AB137" s="20"/>
    </row>
    <row r="138" spans="1:28" ht="15.75" customHeight="1">
      <c r="A138" s="8">
        <v>136</v>
      </c>
      <c r="B138" s="20" t="s">
        <v>371</v>
      </c>
      <c r="C138" s="20" t="s">
        <v>1327</v>
      </c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67">
        <v>50</v>
      </c>
      <c r="O138" s="169">
        <v>44153</v>
      </c>
      <c r="P138" s="169">
        <v>44154</v>
      </c>
      <c r="Q138" s="169">
        <v>44154</v>
      </c>
      <c r="R138" s="8" t="s">
        <v>170</v>
      </c>
      <c r="S138" s="167" t="s">
        <v>1328</v>
      </c>
      <c r="T138" s="167" t="s">
        <v>1329</v>
      </c>
      <c r="U138" s="167">
        <v>607516664</v>
      </c>
      <c r="V138" s="20"/>
      <c r="W138" s="20" t="s">
        <v>1330</v>
      </c>
      <c r="X138" s="20"/>
      <c r="Y138" s="20">
        <v>254</v>
      </c>
      <c r="Z138" s="20"/>
      <c r="AA138" s="20"/>
      <c r="AB138" s="20"/>
    </row>
    <row r="139" spans="1:28" ht="15.75" customHeight="1">
      <c r="A139" s="8">
        <v>137</v>
      </c>
      <c r="B139" s="20" t="s">
        <v>1048</v>
      </c>
      <c r="C139" s="20" t="s">
        <v>1049</v>
      </c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67">
        <v>50</v>
      </c>
      <c r="O139" s="169">
        <v>44155</v>
      </c>
      <c r="P139" s="169">
        <v>44155</v>
      </c>
      <c r="Q139" s="169">
        <v>44155</v>
      </c>
      <c r="R139" s="8" t="s">
        <v>170</v>
      </c>
      <c r="S139" s="167" t="s">
        <v>1331</v>
      </c>
      <c r="T139" s="167" t="s">
        <v>1051</v>
      </c>
      <c r="U139" s="167">
        <v>607758544</v>
      </c>
      <c r="V139" s="20"/>
      <c r="W139" s="20" t="s">
        <v>1052</v>
      </c>
      <c r="X139" s="20"/>
      <c r="Y139" s="20">
        <v>255</v>
      </c>
      <c r="Z139" s="20"/>
      <c r="AA139" s="20" t="s">
        <v>1332</v>
      </c>
      <c r="AB139" s="20"/>
    </row>
    <row r="140" spans="1:28" ht="15.75" customHeight="1">
      <c r="A140" s="8">
        <v>138</v>
      </c>
      <c r="B140" s="20" t="s">
        <v>1333</v>
      </c>
      <c r="C140" s="20" t="s">
        <v>1334</v>
      </c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67">
        <v>50</v>
      </c>
      <c r="O140" s="169">
        <v>44160</v>
      </c>
      <c r="P140" s="169">
        <v>44160</v>
      </c>
      <c r="Q140" s="169">
        <v>44160</v>
      </c>
      <c r="R140" s="8" t="s">
        <v>170</v>
      </c>
      <c r="S140" s="167" t="s">
        <v>1335</v>
      </c>
      <c r="T140" s="167" t="s">
        <v>815</v>
      </c>
      <c r="U140" s="167">
        <v>690490873</v>
      </c>
      <c r="V140" s="20"/>
      <c r="W140" s="20" t="s">
        <v>1336</v>
      </c>
      <c r="X140" s="20"/>
      <c r="Y140" s="20">
        <v>256</v>
      </c>
      <c r="Z140" s="20"/>
      <c r="AA140" s="20"/>
      <c r="AB140" s="20"/>
    </row>
    <row r="141" spans="1:28" ht="15.75" customHeight="1">
      <c r="A141" s="8">
        <v>139</v>
      </c>
      <c r="B141" s="20" t="s">
        <v>481</v>
      </c>
      <c r="C141" s="20" t="s">
        <v>1337</v>
      </c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67">
        <v>50</v>
      </c>
      <c r="O141" s="169">
        <v>44163</v>
      </c>
      <c r="P141" s="169">
        <v>44165</v>
      </c>
      <c r="Q141" s="169">
        <v>44165</v>
      </c>
      <c r="R141" s="8" t="s">
        <v>170</v>
      </c>
      <c r="S141" s="167" t="s">
        <v>1338</v>
      </c>
      <c r="T141" s="167" t="s">
        <v>1339</v>
      </c>
      <c r="U141" s="167">
        <v>783872327</v>
      </c>
      <c r="V141" s="20" t="s">
        <v>1340</v>
      </c>
      <c r="W141" s="20" t="s">
        <v>1341</v>
      </c>
      <c r="X141" s="20"/>
      <c r="Y141" s="20">
        <v>257</v>
      </c>
      <c r="Z141" s="20"/>
      <c r="AA141" s="20" t="s">
        <v>1342</v>
      </c>
      <c r="AB141" s="20"/>
    </row>
    <row r="142" spans="1:28" ht="15.75" customHeight="1">
      <c r="A142" s="8">
        <v>140</v>
      </c>
      <c r="B142" s="20" t="s">
        <v>1343</v>
      </c>
      <c r="C142" s="20" t="s">
        <v>1344</v>
      </c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67"/>
      <c r="O142" s="169">
        <v>44185</v>
      </c>
      <c r="P142" s="20"/>
      <c r="Q142" s="20"/>
      <c r="R142" s="8" t="s">
        <v>1345</v>
      </c>
      <c r="S142" s="167" t="s">
        <v>1346</v>
      </c>
      <c r="T142" s="167" t="s">
        <v>1347</v>
      </c>
      <c r="U142" s="167">
        <v>501022051</v>
      </c>
      <c r="V142" s="20" t="s">
        <v>1348</v>
      </c>
      <c r="W142" s="20" t="s">
        <v>1349</v>
      </c>
      <c r="X142" s="20"/>
      <c r="Y142" s="20"/>
      <c r="Z142" s="20"/>
      <c r="AA142" s="20" t="s">
        <v>1350</v>
      </c>
      <c r="AB142" s="20"/>
    </row>
    <row r="143" spans="1:28" ht="15.75" customHeight="1">
      <c r="A143" s="8">
        <v>141</v>
      </c>
      <c r="B143" s="20" t="s">
        <v>481</v>
      </c>
      <c r="C143" s="20" t="s">
        <v>1351</v>
      </c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231">
        <v>50</v>
      </c>
      <c r="O143" s="169">
        <v>44194</v>
      </c>
      <c r="P143" s="169">
        <v>44195</v>
      </c>
      <c r="Q143" s="169">
        <v>44195</v>
      </c>
      <c r="R143" s="20"/>
      <c r="S143" s="167" t="s">
        <v>1352</v>
      </c>
      <c r="T143" s="167" t="s">
        <v>1353</v>
      </c>
      <c r="U143" s="167">
        <v>696201822</v>
      </c>
      <c r="V143" s="20"/>
      <c r="W143" s="20" t="s">
        <v>1354</v>
      </c>
      <c r="X143" s="20"/>
      <c r="Y143" s="20"/>
      <c r="Z143" s="20"/>
      <c r="AA143" s="20"/>
      <c r="AB143" s="20"/>
    </row>
    <row r="144" spans="1:28" ht="15.75" customHeight="1">
      <c r="N144" s="39"/>
    </row>
    <row r="145" spans="14:14" ht="15.75" customHeight="1">
      <c r="N145" s="39"/>
    </row>
    <row r="146" spans="14:14" ht="15.75" customHeight="1">
      <c r="N146" s="39"/>
    </row>
    <row r="147" spans="14:14" ht="15.75" customHeight="1">
      <c r="N147" s="39"/>
    </row>
    <row r="148" spans="14:14" ht="15.75" customHeight="1">
      <c r="N148" s="39"/>
    </row>
    <row r="149" spans="14:14" ht="15.75" customHeight="1">
      <c r="N149" s="39"/>
    </row>
    <row r="150" spans="14:14" ht="15.75" customHeight="1">
      <c r="N150" s="39"/>
    </row>
    <row r="151" spans="14:14" ht="15.75" customHeight="1">
      <c r="N151" s="39"/>
    </row>
    <row r="152" spans="14:14" ht="15.75" customHeight="1">
      <c r="N152" s="39"/>
    </row>
    <row r="153" spans="14:14" ht="15.75" customHeight="1">
      <c r="N153" s="39"/>
    </row>
    <row r="154" spans="14:14" ht="15.75" customHeight="1">
      <c r="N154" s="39"/>
    </row>
    <row r="155" spans="14:14" ht="15.75" customHeight="1">
      <c r="N155" s="39"/>
    </row>
    <row r="156" spans="14:14" ht="15.75" customHeight="1">
      <c r="N156" s="39"/>
    </row>
    <row r="157" spans="14:14" ht="15.75" customHeight="1">
      <c r="N157" s="39"/>
    </row>
    <row r="158" spans="14:14" ht="15.75" customHeight="1">
      <c r="N158" s="39"/>
    </row>
    <row r="159" spans="14:14" ht="15.75" customHeight="1">
      <c r="N159" s="39"/>
    </row>
    <row r="160" spans="14:14" ht="15.75" customHeight="1">
      <c r="N160" s="39"/>
    </row>
    <row r="161" spans="14:14" ht="15.75" customHeight="1">
      <c r="N161" s="39"/>
    </row>
    <row r="162" spans="14:14" ht="15.75" customHeight="1">
      <c r="N162" s="39"/>
    </row>
    <row r="163" spans="14:14" ht="15.75" customHeight="1">
      <c r="N163" s="39"/>
    </row>
    <row r="164" spans="14:14" ht="15.75" customHeight="1">
      <c r="N164" s="39"/>
    </row>
    <row r="165" spans="14:14" ht="15.75" customHeight="1">
      <c r="N165" s="39"/>
    </row>
    <row r="166" spans="14:14" ht="15.75" customHeight="1">
      <c r="N166" s="39"/>
    </row>
    <row r="167" spans="14:14" ht="15.75" customHeight="1">
      <c r="N167" s="39"/>
    </row>
    <row r="168" spans="14:14" ht="15.75" customHeight="1">
      <c r="N168" s="39"/>
    </row>
    <row r="169" spans="14:14" ht="15.75" customHeight="1">
      <c r="N169" s="39"/>
    </row>
    <row r="170" spans="14:14" ht="15.75" customHeight="1">
      <c r="N170" s="39"/>
    </row>
    <row r="171" spans="14:14" ht="15.75" customHeight="1">
      <c r="N171" s="39"/>
    </row>
    <row r="172" spans="14:14" ht="15.75" customHeight="1">
      <c r="N172" s="39"/>
    </row>
    <row r="173" spans="14:14" ht="15.75" customHeight="1">
      <c r="N173" s="39"/>
    </row>
    <row r="174" spans="14:14" ht="15.75" customHeight="1">
      <c r="N174" s="39"/>
    </row>
    <row r="175" spans="14:14" ht="15.75" customHeight="1">
      <c r="N175" s="39"/>
    </row>
    <row r="176" spans="14:14" ht="15.75" customHeight="1">
      <c r="N176" s="39"/>
    </row>
    <row r="177" spans="14:14" ht="15.75" customHeight="1">
      <c r="N177" s="39"/>
    </row>
    <row r="178" spans="14:14" ht="15.75" customHeight="1">
      <c r="N178" s="39"/>
    </row>
    <row r="179" spans="14:14" ht="15.75" customHeight="1">
      <c r="N179" s="39"/>
    </row>
    <row r="180" spans="14:14" ht="15.75" customHeight="1">
      <c r="N180" s="39"/>
    </row>
    <row r="181" spans="14:14" ht="15.75" customHeight="1">
      <c r="N181" s="39"/>
    </row>
    <row r="182" spans="14:14" ht="15.75" customHeight="1">
      <c r="N182" s="39"/>
    </row>
    <row r="183" spans="14:14" ht="15.75" customHeight="1">
      <c r="N183" s="39"/>
    </row>
    <row r="184" spans="14:14" ht="15.75" customHeight="1">
      <c r="N184" s="39"/>
    </row>
    <row r="185" spans="14:14" ht="15.75" customHeight="1">
      <c r="N185" s="39"/>
    </row>
    <row r="186" spans="14:14" ht="15.75" customHeight="1">
      <c r="N186" s="39"/>
    </row>
    <row r="187" spans="14:14" ht="15.75" customHeight="1">
      <c r="N187" s="39"/>
    </row>
    <row r="188" spans="14:14" ht="15.75" customHeight="1">
      <c r="N188" s="39"/>
    </row>
    <row r="189" spans="14:14" ht="15.75" customHeight="1">
      <c r="N189" s="39"/>
    </row>
    <row r="190" spans="14:14" ht="15.75" customHeight="1">
      <c r="N190" s="39"/>
    </row>
    <row r="191" spans="14:14" ht="15.75" customHeight="1">
      <c r="N191" s="39"/>
    </row>
    <row r="192" spans="14:14" ht="15.75" customHeight="1">
      <c r="N192" s="39"/>
    </row>
    <row r="193" spans="14:14" ht="15.75" customHeight="1">
      <c r="N193" s="39"/>
    </row>
    <row r="194" spans="14:14" ht="15.75" customHeight="1">
      <c r="N194" s="39"/>
    </row>
    <row r="195" spans="14:14" ht="15.75" customHeight="1">
      <c r="N195" s="39"/>
    </row>
    <row r="196" spans="14:14" ht="15.75" customHeight="1">
      <c r="N196" s="39"/>
    </row>
    <row r="197" spans="14:14" ht="15.75" customHeight="1">
      <c r="N197" s="39"/>
    </row>
    <row r="198" spans="14:14" ht="15.75" customHeight="1">
      <c r="N198" s="39"/>
    </row>
    <row r="199" spans="14:14" ht="15.75" customHeight="1">
      <c r="N199" s="39"/>
    </row>
    <row r="200" spans="14:14" ht="15.75" customHeight="1">
      <c r="N200" s="39"/>
    </row>
    <row r="201" spans="14:14" ht="15.75" customHeight="1">
      <c r="N201" s="39"/>
    </row>
    <row r="202" spans="14:14" ht="15.75" customHeight="1">
      <c r="N202" s="39"/>
    </row>
    <row r="203" spans="14:14" ht="15.75" customHeight="1">
      <c r="N203" s="39"/>
    </row>
    <row r="204" spans="14:14" ht="15.75" customHeight="1">
      <c r="N204" s="39"/>
    </row>
    <row r="205" spans="14:14" ht="15.75" customHeight="1">
      <c r="N205" s="39"/>
    </row>
    <row r="206" spans="14:14" ht="15.75" customHeight="1">
      <c r="N206" s="39"/>
    </row>
    <row r="207" spans="14:14" ht="15.75" customHeight="1">
      <c r="N207" s="39"/>
    </row>
    <row r="208" spans="14:14" ht="15.75" customHeight="1">
      <c r="N208" s="39"/>
    </row>
    <row r="209" spans="14:14" ht="15.75" customHeight="1">
      <c r="N209" s="39"/>
    </row>
    <row r="210" spans="14:14" ht="15.75" customHeight="1">
      <c r="N210" s="39"/>
    </row>
    <row r="211" spans="14:14" ht="15.75" customHeight="1">
      <c r="N211" s="39"/>
    </row>
    <row r="212" spans="14:14" ht="15.75" customHeight="1">
      <c r="N212" s="39"/>
    </row>
    <row r="213" spans="14:14" ht="15.75" customHeight="1">
      <c r="N213" s="39"/>
    </row>
    <row r="214" spans="14:14" ht="15.75" customHeight="1">
      <c r="N214" s="39"/>
    </row>
    <row r="215" spans="14:14" ht="15.75" customHeight="1">
      <c r="N215" s="39"/>
    </row>
    <row r="216" spans="14:14" ht="15.75" customHeight="1">
      <c r="N216" s="39"/>
    </row>
    <row r="217" spans="14:14" ht="15.75" customHeight="1">
      <c r="N217" s="39"/>
    </row>
    <row r="218" spans="14:14" ht="15.75" customHeight="1">
      <c r="N218" s="39"/>
    </row>
    <row r="219" spans="14:14" ht="15.75" customHeight="1">
      <c r="N219" s="39"/>
    </row>
    <row r="220" spans="14:14" ht="15.75" customHeight="1">
      <c r="N220" s="39"/>
    </row>
    <row r="221" spans="14:14" ht="15.75" customHeight="1">
      <c r="N221" s="39"/>
    </row>
    <row r="222" spans="14:14" ht="15.75" customHeight="1">
      <c r="N222" s="39"/>
    </row>
    <row r="223" spans="14:14" ht="15.75" customHeight="1">
      <c r="N223" s="39"/>
    </row>
    <row r="224" spans="14:14" ht="15.75" customHeight="1">
      <c r="N224" s="39"/>
    </row>
    <row r="225" spans="14:14" ht="15.75" customHeight="1">
      <c r="N225" s="39"/>
    </row>
    <row r="226" spans="14:14" ht="15.75" customHeight="1">
      <c r="N226" s="39"/>
    </row>
    <row r="227" spans="14:14" ht="15.75" customHeight="1">
      <c r="N227" s="39"/>
    </row>
    <row r="228" spans="14:14" ht="15.75" customHeight="1">
      <c r="N228" s="39"/>
    </row>
    <row r="229" spans="14:14" ht="15.75" customHeight="1">
      <c r="N229" s="39"/>
    </row>
    <row r="230" spans="14:14" ht="15.75" customHeight="1">
      <c r="N230" s="39"/>
    </row>
    <row r="231" spans="14:14" ht="15.75" customHeight="1">
      <c r="N231" s="39"/>
    </row>
    <row r="232" spans="14:14" ht="15.75" customHeight="1">
      <c r="N232" s="39"/>
    </row>
    <row r="233" spans="14:14" ht="15.75" customHeight="1">
      <c r="N233" s="39"/>
    </row>
    <row r="234" spans="14:14" ht="15.75" customHeight="1">
      <c r="N234" s="39"/>
    </row>
    <row r="235" spans="14:14" ht="15.75" customHeight="1">
      <c r="N235" s="39"/>
    </row>
    <row r="236" spans="14:14" ht="15.75" customHeight="1">
      <c r="N236" s="39"/>
    </row>
    <row r="237" spans="14:14" ht="15.75" customHeight="1">
      <c r="N237" s="39"/>
    </row>
    <row r="238" spans="14:14" ht="15.75" customHeight="1">
      <c r="N238" s="39"/>
    </row>
    <row r="239" spans="14:14" ht="15.75" customHeight="1">
      <c r="N239" s="39"/>
    </row>
    <row r="240" spans="14:14" ht="15.75" customHeight="1">
      <c r="N240" s="39"/>
    </row>
    <row r="241" spans="14:14" ht="15.75" customHeight="1">
      <c r="N241" s="39"/>
    </row>
    <row r="242" spans="14:14" ht="15.75" customHeight="1">
      <c r="N242" s="39"/>
    </row>
    <row r="243" spans="14:14" ht="15.75" customHeight="1">
      <c r="N243" s="39"/>
    </row>
    <row r="244" spans="14:14" ht="15.75" customHeight="1">
      <c r="N244" s="39"/>
    </row>
    <row r="245" spans="14:14" ht="15.75" customHeight="1">
      <c r="N245" s="39"/>
    </row>
    <row r="246" spans="14:14" ht="15.75" customHeight="1">
      <c r="N246" s="39"/>
    </row>
    <row r="247" spans="14:14" ht="15.75" customHeight="1">
      <c r="N247" s="39"/>
    </row>
    <row r="248" spans="14:14" ht="15.75" customHeight="1">
      <c r="N248" s="39"/>
    </row>
    <row r="249" spans="14:14" ht="15.75" customHeight="1">
      <c r="N249" s="39"/>
    </row>
    <row r="250" spans="14:14" ht="15.75" customHeight="1">
      <c r="N250" s="39"/>
    </row>
    <row r="251" spans="14:14" ht="15.75" customHeight="1">
      <c r="N251" s="39"/>
    </row>
    <row r="252" spans="14:14" ht="15.75" customHeight="1">
      <c r="N252" s="39"/>
    </row>
    <row r="253" spans="14:14" ht="15.75" customHeight="1">
      <c r="N253" s="39"/>
    </row>
    <row r="254" spans="14:14" ht="15.75" customHeight="1">
      <c r="N254" s="39"/>
    </row>
    <row r="255" spans="14:14" ht="15.75" customHeight="1">
      <c r="N255" s="39"/>
    </row>
    <row r="256" spans="14:14" ht="15.75" customHeight="1">
      <c r="N256" s="39"/>
    </row>
    <row r="257" spans="14:14" ht="15.75" customHeight="1">
      <c r="N257" s="39"/>
    </row>
    <row r="258" spans="14:14" ht="15.75" customHeight="1">
      <c r="N258" s="39"/>
    </row>
    <row r="259" spans="14:14" ht="15.75" customHeight="1">
      <c r="N259" s="39"/>
    </row>
    <row r="260" spans="14:14" ht="15.75" customHeight="1">
      <c r="N260" s="39"/>
    </row>
    <row r="261" spans="14:14" ht="15.75" customHeight="1">
      <c r="N261" s="39"/>
    </row>
    <row r="262" spans="14:14" ht="15.75" customHeight="1">
      <c r="N262" s="39"/>
    </row>
    <row r="263" spans="14:14" ht="15.75" customHeight="1">
      <c r="N263" s="39"/>
    </row>
    <row r="264" spans="14:14" ht="15.75" customHeight="1">
      <c r="N264" s="39"/>
    </row>
    <row r="265" spans="14:14" ht="15.75" customHeight="1">
      <c r="N265" s="39"/>
    </row>
    <row r="266" spans="14:14" ht="15.75" customHeight="1">
      <c r="N266" s="39"/>
    </row>
    <row r="267" spans="14:14" ht="15.75" customHeight="1">
      <c r="N267" s="39"/>
    </row>
    <row r="268" spans="14:14" ht="15.75" customHeight="1">
      <c r="N268" s="39"/>
    </row>
    <row r="269" spans="14:14" ht="15.75" customHeight="1">
      <c r="N269" s="39"/>
    </row>
    <row r="270" spans="14:14" ht="15.75" customHeight="1">
      <c r="N270" s="39"/>
    </row>
    <row r="271" spans="14:14" ht="15.75" customHeight="1">
      <c r="N271" s="39"/>
    </row>
    <row r="272" spans="14:14" ht="15.75" customHeight="1">
      <c r="N272" s="39"/>
    </row>
    <row r="273" spans="14:14" ht="15.75" customHeight="1">
      <c r="N273" s="39"/>
    </row>
    <row r="274" spans="14:14" ht="15.75" customHeight="1">
      <c r="N274" s="39"/>
    </row>
    <row r="275" spans="14:14" ht="15.75" customHeight="1">
      <c r="N275" s="39"/>
    </row>
    <row r="276" spans="14:14" ht="15.75" customHeight="1">
      <c r="N276" s="39"/>
    </row>
    <row r="277" spans="14:14" ht="15.75" customHeight="1">
      <c r="N277" s="39"/>
    </row>
    <row r="278" spans="14:14" ht="15.75" customHeight="1">
      <c r="N278" s="39"/>
    </row>
    <row r="279" spans="14:14" ht="15.75" customHeight="1">
      <c r="N279" s="39"/>
    </row>
    <row r="280" spans="14:14" ht="15.75" customHeight="1">
      <c r="N280" s="39"/>
    </row>
    <row r="281" spans="14:14" ht="15.75" customHeight="1">
      <c r="N281" s="39"/>
    </row>
    <row r="282" spans="14:14" ht="15.75" customHeight="1">
      <c r="N282" s="39"/>
    </row>
    <row r="283" spans="14:14" ht="15.75" customHeight="1">
      <c r="N283" s="39"/>
    </row>
    <row r="284" spans="14:14" ht="15.75" customHeight="1">
      <c r="N284" s="39"/>
    </row>
    <row r="285" spans="14:14" ht="15.75" customHeight="1">
      <c r="N285" s="39"/>
    </row>
    <row r="286" spans="14:14" ht="15.75" customHeight="1">
      <c r="N286" s="39"/>
    </row>
    <row r="287" spans="14:14" ht="15.75" customHeight="1">
      <c r="N287" s="39"/>
    </row>
    <row r="288" spans="14:14" ht="15.75" customHeight="1">
      <c r="N288" s="39"/>
    </row>
    <row r="289" spans="14:14" ht="15.75" customHeight="1">
      <c r="N289" s="39"/>
    </row>
    <row r="290" spans="14:14" ht="15.75" customHeight="1">
      <c r="N290" s="39"/>
    </row>
    <row r="291" spans="14:14" ht="15.75" customHeight="1">
      <c r="N291" s="39"/>
    </row>
    <row r="292" spans="14:14" ht="15.75" customHeight="1">
      <c r="N292" s="39"/>
    </row>
    <row r="293" spans="14:14" ht="15.75" customHeight="1">
      <c r="N293" s="39"/>
    </row>
    <row r="294" spans="14:14" ht="15.75" customHeight="1">
      <c r="N294" s="39"/>
    </row>
    <row r="295" spans="14:14" ht="15.75" customHeight="1">
      <c r="N295" s="39"/>
    </row>
    <row r="296" spans="14:14" ht="15.75" customHeight="1">
      <c r="N296" s="39"/>
    </row>
    <row r="297" spans="14:14" ht="15.75" customHeight="1">
      <c r="N297" s="39"/>
    </row>
    <row r="298" spans="14:14" ht="15.75" customHeight="1">
      <c r="N298" s="39"/>
    </row>
    <row r="299" spans="14:14" ht="15.75" customHeight="1">
      <c r="N299" s="39"/>
    </row>
    <row r="300" spans="14:14" ht="15.75" customHeight="1">
      <c r="N300" s="39"/>
    </row>
    <row r="301" spans="14:14" ht="15.75" customHeight="1">
      <c r="N301" s="39"/>
    </row>
    <row r="302" spans="14:14" ht="15.75" customHeight="1">
      <c r="N302" s="39"/>
    </row>
    <row r="303" spans="14:14" ht="15.75" customHeight="1">
      <c r="N303" s="39"/>
    </row>
    <row r="304" spans="14:14" ht="15.75" customHeight="1">
      <c r="N304" s="39"/>
    </row>
    <row r="305" spans="14:14" ht="15.75" customHeight="1">
      <c r="N305" s="39"/>
    </row>
    <row r="306" spans="14:14" ht="15.75" customHeight="1">
      <c r="N306" s="39"/>
    </row>
    <row r="307" spans="14:14" ht="15.75" customHeight="1">
      <c r="N307" s="39"/>
    </row>
    <row r="308" spans="14:14" ht="15.75" customHeight="1">
      <c r="N308" s="39"/>
    </row>
    <row r="309" spans="14:14" ht="15.75" customHeight="1">
      <c r="N309" s="39"/>
    </row>
    <row r="310" spans="14:14" ht="15.75" customHeight="1">
      <c r="N310" s="39"/>
    </row>
    <row r="311" spans="14:14" ht="15.75" customHeight="1">
      <c r="N311" s="39"/>
    </row>
    <row r="312" spans="14:14" ht="15.75" customHeight="1">
      <c r="N312" s="39"/>
    </row>
    <row r="313" spans="14:14" ht="15.75" customHeight="1">
      <c r="N313" s="39"/>
    </row>
    <row r="314" spans="14:14" ht="15.75" customHeight="1">
      <c r="N314" s="39"/>
    </row>
    <row r="315" spans="14:14" ht="15.75" customHeight="1">
      <c r="N315" s="39"/>
    </row>
    <row r="316" spans="14:14" ht="15.75" customHeight="1">
      <c r="N316" s="39"/>
    </row>
    <row r="317" spans="14:14" ht="15.75" customHeight="1">
      <c r="N317" s="39"/>
    </row>
    <row r="318" spans="14:14" ht="15.75" customHeight="1">
      <c r="N318" s="39"/>
    </row>
    <row r="319" spans="14:14" ht="15.75" customHeight="1">
      <c r="N319" s="39"/>
    </row>
    <row r="320" spans="14:14" ht="15.75" customHeight="1">
      <c r="N320" s="39"/>
    </row>
    <row r="321" spans="14:14" ht="15.75" customHeight="1">
      <c r="N321" s="39"/>
    </row>
    <row r="322" spans="14:14" ht="15.75" customHeight="1">
      <c r="N322" s="39"/>
    </row>
    <row r="323" spans="14:14" ht="15.75" customHeight="1">
      <c r="N323" s="39"/>
    </row>
    <row r="324" spans="14:14" ht="15.75" customHeight="1">
      <c r="N324" s="39"/>
    </row>
    <row r="325" spans="14:14" ht="15.75" customHeight="1">
      <c r="N325" s="39"/>
    </row>
    <row r="326" spans="14:14" ht="15.75" customHeight="1">
      <c r="N326" s="39"/>
    </row>
    <row r="327" spans="14:14" ht="15.75" customHeight="1">
      <c r="N327" s="39"/>
    </row>
    <row r="328" spans="14:14" ht="15.75" customHeight="1">
      <c r="N328" s="39"/>
    </row>
    <row r="329" spans="14:14" ht="15.75" customHeight="1">
      <c r="N329" s="39"/>
    </row>
    <row r="330" spans="14:14" ht="15.75" customHeight="1">
      <c r="N330" s="39"/>
    </row>
    <row r="331" spans="14:14" ht="15.75" customHeight="1">
      <c r="N331" s="39"/>
    </row>
    <row r="332" spans="14:14" ht="15.75" customHeight="1">
      <c r="N332" s="39"/>
    </row>
    <row r="333" spans="14:14" ht="15.75" customHeight="1">
      <c r="N333" s="39"/>
    </row>
    <row r="334" spans="14:14" ht="15.75" customHeight="1">
      <c r="N334" s="39"/>
    </row>
    <row r="335" spans="14:14" ht="15.75" customHeight="1">
      <c r="N335" s="39"/>
    </row>
    <row r="336" spans="14:14" ht="15.75" customHeight="1">
      <c r="N336" s="39"/>
    </row>
    <row r="337" spans="14:14" ht="15.75" customHeight="1">
      <c r="N337" s="39"/>
    </row>
    <row r="338" spans="14:14" ht="15.75" customHeight="1">
      <c r="N338" s="39"/>
    </row>
    <row r="339" spans="14:14" ht="15.75" customHeight="1">
      <c r="N339" s="39"/>
    </row>
    <row r="340" spans="14:14" ht="15.75" customHeight="1">
      <c r="N340" s="39"/>
    </row>
    <row r="341" spans="14:14" ht="15.75" customHeight="1">
      <c r="N341" s="39"/>
    </row>
    <row r="342" spans="14:14" ht="15.75" customHeight="1">
      <c r="N342" s="39"/>
    </row>
    <row r="343" spans="14:14" ht="15.75" customHeight="1">
      <c r="N343" s="39"/>
    </row>
    <row r="344" spans="14:14" ht="15.75" customHeight="1">
      <c r="N344" s="39"/>
    </row>
    <row r="345" spans="14:14" ht="15.75" customHeight="1">
      <c r="N345" s="39"/>
    </row>
    <row r="346" spans="14:14" ht="15.75" customHeight="1">
      <c r="N346" s="39"/>
    </row>
    <row r="347" spans="14:14" ht="15.75" customHeight="1">
      <c r="N347" s="39"/>
    </row>
    <row r="348" spans="14:14" ht="15.75" customHeight="1">
      <c r="N348" s="39"/>
    </row>
    <row r="349" spans="14:14" ht="15.75" customHeight="1">
      <c r="N349" s="39"/>
    </row>
    <row r="350" spans="14:14" ht="15.75" customHeight="1">
      <c r="N350" s="39"/>
    </row>
    <row r="351" spans="14:14" ht="15.75" customHeight="1">
      <c r="N351" s="39"/>
    </row>
    <row r="352" spans="14:14" ht="15.75" customHeight="1">
      <c r="N352" s="39"/>
    </row>
    <row r="353" spans="14:14" ht="15.75" customHeight="1">
      <c r="N353" s="39"/>
    </row>
    <row r="354" spans="14:14" ht="15.75" customHeight="1">
      <c r="N354" s="39"/>
    </row>
    <row r="355" spans="14:14" ht="15.75" customHeight="1">
      <c r="N355" s="39"/>
    </row>
    <row r="356" spans="14:14" ht="15.75" customHeight="1">
      <c r="N356" s="39"/>
    </row>
    <row r="357" spans="14:14" ht="15.75" customHeight="1">
      <c r="N357" s="39"/>
    </row>
    <row r="358" spans="14:14" ht="15.75" customHeight="1">
      <c r="N358" s="39"/>
    </row>
    <row r="359" spans="14:14" ht="15.75" customHeight="1">
      <c r="N359" s="39"/>
    </row>
    <row r="360" spans="14:14" ht="15.75" customHeight="1">
      <c r="N360" s="39"/>
    </row>
    <row r="361" spans="14:14" ht="15.75" customHeight="1">
      <c r="N361" s="39"/>
    </row>
    <row r="362" spans="14:14" ht="15.75" customHeight="1">
      <c r="N362" s="39"/>
    </row>
    <row r="363" spans="14:14" ht="15.75" customHeight="1">
      <c r="N363" s="39"/>
    </row>
    <row r="364" spans="14:14" ht="15.75" customHeight="1">
      <c r="N364" s="39"/>
    </row>
    <row r="365" spans="14:14" ht="15.75" customHeight="1">
      <c r="N365" s="39"/>
    </row>
    <row r="366" spans="14:14" ht="15.75" customHeight="1">
      <c r="N366" s="39"/>
    </row>
    <row r="367" spans="14:14" ht="15.75" customHeight="1">
      <c r="N367" s="39"/>
    </row>
    <row r="368" spans="14:14" ht="15.75" customHeight="1">
      <c r="N368" s="39"/>
    </row>
    <row r="369" spans="14:14" ht="15.75" customHeight="1">
      <c r="N369" s="39"/>
    </row>
    <row r="370" spans="14:14" ht="15.75" customHeight="1">
      <c r="N370" s="39"/>
    </row>
    <row r="371" spans="14:14" ht="15.75" customHeight="1">
      <c r="N371" s="39"/>
    </row>
    <row r="372" spans="14:14" ht="15.75" customHeight="1">
      <c r="N372" s="39"/>
    </row>
    <row r="373" spans="14:14" ht="15.75" customHeight="1">
      <c r="N373" s="39"/>
    </row>
    <row r="374" spans="14:14" ht="15.75" customHeight="1">
      <c r="N374" s="39"/>
    </row>
    <row r="375" spans="14:14" ht="15.75" customHeight="1">
      <c r="N375" s="39"/>
    </row>
    <row r="376" spans="14:14" ht="15.75" customHeight="1">
      <c r="N376" s="39"/>
    </row>
    <row r="377" spans="14:14" ht="15.75" customHeight="1">
      <c r="N377" s="39"/>
    </row>
    <row r="378" spans="14:14" ht="15.75" customHeight="1">
      <c r="N378" s="39"/>
    </row>
    <row r="379" spans="14:14" ht="15.75" customHeight="1">
      <c r="N379" s="39"/>
    </row>
    <row r="380" spans="14:14" ht="15.75" customHeight="1">
      <c r="N380" s="39"/>
    </row>
    <row r="381" spans="14:14" ht="15.75" customHeight="1">
      <c r="N381" s="39"/>
    </row>
    <row r="382" spans="14:14" ht="15.75" customHeight="1">
      <c r="N382" s="39"/>
    </row>
    <row r="383" spans="14:14" ht="15.75" customHeight="1">
      <c r="N383" s="39"/>
    </row>
    <row r="384" spans="14:14" ht="15.75" customHeight="1">
      <c r="N384" s="39"/>
    </row>
    <row r="385" spans="14:14" ht="15.75" customHeight="1">
      <c r="N385" s="39"/>
    </row>
    <row r="386" spans="14:14" ht="15.75" customHeight="1">
      <c r="N386" s="39"/>
    </row>
    <row r="387" spans="14:14" ht="15.75" customHeight="1">
      <c r="N387" s="39"/>
    </row>
    <row r="388" spans="14:14" ht="15.75" customHeight="1">
      <c r="N388" s="39"/>
    </row>
    <row r="389" spans="14:14" ht="15.75" customHeight="1">
      <c r="N389" s="39"/>
    </row>
    <row r="390" spans="14:14" ht="15.75" customHeight="1">
      <c r="N390" s="39"/>
    </row>
    <row r="391" spans="14:14" ht="15.75" customHeight="1">
      <c r="N391" s="39"/>
    </row>
    <row r="392" spans="14:14" ht="15.75" customHeight="1">
      <c r="N392" s="39"/>
    </row>
    <row r="393" spans="14:14" ht="15.75" customHeight="1">
      <c r="N393" s="39"/>
    </row>
    <row r="394" spans="14:14" ht="15.75" customHeight="1">
      <c r="N394" s="39"/>
    </row>
    <row r="395" spans="14:14" ht="15.75" customHeight="1">
      <c r="N395" s="39"/>
    </row>
    <row r="396" spans="14:14" ht="15.75" customHeight="1">
      <c r="N396" s="39"/>
    </row>
    <row r="397" spans="14:14" ht="15.75" customHeight="1">
      <c r="N397" s="39"/>
    </row>
    <row r="398" spans="14:14" ht="15.75" customHeight="1">
      <c r="N398" s="39"/>
    </row>
    <row r="399" spans="14:14" ht="15.75" customHeight="1">
      <c r="N399" s="39"/>
    </row>
    <row r="400" spans="14:14" ht="15.75" customHeight="1">
      <c r="N400" s="39"/>
    </row>
    <row r="401" spans="14:14" ht="15.75" customHeight="1">
      <c r="N401" s="39"/>
    </row>
    <row r="402" spans="14:14" ht="15.75" customHeight="1">
      <c r="N402" s="39"/>
    </row>
    <row r="403" spans="14:14" ht="15.75" customHeight="1">
      <c r="N403" s="39"/>
    </row>
    <row r="404" spans="14:14" ht="15.75" customHeight="1">
      <c r="N404" s="39"/>
    </row>
    <row r="405" spans="14:14" ht="15.75" customHeight="1">
      <c r="N405" s="39"/>
    </row>
    <row r="406" spans="14:14" ht="15.75" customHeight="1">
      <c r="N406" s="39"/>
    </row>
    <row r="407" spans="14:14" ht="15.75" customHeight="1">
      <c r="N407" s="39"/>
    </row>
    <row r="408" spans="14:14" ht="15.75" customHeight="1">
      <c r="N408" s="39"/>
    </row>
    <row r="409" spans="14:14" ht="15.75" customHeight="1">
      <c r="N409" s="39"/>
    </row>
    <row r="410" spans="14:14" ht="15.75" customHeight="1">
      <c r="N410" s="39"/>
    </row>
    <row r="411" spans="14:14" ht="15.75" customHeight="1">
      <c r="N411" s="39"/>
    </row>
    <row r="412" spans="14:14" ht="15.75" customHeight="1">
      <c r="N412" s="39"/>
    </row>
    <row r="413" spans="14:14" ht="15.75" customHeight="1">
      <c r="N413" s="39"/>
    </row>
    <row r="414" spans="14:14" ht="15.75" customHeight="1">
      <c r="N414" s="39"/>
    </row>
    <row r="415" spans="14:14" ht="15.75" customHeight="1">
      <c r="N415" s="39"/>
    </row>
    <row r="416" spans="14:14" ht="15.75" customHeight="1">
      <c r="N416" s="39"/>
    </row>
    <row r="417" spans="14:14" ht="15.75" customHeight="1">
      <c r="N417" s="39"/>
    </row>
    <row r="418" spans="14:14" ht="15.75" customHeight="1">
      <c r="N418" s="39"/>
    </row>
    <row r="419" spans="14:14" ht="15.75" customHeight="1">
      <c r="N419" s="39"/>
    </row>
    <row r="420" spans="14:14" ht="15.75" customHeight="1">
      <c r="N420" s="39"/>
    </row>
    <row r="421" spans="14:14" ht="15.75" customHeight="1">
      <c r="N421" s="39"/>
    </row>
    <row r="422" spans="14:14" ht="15.75" customHeight="1">
      <c r="N422" s="39"/>
    </row>
    <row r="423" spans="14:14" ht="15.75" customHeight="1">
      <c r="N423" s="39"/>
    </row>
    <row r="424" spans="14:14" ht="15.75" customHeight="1">
      <c r="N424" s="39"/>
    </row>
    <row r="425" spans="14:14" ht="15.75" customHeight="1">
      <c r="N425" s="39"/>
    </row>
    <row r="426" spans="14:14" ht="15.75" customHeight="1">
      <c r="N426" s="39"/>
    </row>
    <row r="427" spans="14:14" ht="15.75" customHeight="1">
      <c r="N427" s="39"/>
    </row>
    <row r="428" spans="14:14" ht="15.75" customHeight="1">
      <c r="N428" s="39"/>
    </row>
    <row r="429" spans="14:14" ht="15.75" customHeight="1">
      <c r="N429" s="39"/>
    </row>
    <row r="430" spans="14:14" ht="15.75" customHeight="1">
      <c r="N430" s="39"/>
    </row>
    <row r="431" spans="14:14" ht="15.75" customHeight="1">
      <c r="N431" s="39"/>
    </row>
    <row r="432" spans="14:14" ht="15.75" customHeight="1">
      <c r="N432" s="39"/>
    </row>
    <row r="433" spans="14:14" ht="15.75" customHeight="1">
      <c r="N433" s="39"/>
    </row>
    <row r="434" spans="14:14" ht="15.75" customHeight="1">
      <c r="N434" s="39"/>
    </row>
    <row r="435" spans="14:14" ht="15.75" customHeight="1">
      <c r="N435" s="39"/>
    </row>
    <row r="436" spans="14:14" ht="15.75" customHeight="1">
      <c r="N436" s="39"/>
    </row>
    <row r="437" spans="14:14" ht="15.75" customHeight="1">
      <c r="N437" s="39"/>
    </row>
    <row r="438" spans="14:14" ht="15.75" customHeight="1">
      <c r="N438" s="39"/>
    </row>
    <row r="439" spans="14:14" ht="15.75" customHeight="1">
      <c r="N439" s="39"/>
    </row>
    <row r="440" spans="14:14" ht="15.75" customHeight="1">
      <c r="N440" s="39"/>
    </row>
    <row r="441" spans="14:14" ht="15.75" customHeight="1">
      <c r="N441" s="39"/>
    </row>
    <row r="442" spans="14:14" ht="15.75" customHeight="1">
      <c r="N442" s="39"/>
    </row>
    <row r="443" spans="14:14" ht="15.75" customHeight="1">
      <c r="N443" s="39"/>
    </row>
    <row r="444" spans="14:14" ht="15.75" customHeight="1">
      <c r="N444" s="39"/>
    </row>
    <row r="445" spans="14:14" ht="15.75" customHeight="1">
      <c r="N445" s="39"/>
    </row>
    <row r="446" spans="14:14" ht="15.75" customHeight="1">
      <c r="N446" s="39"/>
    </row>
    <row r="447" spans="14:14" ht="15.75" customHeight="1">
      <c r="N447" s="39"/>
    </row>
    <row r="448" spans="14:14" ht="15.75" customHeight="1">
      <c r="N448" s="39"/>
    </row>
    <row r="449" spans="14:14" ht="15.75" customHeight="1">
      <c r="N449" s="39"/>
    </row>
    <row r="450" spans="14:14" ht="15.75" customHeight="1">
      <c r="N450" s="39"/>
    </row>
    <row r="451" spans="14:14" ht="15.75" customHeight="1">
      <c r="N451" s="39"/>
    </row>
    <row r="452" spans="14:14" ht="15.75" customHeight="1">
      <c r="N452" s="39"/>
    </row>
    <row r="453" spans="14:14" ht="15.75" customHeight="1">
      <c r="N453" s="39"/>
    </row>
    <row r="454" spans="14:14" ht="15.75" customHeight="1">
      <c r="N454" s="39"/>
    </row>
    <row r="455" spans="14:14" ht="15.75" customHeight="1">
      <c r="N455" s="39"/>
    </row>
    <row r="456" spans="14:14" ht="15.75" customHeight="1">
      <c r="N456" s="39"/>
    </row>
    <row r="457" spans="14:14" ht="15.75" customHeight="1">
      <c r="N457" s="39"/>
    </row>
    <row r="458" spans="14:14" ht="15.75" customHeight="1">
      <c r="N458" s="39"/>
    </row>
    <row r="459" spans="14:14" ht="15.75" customHeight="1">
      <c r="N459" s="39"/>
    </row>
    <row r="460" spans="14:14" ht="15.75" customHeight="1">
      <c r="N460" s="39"/>
    </row>
    <row r="461" spans="14:14" ht="15.75" customHeight="1">
      <c r="N461" s="39"/>
    </row>
    <row r="462" spans="14:14" ht="15.75" customHeight="1">
      <c r="N462" s="39"/>
    </row>
    <row r="463" spans="14:14" ht="15.75" customHeight="1">
      <c r="N463" s="39"/>
    </row>
    <row r="464" spans="14:14" ht="15.75" customHeight="1">
      <c r="N464" s="39"/>
    </row>
    <row r="465" spans="14:14" ht="15.75" customHeight="1">
      <c r="N465" s="39"/>
    </row>
    <row r="466" spans="14:14" ht="15.75" customHeight="1">
      <c r="N466" s="39"/>
    </row>
    <row r="467" spans="14:14" ht="15.75" customHeight="1">
      <c r="N467" s="39"/>
    </row>
    <row r="468" spans="14:14" ht="15.75" customHeight="1">
      <c r="N468" s="39"/>
    </row>
    <row r="469" spans="14:14" ht="15.75" customHeight="1">
      <c r="N469" s="39"/>
    </row>
    <row r="470" spans="14:14" ht="15.75" customHeight="1">
      <c r="N470" s="39"/>
    </row>
    <row r="471" spans="14:14" ht="15.75" customHeight="1">
      <c r="N471" s="39"/>
    </row>
    <row r="472" spans="14:14" ht="15.75" customHeight="1">
      <c r="N472" s="39"/>
    </row>
    <row r="473" spans="14:14" ht="15.75" customHeight="1">
      <c r="N473" s="39"/>
    </row>
    <row r="474" spans="14:14" ht="15.75" customHeight="1">
      <c r="N474" s="39"/>
    </row>
    <row r="475" spans="14:14" ht="15.75" customHeight="1">
      <c r="N475" s="39"/>
    </row>
    <row r="476" spans="14:14" ht="15.75" customHeight="1">
      <c r="N476" s="39"/>
    </row>
    <row r="477" spans="14:14" ht="15.75" customHeight="1">
      <c r="N477" s="39"/>
    </row>
    <row r="478" spans="14:14" ht="15.75" customHeight="1">
      <c r="N478" s="39"/>
    </row>
    <row r="479" spans="14:14" ht="15.75" customHeight="1">
      <c r="N479" s="39"/>
    </row>
    <row r="480" spans="14:14" ht="15.75" customHeight="1">
      <c r="N480" s="39"/>
    </row>
    <row r="481" spans="14:14" ht="15.75" customHeight="1">
      <c r="N481" s="39"/>
    </row>
    <row r="482" spans="14:14" ht="15.75" customHeight="1">
      <c r="N482" s="39"/>
    </row>
    <row r="483" spans="14:14" ht="15.75" customHeight="1">
      <c r="N483" s="39"/>
    </row>
    <row r="484" spans="14:14" ht="15.75" customHeight="1">
      <c r="N484" s="39"/>
    </row>
    <row r="485" spans="14:14" ht="15.75" customHeight="1">
      <c r="N485" s="39"/>
    </row>
    <row r="486" spans="14:14" ht="15.75" customHeight="1">
      <c r="N486" s="39"/>
    </row>
    <row r="487" spans="14:14" ht="15.75" customHeight="1">
      <c r="N487" s="39"/>
    </row>
    <row r="488" spans="14:14" ht="15.75" customHeight="1">
      <c r="N488" s="39"/>
    </row>
    <row r="489" spans="14:14" ht="15.75" customHeight="1">
      <c r="N489" s="39"/>
    </row>
    <row r="490" spans="14:14" ht="15.75" customHeight="1">
      <c r="N490" s="39"/>
    </row>
    <row r="491" spans="14:14" ht="15.75" customHeight="1">
      <c r="N491" s="39"/>
    </row>
    <row r="492" spans="14:14" ht="15.75" customHeight="1">
      <c r="N492" s="39"/>
    </row>
    <row r="493" spans="14:14" ht="15.75" customHeight="1">
      <c r="N493" s="39"/>
    </row>
    <row r="494" spans="14:14" ht="15.75" customHeight="1">
      <c r="N494" s="39"/>
    </row>
    <row r="495" spans="14:14" ht="15.75" customHeight="1">
      <c r="N495" s="39"/>
    </row>
    <row r="496" spans="14:14" ht="15.75" customHeight="1">
      <c r="N496" s="39"/>
    </row>
    <row r="497" spans="14:14" ht="15.75" customHeight="1">
      <c r="N497" s="39"/>
    </row>
    <row r="498" spans="14:14" ht="15.75" customHeight="1">
      <c r="N498" s="39"/>
    </row>
    <row r="499" spans="14:14" ht="15.75" customHeight="1">
      <c r="N499" s="39"/>
    </row>
    <row r="500" spans="14:14" ht="15.75" customHeight="1">
      <c r="N500" s="39"/>
    </row>
    <row r="501" spans="14:14" ht="15.75" customHeight="1">
      <c r="N501" s="39"/>
    </row>
    <row r="502" spans="14:14" ht="15.75" customHeight="1">
      <c r="N502" s="39"/>
    </row>
    <row r="503" spans="14:14" ht="15.75" customHeight="1">
      <c r="N503" s="39"/>
    </row>
    <row r="504" spans="14:14" ht="15.75" customHeight="1">
      <c r="N504" s="39"/>
    </row>
    <row r="505" spans="14:14" ht="15.75" customHeight="1">
      <c r="N505" s="39"/>
    </row>
    <row r="506" spans="14:14" ht="15.75" customHeight="1">
      <c r="N506" s="39"/>
    </row>
    <row r="507" spans="14:14" ht="15.75" customHeight="1">
      <c r="N507" s="39"/>
    </row>
    <row r="508" spans="14:14" ht="15.75" customHeight="1">
      <c r="N508" s="39"/>
    </row>
    <row r="509" spans="14:14" ht="15.75" customHeight="1">
      <c r="N509" s="39"/>
    </row>
    <row r="510" spans="14:14" ht="15.75" customHeight="1">
      <c r="N510" s="39"/>
    </row>
    <row r="511" spans="14:14" ht="15.75" customHeight="1">
      <c r="N511" s="39"/>
    </row>
    <row r="512" spans="14:14" ht="15.75" customHeight="1">
      <c r="N512" s="39"/>
    </row>
    <row r="513" spans="14:14" ht="15.75" customHeight="1">
      <c r="N513" s="39"/>
    </row>
    <row r="514" spans="14:14" ht="15.75" customHeight="1">
      <c r="N514" s="39"/>
    </row>
    <row r="515" spans="14:14" ht="15.75" customHeight="1">
      <c r="N515" s="39"/>
    </row>
    <row r="516" spans="14:14" ht="15.75" customHeight="1">
      <c r="N516" s="39"/>
    </row>
    <row r="517" spans="14:14" ht="15.75" customHeight="1">
      <c r="N517" s="39"/>
    </row>
    <row r="518" spans="14:14" ht="15.75" customHeight="1">
      <c r="N518" s="39"/>
    </row>
    <row r="519" spans="14:14" ht="15.75" customHeight="1">
      <c r="N519" s="39"/>
    </row>
    <row r="520" spans="14:14" ht="15.75" customHeight="1">
      <c r="N520" s="39"/>
    </row>
    <row r="521" spans="14:14" ht="15.75" customHeight="1">
      <c r="N521" s="39"/>
    </row>
    <row r="522" spans="14:14" ht="15.75" customHeight="1">
      <c r="N522" s="39"/>
    </row>
    <row r="523" spans="14:14" ht="15.75" customHeight="1">
      <c r="N523" s="39"/>
    </row>
    <row r="524" spans="14:14" ht="15.75" customHeight="1">
      <c r="N524" s="39"/>
    </row>
    <row r="525" spans="14:14" ht="15.75" customHeight="1">
      <c r="N525" s="39"/>
    </row>
    <row r="526" spans="14:14" ht="15.75" customHeight="1">
      <c r="N526" s="39"/>
    </row>
    <row r="527" spans="14:14" ht="15.75" customHeight="1">
      <c r="N527" s="39"/>
    </row>
    <row r="528" spans="14:14" ht="15.75" customHeight="1">
      <c r="N528" s="39"/>
    </row>
    <row r="529" spans="14:14" ht="15.75" customHeight="1">
      <c r="N529" s="39"/>
    </row>
    <row r="530" spans="14:14" ht="15.75" customHeight="1">
      <c r="N530" s="39"/>
    </row>
    <row r="531" spans="14:14" ht="15.75" customHeight="1">
      <c r="N531" s="39"/>
    </row>
    <row r="532" spans="14:14" ht="15.75" customHeight="1">
      <c r="N532" s="39"/>
    </row>
    <row r="533" spans="14:14" ht="15.75" customHeight="1">
      <c r="N533" s="39"/>
    </row>
    <row r="534" spans="14:14" ht="15.75" customHeight="1">
      <c r="N534" s="39"/>
    </row>
    <row r="535" spans="14:14" ht="15.75" customHeight="1">
      <c r="N535" s="39"/>
    </row>
    <row r="536" spans="14:14" ht="15.75" customHeight="1">
      <c r="N536" s="39"/>
    </row>
    <row r="537" spans="14:14" ht="15.75" customHeight="1">
      <c r="N537" s="39"/>
    </row>
    <row r="538" spans="14:14" ht="15.75" customHeight="1">
      <c r="N538" s="39"/>
    </row>
    <row r="539" spans="14:14" ht="15.75" customHeight="1">
      <c r="N539" s="39"/>
    </row>
    <row r="540" spans="14:14" ht="15.75" customHeight="1">
      <c r="N540" s="39"/>
    </row>
    <row r="541" spans="14:14" ht="15.75" customHeight="1">
      <c r="N541" s="39"/>
    </row>
    <row r="542" spans="14:14" ht="15.75" customHeight="1">
      <c r="N542" s="39"/>
    </row>
    <row r="543" spans="14:14" ht="15.75" customHeight="1">
      <c r="N543" s="39"/>
    </row>
    <row r="544" spans="14:14" ht="15.75" customHeight="1">
      <c r="N544" s="39"/>
    </row>
    <row r="545" spans="14:14" ht="15.75" customHeight="1">
      <c r="N545" s="39"/>
    </row>
    <row r="546" spans="14:14" ht="15.75" customHeight="1">
      <c r="N546" s="39"/>
    </row>
    <row r="547" spans="14:14" ht="15.75" customHeight="1">
      <c r="N547" s="39"/>
    </row>
    <row r="548" spans="14:14" ht="15.75" customHeight="1">
      <c r="N548" s="39"/>
    </row>
    <row r="549" spans="14:14" ht="15.75" customHeight="1">
      <c r="N549" s="39"/>
    </row>
    <row r="550" spans="14:14" ht="15.75" customHeight="1">
      <c r="N550" s="39"/>
    </row>
    <row r="551" spans="14:14" ht="15.75" customHeight="1">
      <c r="N551" s="39"/>
    </row>
    <row r="552" spans="14:14" ht="15.75" customHeight="1">
      <c r="N552" s="39"/>
    </row>
    <row r="553" spans="14:14" ht="15.75" customHeight="1">
      <c r="N553" s="39"/>
    </row>
    <row r="554" spans="14:14" ht="15.75" customHeight="1">
      <c r="N554" s="39"/>
    </row>
    <row r="555" spans="14:14" ht="15.75" customHeight="1">
      <c r="N555" s="39"/>
    </row>
    <row r="556" spans="14:14" ht="15.75" customHeight="1">
      <c r="N556" s="39"/>
    </row>
    <row r="557" spans="14:14" ht="15.75" customHeight="1">
      <c r="N557" s="39"/>
    </row>
    <row r="558" spans="14:14" ht="15.75" customHeight="1">
      <c r="N558" s="39"/>
    </row>
    <row r="559" spans="14:14" ht="15.75" customHeight="1">
      <c r="N559" s="39"/>
    </row>
    <row r="560" spans="14:14" ht="15.75" customHeight="1">
      <c r="N560" s="39"/>
    </row>
    <row r="561" spans="14:14" ht="15.75" customHeight="1">
      <c r="N561" s="39"/>
    </row>
    <row r="562" spans="14:14" ht="15.75" customHeight="1">
      <c r="N562" s="39"/>
    </row>
    <row r="563" spans="14:14" ht="15.75" customHeight="1">
      <c r="N563" s="39"/>
    </row>
    <row r="564" spans="14:14" ht="15.75" customHeight="1">
      <c r="N564" s="39"/>
    </row>
    <row r="565" spans="14:14" ht="15.75" customHeight="1">
      <c r="N565" s="39"/>
    </row>
    <row r="566" spans="14:14" ht="15.75" customHeight="1">
      <c r="N566" s="39"/>
    </row>
    <row r="567" spans="14:14" ht="15.75" customHeight="1">
      <c r="N567" s="39"/>
    </row>
    <row r="568" spans="14:14" ht="15.75" customHeight="1">
      <c r="N568" s="39"/>
    </row>
    <row r="569" spans="14:14" ht="15.75" customHeight="1">
      <c r="N569" s="39"/>
    </row>
    <row r="570" spans="14:14" ht="15.75" customHeight="1">
      <c r="N570" s="39"/>
    </row>
    <row r="571" spans="14:14" ht="15.75" customHeight="1">
      <c r="N571" s="39"/>
    </row>
    <row r="572" spans="14:14" ht="15.75" customHeight="1">
      <c r="N572" s="39"/>
    </row>
    <row r="573" spans="14:14" ht="15.75" customHeight="1">
      <c r="N573" s="39"/>
    </row>
    <row r="574" spans="14:14" ht="15.75" customHeight="1">
      <c r="N574" s="39"/>
    </row>
    <row r="575" spans="14:14" ht="15.75" customHeight="1">
      <c r="N575" s="39"/>
    </row>
    <row r="576" spans="14:14" ht="15.75" customHeight="1">
      <c r="N576" s="39"/>
    </row>
    <row r="577" spans="14:14" ht="15.75" customHeight="1">
      <c r="N577" s="39"/>
    </row>
    <row r="578" spans="14:14" ht="15.75" customHeight="1">
      <c r="N578" s="39"/>
    </row>
    <row r="579" spans="14:14" ht="15.75" customHeight="1">
      <c r="N579" s="39"/>
    </row>
    <row r="580" spans="14:14" ht="15.75" customHeight="1">
      <c r="N580" s="39"/>
    </row>
    <row r="581" spans="14:14" ht="15.75" customHeight="1">
      <c r="N581" s="39"/>
    </row>
    <row r="582" spans="14:14" ht="15.75" customHeight="1">
      <c r="N582" s="39"/>
    </row>
    <row r="583" spans="14:14" ht="15.75" customHeight="1">
      <c r="N583" s="39"/>
    </row>
    <row r="584" spans="14:14" ht="15.75" customHeight="1">
      <c r="N584" s="39"/>
    </row>
    <row r="585" spans="14:14" ht="15.75" customHeight="1">
      <c r="N585" s="39"/>
    </row>
    <row r="586" spans="14:14" ht="15.75" customHeight="1">
      <c r="N586" s="39"/>
    </row>
    <row r="587" spans="14:14" ht="15.75" customHeight="1">
      <c r="N587" s="39"/>
    </row>
    <row r="588" spans="14:14" ht="15.75" customHeight="1">
      <c r="N588" s="39"/>
    </row>
    <row r="589" spans="14:14" ht="15.75" customHeight="1">
      <c r="N589" s="39"/>
    </row>
    <row r="590" spans="14:14" ht="15.75" customHeight="1">
      <c r="N590" s="39"/>
    </row>
    <row r="591" spans="14:14" ht="15.75" customHeight="1">
      <c r="N591" s="39"/>
    </row>
    <row r="592" spans="14:14" ht="15.75" customHeight="1">
      <c r="N592" s="39"/>
    </row>
    <row r="593" spans="14:14" ht="15.75" customHeight="1">
      <c r="N593" s="39"/>
    </row>
    <row r="594" spans="14:14" ht="15.75" customHeight="1">
      <c r="N594" s="39"/>
    </row>
    <row r="595" spans="14:14" ht="15.75" customHeight="1">
      <c r="N595" s="39"/>
    </row>
    <row r="596" spans="14:14" ht="15.75" customHeight="1">
      <c r="N596" s="39"/>
    </row>
    <row r="597" spans="14:14" ht="15.75" customHeight="1">
      <c r="N597" s="39"/>
    </row>
    <row r="598" spans="14:14" ht="15.75" customHeight="1">
      <c r="N598" s="39"/>
    </row>
    <row r="599" spans="14:14" ht="15.75" customHeight="1">
      <c r="N599" s="39"/>
    </row>
    <row r="600" spans="14:14" ht="15.75" customHeight="1">
      <c r="N600" s="39"/>
    </row>
    <row r="601" spans="14:14" ht="15.75" customHeight="1">
      <c r="N601" s="39"/>
    </row>
    <row r="602" spans="14:14" ht="15.75" customHeight="1">
      <c r="N602" s="39"/>
    </row>
    <row r="603" spans="14:14" ht="15.75" customHeight="1">
      <c r="N603" s="39"/>
    </row>
    <row r="604" spans="14:14" ht="15.75" customHeight="1">
      <c r="N604" s="39"/>
    </row>
    <row r="605" spans="14:14" ht="15.75" customHeight="1">
      <c r="N605" s="39"/>
    </row>
    <row r="606" spans="14:14" ht="15.75" customHeight="1">
      <c r="N606" s="39"/>
    </row>
    <row r="607" spans="14:14" ht="15.75" customHeight="1">
      <c r="N607" s="39"/>
    </row>
    <row r="608" spans="14:14" ht="15.75" customHeight="1">
      <c r="N608" s="39"/>
    </row>
    <row r="609" spans="14:14" ht="15.75" customHeight="1">
      <c r="N609" s="39"/>
    </row>
    <row r="610" spans="14:14" ht="15.75" customHeight="1">
      <c r="N610" s="39"/>
    </row>
    <row r="611" spans="14:14" ht="15.75" customHeight="1">
      <c r="N611" s="39"/>
    </row>
    <row r="612" spans="14:14" ht="15.75" customHeight="1">
      <c r="N612" s="39"/>
    </row>
    <row r="613" spans="14:14" ht="15.75" customHeight="1">
      <c r="N613" s="39"/>
    </row>
    <row r="614" spans="14:14" ht="15.75" customHeight="1">
      <c r="N614" s="39"/>
    </row>
    <row r="615" spans="14:14" ht="15.75" customHeight="1">
      <c r="N615" s="39"/>
    </row>
    <row r="616" spans="14:14" ht="15.75" customHeight="1">
      <c r="N616" s="39"/>
    </row>
    <row r="617" spans="14:14" ht="15.75" customHeight="1">
      <c r="N617" s="39"/>
    </row>
    <row r="618" spans="14:14" ht="15.75" customHeight="1">
      <c r="N618" s="39"/>
    </row>
    <row r="619" spans="14:14" ht="15.75" customHeight="1">
      <c r="N619" s="39"/>
    </row>
    <row r="620" spans="14:14" ht="15.75" customHeight="1">
      <c r="N620" s="39"/>
    </row>
    <row r="621" spans="14:14" ht="15.75" customHeight="1">
      <c r="N621" s="39"/>
    </row>
    <row r="622" spans="14:14" ht="15.75" customHeight="1">
      <c r="N622" s="39"/>
    </row>
    <row r="623" spans="14:14" ht="15.75" customHeight="1">
      <c r="N623" s="39"/>
    </row>
    <row r="624" spans="14:14" ht="15.75" customHeight="1">
      <c r="N624" s="39"/>
    </row>
    <row r="625" spans="14:14" ht="15.75" customHeight="1">
      <c r="N625" s="39"/>
    </row>
    <row r="626" spans="14:14" ht="15.75" customHeight="1">
      <c r="N626" s="39"/>
    </row>
    <row r="627" spans="14:14" ht="15.75" customHeight="1">
      <c r="N627" s="39"/>
    </row>
    <row r="628" spans="14:14" ht="15.75" customHeight="1">
      <c r="N628" s="39"/>
    </row>
    <row r="629" spans="14:14" ht="15.75" customHeight="1">
      <c r="N629" s="39"/>
    </row>
    <row r="630" spans="14:14" ht="15.75" customHeight="1">
      <c r="N630" s="39"/>
    </row>
    <row r="631" spans="14:14" ht="15.75" customHeight="1">
      <c r="N631" s="39"/>
    </row>
    <row r="632" spans="14:14" ht="15.75" customHeight="1">
      <c r="N632" s="39"/>
    </row>
    <row r="633" spans="14:14" ht="15.75" customHeight="1">
      <c r="N633" s="39"/>
    </row>
    <row r="634" spans="14:14" ht="15.75" customHeight="1">
      <c r="N634" s="39"/>
    </row>
    <row r="635" spans="14:14" ht="15.75" customHeight="1">
      <c r="N635" s="39"/>
    </row>
    <row r="636" spans="14:14" ht="15.75" customHeight="1">
      <c r="N636" s="39"/>
    </row>
    <row r="637" spans="14:14" ht="15.75" customHeight="1">
      <c r="N637" s="39"/>
    </row>
    <row r="638" spans="14:14" ht="15.75" customHeight="1">
      <c r="N638" s="39"/>
    </row>
    <row r="639" spans="14:14" ht="15.75" customHeight="1">
      <c r="N639" s="39"/>
    </row>
    <row r="640" spans="14:14" ht="15.75" customHeight="1">
      <c r="N640" s="39"/>
    </row>
    <row r="641" spans="14:14" ht="15.75" customHeight="1">
      <c r="N641" s="39"/>
    </row>
    <row r="642" spans="14:14" ht="15.75" customHeight="1">
      <c r="N642" s="39"/>
    </row>
    <row r="643" spans="14:14" ht="15.75" customHeight="1">
      <c r="N643" s="39"/>
    </row>
    <row r="644" spans="14:14" ht="15.75" customHeight="1">
      <c r="N644" s="39"/>
    </row>
    <row r="645" spans="14:14" ht="15.75" customHeight="1">
      <c r="N645" s="39"/>
    </row>
    <row r="646" spans="14:14" ht="15.75" customHeight="1">
      <c r="N646" s="39"/>
    </row>
    <row r="647" spans="14:14" ht="15.75" customHeight="1">
      <c r="N647" s="39"/>
    </row>
    <row r="648" spans="14:14" ht="15.75" customHeight="1">
      <c r="N648" s="39"/>
    </row>
    <row r="649" spans="14:14" ht="15.75" customHeight="1">
      <c r="N649" s="39"/>
    </row>
    <row r="650" spans="14:14" ht="15.75" customHeight="1">
      <c r="N650" s="39"/>
    </row>
    <row r="651" spans="14:14" ht="15.75" customHeight="1">
      <c r="N651" s="39"/>
    </row>
    <row r="652" spans="14:14" ht="15.75" customHeight="1">
      <c r="N652" s="39"/>
    </row>
    <row r="653" spans="14:14" ht="15.75" customHeight="1">
      <c r="N653" s="39"/>
    </row>
    <row r="654" spans="14:14" ht="15.75" customHeight="1">
      <c r="N654" s="39"/>
    </row>
    <row r="655" spans="14:14" ht="15.75" customHeight="1">
      <c r="N655" s="39"/>
    </row>
    <row r="656" spans="14:14" ht="15.75" customHeight="1">
      <c r="N656" s="39"/>
    </row>
    <row r="657" spans="14:14" ht="15.75" customHeight="1">
      <c r="N657" s="39"/>
    </row>
    <row r="658" spans="14:14" ht="15.75" customHeight="1">
      <c r="N658" s="39"/>
    </row>
    <row r="659" spans="14:14" ht="15.75" customHeight="1">
      <c r="N659" s="39"/>
    </row>
    <row r="660" spans="14:14" ht="15.75" customHeight="1">
      <c r="N660" s="39"/>
    </row>
    <row r="661" spans="14:14" ht="15.75" customHeight="1">
      <c r="N661" s="39"/>
    </row>
    <row r="662" spans="14:14" ht="15.75" customHeight="1">
      <c r="N662" s="39"/>
    </row>
    <row r="663" spans="14:14" ht="15.75" customHeight="1">
      <c r="N663" s="39"/>
    </row>
    <row r="664" spans="14:14" ht="15.75" customHeight="1">
      <c r="N664" s="39"/>
    </row>
    <row r="665" spans="14:14" ht="15.75" customHeight="1">
      <c r="N665" s="39"/>
    </row>
    <row r="666" spans="14:14" ht="15.75" customHeight="1">
      <c r="N666" s="39"/>
    </row>
    <row r="667" spans="14:14" ht="15.75" customHeight="1">
      <c r="N667" s="39"/>
    </row>
    <row r="668" spans="14:14" ht="15.75" customHeight="1">
      <c r="N668" s="39"/>
    </row>
    <row r="669" spans="14:14" ht="15.75" customHeight="1">
      <c r="N669" s="39"/>
    </row>
    <row r="670" spans="14:14" ht="15.75" customHeight="1">
      <c r="N670" s="39"/>
    </row>
    <row r="671" spans="14:14" ht="15.75" customHeight="1">
      <c r="N671" s="39"/>
    </row>
    <row r="672" spans="14:14" ht="15.75" customHeight="1">
      <c r="N672" s="39"/>
    </row>
    <row r="673" spans="14:14" ht="15.75" customHeight="1">
      <c r="N673" s="39"/>
    </row>
    <row r="674" spans="14:14" ht="15.75" customHeight="1">
      <c r="N674" s="39"/>
    </row>
    <row r="675" spans="14:14" ht="15.75" customHeight="1">
      <c r="N675" s="39"/>
    </row>
    <row r="676" spans="14:14" ht="15.75" customHeight="1">
      <c r="N676" s="39"/>
    </row>
    <row r="677" spans="14:14" ht="15.75" customHeight="1">
      <c r="N677" s="39"/>
    </row>
    <row r="678" spans="14:14" ht="15.75" customHeight="1">
      <c r="N678" s="39"/>
    </row>
    <row r="679" spans="14:14" ht="15.75" customHeight="1">
      <c r="N679" s="39"/>
    </row>
    <row r="680" spans="14:14" ht="15.75" customHeight="1">
      <c r="N680" s="39"/>
    </row>
    <row r="681" spans="14:14" ht="15.75" customHeight="1">
      <c r="N681" s="39"/>
    </row>
    <row r="682" spans="14:14" ht="15.75" customHeight="1">
      <c r="N682" s="39"/>
    </row>
    <row r="683" spans="14:14" ht="15.75" customHeight="1">
      <c r="N683" s="39"/>
    </row>
    <row r="684" spans="14:14" ht="15.75" customHeight="1">
      <c r="N684" s="39"/>
    </row>
    <row r="685" spans="14:14" ht="15.75" customHeight="1">
      <c r="N685" s="39"/>
    </row>
    <row r="686" spans="14:14" ht="15.75" customHeight="1">
      <c r="N686" s="39"/>
    </row>
    <row r="687" spans="14:14" ht="15.75" customHeight="1">
      <c r="N687" s="39"/>
    </row>
    <row r="688" spans="14:14" ht="15.75" customHeight="1">
      <c r="N688" s="39"/>
    </row>
    <row r="689" spans="14:14" ht="15.75" customHeight="1">
      <c r="N689" s="39"/>
    </row>
    <row r="690" spans="14:14" ht="15.75" customHeight="1">
      <c r="N690" s="39"/>
    </row>
    <row r="691" spans="14:14" ht="15.75" customHeight="1">
      <c r="N691" s="39"/>
    </row>
    <row r="692" spans="14:14" ht="15.75" customHeight="1">
      <c r="N692" s="39"/>
    </row>
    <row r="693" spans="14:14" ht="15.75" customHeight="1">
      <c r="N693" s="39"/>
    </row>
    <row r="694" spans="14:14" ht="15.75" customHeight="1">
      <c r="N694" s="39"/>
    </row>
    <row r="695" spans="14:14" ht="15.75" customHeight="1">
      <c r="N695" s="39"/>
    </row>
    <row r="696" spans="14:14" ht="15.75" customHeight="1">
      <c r="N696" s="39"/>
    </row>
    <row r="697" spans="14:14" ht="15.75" customHeight="1">
      <c r="N697" s="39"/>
    </row>
    <row r="698" spans="14:14" ht="15.75" customHeight="1">
      <c r="N698" s="39"/>
    </row>
    <row r="699" spans="14:14" ht="15.75" customHeight="1">
      <c r="N699" s="39"/>
    </row>
    <row r="700" spans="14:14" ht="15.75" customHeight="1">
      <c r="N700" s="39"/>
    </row>
    <row r="701" spans="14:14" ht="15.75" customHeight="1">
      <c r="N701" s="39"/>
    </row>
    <row r="702" spans="14:14" ht="15.75" customHeight="1">
      <c r="N702" s="39"/>
    </row>
    <row r="703" spans="14:14" ht="15.75" customHeight="1">
      <c r="N703" s="39"/>
    </row>
    <row r="704" spans="14:14" ht="15.75" customHeight="1">
      <c r="N704" s="39"/>
    </row>
    <row r="705" spans="14:14" ht="15.75" customHeight="1">
      <c r="N705" s="39"/>
    </row>
    <row r="706" spans="14:14" ht="15.75" customHeight="1">
      <c r="N706" s="39"/>
    </row>
    <row r="707" spans="14:14" ht="15.75" customHeight="1">
      <c r="N707" s="39"/>
    </row>
    <row r="708" spans="14:14" ht="15.75" customHeight="1">
      <c r="N708" s="39"/>
    </row>
    <row r="709" spans="14:14" ht="15.75" customHeight="1">
      <c r="N709" s="39"/>
    </row>
    <row r="710" spans="14:14" ht="15.75" customHeight="1">
      <c r="N710" s="39"/>
    </row>
    <row r="711" spans="14:14" ht="15.75" customHeight="1">
      <c r="N711" s="39"/>
    </row>
    <row r="712" spans="14:14" ht="15.75" customHeight="1">
      <c r="N712" s="39"/>
    </row>
    <row r="713" spans="14:14" ht="15.75" customHeight="1">
      <c r="N713" s="39"/>
    </row>
    <row r="714" spans="14:14" ht="15.75" customHeight="1">
      <c r="N714" s="39"/>
    </row>
    <row r="715" spans="14:14" ht="15.75" customHeight="1">
      <c r="N715" s="39"/>
    </row>
    <row r="716" spans="14:14" ht="15.75" customHeight="1">
      <c r="N716" s="39"/>
    </row>
    <row r="717" spans="14:14" ht="15.75" customHeight="1">
      <c r="N717" s="39"/>
    </row>
    <row r="718" spans="14:14" ht="15.75" customHeight="1">
      <c r="N718" s="39"/>
    </row>
    <row r="719" spans="14:14" ht="15.75" customHeight="1">
      <c r="N719" s="39"/>
    </row>
    <row r="720" spans="14:14" ht="15.75" customHeight="1">
      <c r="N720" s="39"/>
    </row>
    <row r="721" spans="14:14" ht="15.75" customHeight="1">
      <c r="N721" s="39"/>
    </row>
    <row r="722" spans="14:14" ht="15.75" customHeight="1">
      <c r="N722" s="39"/>
    </row>
    <row r="723" spans="14:14" ht="15.75" customHeight="1">
      <c r="N723" s="39"/>
    </row>
    <row r="724" spans="14:14" ht="15.75" customHeight="1">
      <c r="N724" s="39"/>
    </row>
    <row r="725" spans="14:14" ht="15.75" customHeight="1">
      <c r="N725" s="39"/>
    </row>
    <row r="726" spans="14:14" ht="15.75" customHeight="1">
      <c r="N726" s="39"/>
    </row>
    <row r="727" spans="14:14" ht="15.75" customHeight="1">
      <c r="N727" s="39"/>
    </row>
    <row r="728" spans="14:14" ht="15.75" customHeight="1">
      <c r="N728" s="39"/>
    </row>
    <row r="729" spans="14:14" ht="15.75" customHeight="1">
      <c r="N729" s="39"/>
    </row>
    <row r="730" spans="14:14" ht="15.75" customHeight="1">
      <c r="N730" s="39"/>
    </row>
    <row r="731" spans="14:14" ht="15.75" customHeight="1">
      <c r="N731" s="39"/>
    </row>
    <row r="732" spans="14:14" ht="15.75" customHeight="1">
      <c r="N732" s="39"/>
    </row>
    <row r="733" spans="14:14" ht="15.75" customHeight="1">
      <c r="N733" s="39"/>
    </row>
    <row r="734" spans="14:14" ht="15.75" customHeight="1">
      <c r="N734" s="39"/>
    </row>
    <row r="735" spans="14:14" ht="15.75" customHeight="1">
      <c r="N735" s="39"/>
    </row>
    <row r="736" spans="14:14" ht="15.75" customHeight="1">
      <c r="N736" s="39"/>
    </row>
    <row r="737" spans="14:14" ht="15.75" customHeight="1">
      <c r="N737" s="39"/>
    </row>
    <row r="738" spans="14:14" ht="15.75" customHeight="1">
      <c r="N738" s="39"/>
    </row>
    <row r="739" spans="14:14" ht="15.75" customHeight="1">
      <c r="N739" s="39"/>
    </row>
    <row r="740" spans="14:14" ht="15.75" customHeight="1">
      <c r="N740" s="39"/>
    </row>
    <row r="741" spans="14:14" ht="15.75" customHeight="1">
      <c r="N741" s="39"/>
    </row>
    <row r="742" spans="14:14" ht="15.75" customHeight="1">
      <c r="N742" s="39"/>
    </row>
    <row r="743" spans="14:14" ht="15.75" customHeight="1">
      <c r="N743" s="39"/>
    </row>
    <row r="744" spans="14:14" ht="15.75" customHeight="1">
      <c r="N744" s="39"/>
    </row>
    <row r="745" spans="14:14" ht="15.75" customHeight="1">
      <c r="N745" s="39"/>
    </row>
    <row r="746" spans="14:14" ht="15.75" customHeight="1">
      <c r="N746" s="39"/>
    </row>
    <row r="747" spans="14:14" ht="15.75" customHeight="1">
      <c r="N747" s="39"/>
    </row>
    <row r="748" spans="14:14" ht="15.75" customHeight="1">
      <c r="N748" s="39"/>
    </row>
    <row r="749" spans="14:14" ht="15.75" customHeight="1">
      <c r="N749" s="39"/>
    </row>
    <row r="750" spans="14:14" ht="15.75" customHeight="1">
      <c r="N750" s="39"/>
    </row>
    <row r="751" spans="14:14" ht="15.75" customHeight="1">
      <c r="N751" s="39"/>
    </row>
    <row r="752" spans="14:14" ht="15.75" customHeight="1">
      <c r="N752" s="39"/>
    </row>
    <row r="753" spans="14:14" ht="15.75" customHeight="1">
      <c r="N753" s="39"/>
    </row>
    <row r="754" spans="14:14" ht="15.75" customHeight="1">
      <c r="N754" s="39"/>
    </row>
    <row r="755" spans="14:14" ht="15.75" customHeight="1">
      <c r="N755" s="39"/>
    </row>
    <row r="756" spans="14:14" ht="15.75" customHeight="1">
      <c r="N756" s="39"/>
    </row>
    <row r="757" spans="14:14" ht="15.75" customHeight="1">
      <c r="N757" s="39"/>
    </row>
    <row r="758" spans="14:14" ht="15.75" customHeight="1">
      <c r="N758" s="39"/>
    </row>
    <row r="759" spans="14:14" ht="15.75" customHeight="1">
      <c r="N759" s="39"/>
    </row>
    <row r="760" spans="14:14" ht="15.75" customHeight="1">
      <c r="N760" s="39"/>
    </row>
    <row r="761" spans="14:14" ht="15.75" customHeight="1">
      <c r="N761" s="39"/>
    </row>
    <row r="762" spans="14:14" ht="15.75" customHeight="1">
      <c r="N762" s="39"/>
    </row>
    <row r="763" spans="14:14" ht="15.75" customHeight="1">
      <c r="N763" s="39"/>
    </row>
    <row r="764" spans="14:14" ht="15.75" customHeight="1">
      <c r="N764" s="39"/>
    </row>
    <row r="765" spans="14:14" ht="15.75" customHeight="1">
      <c r="N765" s="39"/>
    </row>
    <row r="766" spans="14:14" ht="15.75" customHeight="1">
      <c r="N766" s="39"/>
    </row>
    <row r="767" spans="14:14" ht="15.75" customHeight="1">
      <c r="N767" s="39"/>
    </row>
    <row r="768" spans="14:14" ht="15.75" customHeight="1">
      <c r="N768" s="39"/>
    </row>
    <row r="769" spans="14:14" ht="15.75" customHeight="1">
      <c r="N769" s="39"/>
    </row>
    <row r="770" spans="14:14" ht="15.75" customHeight="1">
      <c r="N770" s="39"/>
    </row>
    <row r="771" spans="14:14" ht="15.75" customHeight="1">
      <c r="N771" s="39"/>
    </row>
    <row r="772" spans="14:14" ht="15.75" customHeight="1">
      <c r="N772" s="39"/>
    </row>
    <row r="773" spans="14:14" ht="15.75" customHeight="1">
      <c r="N773" s="39"/>
    </row>
    <row r="774" spans="14:14" ht="15.75" customHeight="1">
      <c r="N774" s="39"/>
    </row>
    <row r="775" spans="14:14" ht="15.75" customHeight="1">
      <c r="N775" s="39"/>
    </row>
    <row r="776" spans="14:14" ht="15.75" customHeight="1">
      <c r="N776" s="39"/>
    </row>
    <row r="777" spans="14:14" ht="15.75" customHeight="1">
      <c r="N777" s="39"/>
    </row>
    <row r="778" spans="14:14" ht="15.75" customHeight="1">
      <c r="N778" s="39"/>
    </row>
    <row r="779" spans="14:14" ht="15.75" customHeight="1">
      <c r="N779" s="39"/>
    </row>
    <row r="780" spans="14:14" ht="15.75" customHeight="1">
      <c r="N780" s="39"/>
    </row>
    <row r="781" spans="14:14" ht="15.75" customHeight="1">
      <c r="N781" s="39"/>
    </row>
    <row r="782" spans="14:14" ht="15.75" customHeight="1">
      <c r="N782" s="39"/>
    </row>
    <row r="783" spans="14:14" ht="15.75" customHeight="1">
      <c r="N783" s="39"/>
    </row>
    <row r="784" spans="14:14" ht="15.75" customHeight="1">
      <c r="N784" s="39"/>
    </row>
    <row r="785" spans="14:14" ht="15.75" customHeight="1">
      <c r="N785" s="39"/>
    </row>
    <row r="786" spans="14:14" ht="15.75" customHeight="1">
      <c r="N786" s="39"/>
    </row>
    <row r="787" spans="14:14" ht="15.75" customHeight="1">
      <c r="N787" s="39"/>
    </row>
    <row r="788" spans="14:14" ht="15.75" customHeight="1">
      <c r="N788" s="39"/>
    </row>
    <row r="789" spans="14:14" ht="15.75" customHeight="1">
      <c r="N789" s="39"/>
    </row>
    <row r="790" spans="14:14" ht="15.75" customHeight="1">
      <c r="N790" s="39"/>
    </row>
    <row r="791" spans="14:14" ht="15.75" customHeight="1">
      <c r="N791" s="39"/>
    </row>
    <row r="792" spans="14:14" ht="15.75" customHeight="1">
      <c r="N792" s="39"/>
    </row>
    <row r="793" spans="14:14" ht="15.75" customHeight="1">
      <c r="N793" s="39"/>
    </row>
    <row r="794" spans="14:14" ht="15.75" customHeight="1">
      <c r="N794" s="39"/>
    </row>
    <row r="795" spans="14:14" ht="15.75" customHeight="1">
      <c r="N795" s="39"/>
    </row>
    <row r="796" spans="14:14" ht="15.75" customHeight="1">
      <c r="N796" s="39"/>
    </row>
    <row r="797" spans="14:14" ht="15.75" customHeight="1">
      <c r="N797" s="39"/>
    </row>
    <row r="798" spans="14:14" ht="15.75" customHeight="1">
      <c r="N798" s="39"/>
    </row>
    <row r="799" spans="14:14" ht="15.75" customHeight="1">
      <c r="N799" s="39"/>
    </row>
    <row r="800" spans="14:14" ht="15.75" customHeight="1">
      <c r="N800" s="39"/>
    </row>
    <row r="801" spans="14:14" ht="15.75" customHeight="1">
      <c r="N801" s="39"/>
    </row>
    <row r="802" spans="14:14" ht="15.75" customHeight="1">
      <c r="N802" s="39"/>
    </row>
    <row r="803" spans="14:14" ht="15.75" customHeight="1">
      <c r="N803" s="39"/>
    </row>
    <row r="804" spans="14:14" ht="15.75" customHeight="1">
      <c r="N804" s="39"/>
    </row>
    <row r="805" spans="14:14" ht="15.75" customHeight="1">
      <c r="N805" s="39"/>
    </row>
    <row r="806" spans="14:14" ht="15.75" customHeight="1">
      <c r="N806" s="39"/>
    </row>
    <row r="807" spans="14:14" ht="15.75" customHeight="1">
      <c r="N807" s="39"/>
    </row>
    <row r="808" spans="14:14" ht="15.75" customHeight="1">
      <c r="N808" s="39"/>
    </row>
    <row r="809" spans="14:14" ht="15.75" customHeight="1">
      <c r="N809" s="39"/>
    </row>
    <row r="810" spans="14:14" ht="15.75" customHeight="1">
      <c r="N810" s="39"/>
    </row>
    <row r="811" spans="14:14" ht="15.75" customHeight="1">
      <c r="N811" s="39"/>
    </row>
    <row r="812" spans="14:14" ht="15.75" customHeight="1">
      <c r="N812" s="39"/>
    </row>
    <row r="813" spans="14:14" ht="15.75" customHeight="1">
      <c r="N813" s="39"/>
    </row>
    <row r="814" spans="14:14" ht="15.75" customHeight="1">
      <c r="N814" s="39"/>
    </row>
    <row r="815" spans="14:14" ht="15.75" customHeight="1">
      <c r="N815" s="39"/>
    </row>
    <row r="816" spans="14:14" ht="15.75" customHeight="1">
      <c r="N816" s="39"/>
    </row>
    <row r="817" spans="14:14" ht="15.75" customHeight="1">
      <c r="N817" s="39"/>
    </row>
    <row r="818" spans="14:14" ht="15.75" customHeight="1">
      <c r="N818" s="39"/>
    </row>
    <row r="819" spans="14:14" ht="15.75" customHeight="1">
      <c r="N819" s="39"/>
    </row>
    <row r="820" spans="14:14" ht="15.75" customHeight="1">
      <c r="N820" s="39"/>
    </row>
    <row r="821" spans="14:14" ht="15.75" customHeight="1">
      <c r="N821" s="39"/>
    </row>
    <row r="822" spans="14:14" ht="15.75" customHeight="1">
      <c r="N822" s="39"/>
    </row>
    <row r="823" spans="14:14" ht="15.75" customHeight="1">
      <c r="N823" s="39"/>
    </row>
    <row r="824" spans="14:14" ht="15.75" customHeight="1">
      <c r="N824" s="39"/>
    </row>
    <row r="825" spans="14:14" ht="15.75" customHeight="1">
      <c r="N825" s="39"/>
    </row>
    <row r="826" spans="14:14" ht="15.75" customHeight="1">
      <c r="N826" s="39"/>
    </row>
    <row r="827" spans="14:14" ht="15.75" customHeight="1">
      <c r="N827" s="39"/>
    </row>
    <row r="828" spans="14:14" ht="15.75" customHeight="1">
      <c r="N828" s="39"/>
    </row>
    <row r="829" spans="14:14" ht="15.75" customHeight="1">
      <c r="N829" s="39"/>
    </row>
    <row r="830" spans="14:14" ht="15.75" customHeight="1">
      <c r="N830" s="39"/>
    </row>
    <row r="831" spans="14:14" ht="15.75" customHeight="1">
      <c r="N831" s="39"/>
    </row>
    <row r="832" spans="14:14" ht="15.75" customHeight="1">
      <c r="N832" s="39"/>
    </row>
    <row r="833" spans="14:14" ht="15.75" customHeight="1">
      <c r="N833" s="39"/>
    </row>
    <row r="834" spans="14:14" ht="15.75" customHeight="1">
      <c r="N834" s="39"/>
    </row>
    <row r="835" spans="14:14" ht="15.75" customHeight="1">
      <c r="N835" s="39"/>
    </row>
    <row r="836" spans="14:14" ht="15.75" customHeight="1">
      <c r="N836" s="39"/>
    </row>
    <row r="837" spans="14:14" ht="15.75" customHeight="1">
      <c r="N837" s="39"/>
    </row>
    <row r="838" spans="14:14" ht="15.75" customHeight="1">
      <c r="N838" s="39"/>
    </row>
    <row r="839" spans="14:14" ht="15.75" customHeight="1">
      <c r="N839" s="39"/>
    </row>
    <row r="840" spans="14:14" ht="15.75" customHeight="1">
      <c r="N840" s="39"/>
    </row>
    <row r="841" spans="14:14" ht="15.75" customHeight="1">
      <c r="N841" s="39"/>
    </row>
    <row r="842" spans="14:14" ht="15.75" customHeight="1">
      <c r="N842" s="39"/>
    </row>
    <row r="843" spans="14:14" ht="15.75" customHeight="1">
      <c r="N843" s="39"/>
    </row>
    <row r="844" spans="14:14" ht="15.75" customHeight="1">
      <c r="N844" s="39"/>
    </row>
    <row r="845" spans="14:14" ht="15.75" customHeight="1">
      <c r="N845" s="39"/>
    </row>
    <row r="846" spans="14:14" ht="15.75" customHeight="1">
      <c r="N846" s="39"/>
    </row>
    <row r="847" spans="14:14" ht="15.75" customHeight="1">
      <c r="N847" s="39"/>
    </row>
    <row r="848" spans="14:14" ht="15.75" customHeight="1">
      <c r="N848" s="39"/>
    </row>
    <row r="849" spans="14:14" ht="15.75" customHeight="1">
      <c r="N849" s="39"/>
    </row>
    <row r="850" spans="14:14" ht="15.75" customHeight="1">
      <c r="N850" s="39"/>
    </row>
    <row r="851" spans="14:14" ht="15.75" customHeight="1">
      <c r="N851" s="39"/>
    </row>
    <row r="852" spans="14:14" ht="15.75" customHeight="1">
      <c r="N852" s="39"/>
    </row>
    <row r="853" spans="14:14" ht="15.75" customHeight="1">
      <c r="N853" s="39"/>
    </row>
    <row r="854" spans="14:14" ht="15.75" customHeight="1">
      <c r="N854" s="39"/>
    </row>
    <row r="855" spans="14:14" ht="15.75" customHeight="1">
      <c r="N855" s="39"/>
    </row>
    <row r="856" spans="14:14" ht="15.75" customHeight="1">
      <c r="N856" s="39"/>
    </row>
    <row r="857" spans="14:14" ht="15.75" customHeight="1">
      <c r="N857" s="39"/>
    </row>
    <row r="858" spans="14:14" ht="15.75" customHeight="1">
      <c r="N858" s="39"/>
    </row>
    <row r="859" spans="14:14" ht="15.75" customHeight="1">
      <c r="N859" s="39"/>
    </row>
    <row r="860" spans="14:14" ht="15.75" customHeight="1">
      <c r="N860" s="39"/>
    </row>
    <row r="861" spans="14:14" ht="15.75" customHeight="1">
      <c r="N861" s="39"/>
    </row>
    <row r="862" spans="14:14" ht="15.75" customHeight="1">
      <c r="N862" s="39"/>
    </row>
    <row r="863" spans="14:14" ht="15.75" customHeight="1">
      <c r="N863" s="39"/>
    </row>
    <row r="864" spans="14:14" ht="15.75" customHeight="1">
      <c r="N864" s="39"/>
    </row>
    <row r="865" spans="14:14" ht="15.75" customHeight="1">
      <c r="N865" s="39"/>
    </row>
    <row r="866" spans="14:14" ht="15.75" customHeight="1">
      <c r="N866" s="39"/>
    </row>
    <row r="867" spans="14:14" ht="15.75" customHeight="1">
      <c r="N867" s="39"/>
    </row>
    <row r="868" spans="14:14" ht="15.75" customHeight="1">
      <c r="N868" s="39"/>
    </row>
    <row r="869" spans="14:14" ht="15.75" customHeight="1">
      <c r="N869" s="39"/>
    </row>
    <row r="870" spans="14:14" ht="15.75" customHeight="1">
      <c r="N870" s="39"/>
    </row>
    <row r="871" spans="14:14" ht="15.75" customHeight="1">
      <c r="N871" s="39"/>
    </row>
    <row r="872" spans="14:14" ht="15.75" customHeight="1">
      <c r="N872" s="39"/>
    </row>
    <row r="873" spans="14:14" ht="15.75" customHeight="1">
      <c r="N873" s="39"/>
    </row>
    <row r="874" spans="14:14" ht="15.75" customHeight="1">
      <c r="N874" s="39"/>
    </row>
    <row r="875" spans="14:14" ht="15.75" customHeight="1">
      <c r="N875" s="39"/>
    </row>
    <row r="876" spans="14:14" ht="15.75" customHeight="1">
      <c r="N876" s="39"/>
    </row>
    <row r="877" spans="14:14" ht="15.75" customHeight="1">
      <c r="N877" s="39"/>
    </row>
    <row r="878" spans="14:14" ht="15.75" customHeight="1">
      <c r="N878" s="39"/>
    </row>
    <row r="879" spans="14:14" ht="15.75" customHeight="1">
      <c r="N879" s="39"/>
    </row>
    <row r="880" spans="14:14" ht="15.75" customHeight="1">
      <c r="N880" s="39"/>
    </row>
    <row r="881" spans="14:14" ht="15.75" customHeight="1">
      <c r="N881" s="39"/>
    </row>
    <row r="882" spans="14:14" ht="15.75" customHeight="1">
      <c r="N882" s="39"/>
    </row>
    <row r="883" spans="14:14" ht="15.75" customHeight="1">
      <c r="N883" s="39"/>
    </row>
    <row r="884" spans="14:14" ht="15.75" customHeight="1">
      <c r="N884" s="39"/>
    </row>
    <row r="885" spans="14:14" ht="15.75" customHeight="1">
      <c r="N885" s="39"/>
    </row>
    <row r="886" spans="14:14" ht="15.75" customHeight="1">
      <c r="N886" s="39"/>
    </row>
    <row r="887" spans="14:14" ht="15.75" customHeight="1">
      <c r="N887" s="39"/>
    </row>
    <row r="888" spans="14:14" ht="15.75" customHeight="1">
      <c r="N888" s="39"/>
    </row>
    <row r="889" spans="14:14" ht="15.75" customHeight="1">
      <c r="N889" s="39"/>
    </row>
    <row r="890" spans="14:14" ht="15.75" customHeight="1">
      <c r="N890" s="39"/>
    </row>
    <row r="891" spans="14:14" ht="15.75" customHeight="1">
      <c r="N891" s="39"/>
    </row>
    <row r="892" spans="14:14" ht="15.75" customHeight="1">
      <c r="N892" s="39"/>
    </row>
    <row r="893" spans="14:14" ht="15.75" customHeight="1">
      <c r="N893" s="39"/>
    </row>
    <row r="894" spans="14:14" ht="15.75" customHeight="1">
      <c r="N894" s="39"/>
    </row>
    <row r="895" spans="14:14" ht="15.75" customHeight="1">
      <c r="N895" s="39"/>
    </row>
    <row r="896" spans="14:14" ht="15.75" customHeight="1">
      <c r="N896" s="39"/>
    </row>
    <row r="897" spans="14:14" ht="15.75" customHeight="1">
      <c r="N897" s="39"/>
    </row>
    <row r="898" spans="14:14" ht="15.75" customHeight="1">
      <c r="N898" s="39"/>
    </row>
    <row r="899" spans="14:14" ht="15.75" customHeight="1">
      <c r="N899" s="39"/>
    </row>
    <row r="900" spans="14:14" ht="15.75" customHeight="1">
      <c r="N900" s="39"/>
    </row>
    <row r="901" spans="14:14" ht="15.75" customHeight="1">
      <c r="N901" s="39"/>
    </row>
    <row r="902" spans="14:14" ht="15.75" customHeight="1">
      <c r="N902" s="39"/>
    </row>
    <row r="903" spans="14:14" ht="15.75" customHeight="1">
      <c r="N903" s="39"/>
    </row>
    <row r="904" spans="14:14" ht="15.75" customHeight="1">
      <c r="N904" s="39"/>
    </row>
    <row r="905" spans="14:14" ht="15.75" customHeight="1">
      <c r="N905" s="39"/>
    </row>
    <row r="906" spans="14:14" ht="15.75" customHeight="1">
      <c r="N906" s="39"/>
    </row>
    <row r="907" spans="14:14" ht="15.75" customHeight="1">
      <c r="N907" s="39"/>
    </row>
    <row r="908" spans="14:14" ht="15.75" customHeight="1">
      <c r="N908" s="39"/>
    </row>
    <row r="909" spans="14:14" ht="15.75" customHeight="1">
      <c r="N909" s="39"/>
    </row>
    <row r="910" spans="14:14" ht="15.75" customHeight="1">
      <c r="N910" s="39"/>
    </row>
    <row r="911" spans="14:14" ht="15.75" customHeight="1">
      <c r="N911" s="39"/>
    </row>
    <row r="912" spans="14:14" ht="15.75" customHeight="1">
      <c r="N912" s="39"/>
    </row>
    <row r="913" spans="14:14" ht="15.75" customHeight="1">
      <c r="N913" s="39"/>
    </row>
    <row r="914" spans="14:14" ht="15.75" customHeight="1">
      <c r="N914" s="39"/>
    </row>
    <row r="915" spans="14:14" ht="15.75" customHeight="1">
      <c r="N915" s="39"/>
    </row>
    <row r="916" spans="14:14" ht="15.75" customHeight="1">
      <c r="N916" s="39"/>
    </row>
    <row r="917" spans="14:14" ht="15.75" customHeight="1">
      <c r="N917" s="39"/>
    </row>
    <row r="918" spans="14:14" ht="15.75" customHeight="1">
      <c r="N918" s="39"/>
    </row>
    <row r="919" spans="14:14" ht="15.75" customHeight="1">
      <c r="N919" s="39"/>
    </row>
    <row r="920" spans="14:14" ht="15.75" customHeight="1">
      <c r="N920" s="39"/>
    </row>
    <row r="921" spans="14:14" ht="15.75" customHeight="1">
      <c r="N921" s="39"/>
    </row>
    <row r="922" spans="14:14" ht="15.75" customHeight="1">
      <c r="N922" s="39"/>
    </row>
    <row r="923" spans="14:14" ht="15.75" customHeight="1">
      <c r="N923" s="39"/>
    </row>
    <row r="924" spans="14:14" ht="15.75" customHeight="1">
      <c r="N924" s="39"/>
    </row>
    <row r="925" spans="14:14" ht="15.75" customHeight="1">
      <c r="N925" s="39"/>
    </row>
    <row r="926" spans="14:14" ht="15.75" customHeight="1">
      <c r="N926" s="39"/>
    </row>
    <row r="927" spans="14:14" ht="15.75" customHeight="1">
      <c r="N927" s="39"/>
    </row>
    <row r="928" spans="14:14" ht="15.75" customHeight="1">
      <c r="N928" s="39"/>
    </row>
    <row r="929" spans="14:14" ht="15.75" customHeight="1">
      <c r="N929" s="39"/>
    </row>
    <row r="930" spans="14:14" ht="15.75" customHeight="1">
      <c r="N930" s="39"/>
    </row>
    <row r="931" spans="14:14" ht="15.75" customHeight="1">
      <c r="N931" s="39"/>
    </row>
    <row r="932" spans="14:14" ht="15.75" customHeight="1">
      <c r="N932" s="39"/>
    </row>
    <row r="933" spans="14:14" ht="15.75" customHeight="1">
      <c r="N933" s="39"/>
    </row>
    <row r="934" spans="14:14" ht="15.75" customHeight="1">
      <c r="N934" s="39"/>
    </row>
    <row r="935" spans="14:14" ht="15.75" customHeight="1">
      <c r="N935" s="39"/>
    </row>
    <row r="936" spans="14:14" ht="15.75" customHeight="1">
      <c r="N936" s="39"/>
    </row>
    <row r="937" spans="14:14" ht="15.75" customHeight="1">
      <c r="N937" s="39"/>
    </row>
    <row r="938" spans="14:14" ht="15.75" customHeight="1">
      <c r="N938" s="39"/>
    </row>
    <row r="939" spans="14:14" ht="15.75" customHeight="1">
      <c r="N939" s="39"/>
    </row>
    <row r="940" spans="14:14" ht="15.75" customHeight="1">
      <c r="N940" s="39"/>
    </row>
    <row r="941" spans="14:14" ht="15.75" customHeight="1">
      <c r="N941" s="39"/>
    </row>
    <row r="942" spans="14:14" ht="15.75" customHeight="1">
      <c r="N942" s="39"/>
    </row>
    <row r="943" spans="14:14" ht="15.75" customHeight="1">
      <c r="N943" s="39"/>
    </row>
    <row r="944" spans="14:14" ht="15.75" customHeight="1">
      <c r="N944" s="39"/>
    </row>
    <row r="945" spans="14:14" ht="15.75" customHeight="1">
      <c r="N945" s="39"/>
    </row>
    <row r="946" spans="14:14" ht="15.75" customHeight="1">
      <c r="N946" s="39"/>
    </row>
    <row r="947" spans="14:14" ht="15.75" customHeight="1">
      <c r="N947" s="39"/>
    </row>
    <row r="948" spans="14:14" ht="15.75" customHeight="1">
      <c r="N948" s="39"/>
    </row>
    <row r="949" spans="14:14" ht="15.75" customHeight="1">
      <c r="N949" s="39"/>
    </row>
    <row r="950" spans="14:14" ht="15.75" customHeight="1">
      <c r="N950" s="39"/>
    </row>
    <row r="951" spans="14:14" ht="15.75" customHeight="1">
      <c r="N951" s="39"/>
    </row>
    <row r="952" spans="14:14" ht="15.75" customHeight="1">
      <c r="N952" s="39"/>
    </row>
    <row r="953" spans="14:14" ht="15.75" customHeight="1">
      <c r="N953" s="39"/>
    </row>
    <row r="954" spans="14:14" ht="15.75" customHeight="1">
      <c r="N954" s="39"/>
    </row>
    <row r="955" spans="14:14" ht="15.75" customHeight="1">
      <c r="N955" s="39"/>
    </row>
    <row r="956" spans="14:14" ht="15.75" customHeight="1">
      <c r="N956" s="39"/>
    </row>
    <row r="957" spans="14:14" ht="15.75" customHeight="1">
      <c r="N957" s="39"/>
    </row>
    <row r="958" spans="14:14" ht="15.75" customHeight="1">
      <c r="N958" s="39"/>
    </row>
    <row r="959" spans="14:14" ht="15.75" customHeight="1">
      <c r="N959" s="39"/>
    </row>
    <row r="960" spans="14:14" ht="15.75" customHeight="1">
      <c r="N960" s="39"/>
    </row>
    <row r="961" spans="14:14" ht="15.75" customHeight="1">
      <c r="N961" s="39"/>
    </row>
    <row r="962" spans="14:14" ht="15.75" customHeight="1">
      <c r="N962" s="39"/>
    </row>
    <row r="963" spans="14:14" ht="15.75" customHeight="1">
      <c r="N963" s="39"/>
    </row>
    <row r="964" spans="14:14" ht="15.75" customHeight="1">
      <c r="N964" s="39"/>
    </row>
    <row r="965" spans="14:14" ht="15.75" customHeight="1">
      <c r="N965" s="39"/>
    </row>
    <row r="966" spans="14:14" ht="15.75" customHeight="1">
      <c r="N966" s="39"/>
    </row>
    <row r="967" spans="14:14" ht="15.75" customHeight="1">
      <c r="N967" s="39"/>
    </row>
    <row r="968" spans="14:14" ht="15.75" customHeight="1">
      <c r="N968" s="39"/>
    </row>
    <row r="969" spans="14:14" ht="15.75" customHeight="1">
      <c r="N969" s="39"/>
    </row>
    <row r="970" spans="14:14" ht="15.75" customHeight="1">
      <c r="N970" s="39"/>
    </row>
    <row r="971" spans="14:14" ht="15.75" customHeight="1">
      <c r="N971" s="39"/>
    </row>
    <row r="972" spans="14:14" ht="15.75" customHeight="1">
      <c r="N972" s="39"/>
    </row>
    <row r="973" spans="14:14" ht="15.75" customHeight="1">
      <c r="N973" s="39"/>
    </row>
    <row r="974" spans="14:14" ht="15.75" customHeight="1">
      <c r="N974" s="39"/>
    </row>
    <row r="975" spans="14:14" ht="15.75" customHeight="1">
      <c r="N975" s="39"/>
    </row>
    <row r="976" spans="14:14" ht="15.75" customHeight="1">
      <c r="N976" s="39"/>
    </row>
    <row r="977" spans="14:14" ht="15.75" customHeight="1">
      <c r="N977" s="39"/>
    </row>
    <row r="978" spans="14:14" ht="15.75" customHeight="1">
      <c r="N978" s="39"/>
    </row>
    <row r="979" spans="14:14" ht="15.75" customHeight="1">
      <c r="N979" s="39"/>
    </row>
    <row r="980" spans="14:14" ht="15.75" customHeight="1">
      <c r="N980" s="39"/>
    </row>
    <row r="981" spans="14:14" ht="15.75" customHeight="1">
      <c r="N981" s="39"/>
    </row>
    <row r="982" spans="14:14" ht="15.75" customHeight="1">
      <c r="N982" s="39"/>
    </row>
    <row r="983" spans="14:14" ht="15.75" customHeight="1">
      <c r="N983" s="39"/>
    </row>
    <row r="984" spans="14:14" ht="15.75" customHeight="1">
      <c r="N984" s="39"/>
    </row>
    <row r="985" spans="14:14" ht="15.75" customHeight="1">
      <c r="N985" s="39"/>
    </row>
    <row r="986" spans="14:14" ht="15.75" customHeight="1">
      <c r="N986" s="39"/>
    </row>
    <row r="987" spans="14:14" ht="15.75" customHeight="1">
      <c r="N987" s="39"/>
    </row>
    <row r="988" spans="14:14" ht="15.75" customHeight="1">
      <c r="N988" s="39"/>
    </row>
    <row r="989" spans="14:14" ht="15.75" customHeight="1">
      <c r="N989" s="39"/>
    </row>
    <row r="990" spans="14:14" ht="15.75" customHeight="1">
      <c r="N990" s="39"/>
    </row>
    <row r="991" spans="14:14" ht="15.75" customHeight="1">
      <c r="N991" s="39"/>
    </row>
    <row r="992" spans="14:14" ht="15.75" customHeight="1">
      <c r="N992" s="39"/>
    </row>
    <row r="993" spans="14:14" ht="15.75" customHeight="1">
      <c r="N993" s="39"/>
    </row>
    <row r="994" spans="14:14" ht="15.75" customHeight="1">
      <c r="N994" s="39"/>
    </row>
    <row r="995" spans="14:14" ht="15.75" customHeight="1">
      <c r="N995" s="39"/>
    </row>
    <row r="996" spans="14:14" ht="15.75" customHeight="1">
      <c r="N996" s="39"/>
    </row>
    <row r="997" spans="14:14" ht="15.75" customHeight="1">
      <c r="N997" s="39"/>
    </row>
    <row r="998" spans="14:14" ht="15.75" customHeight="1">
      <c r="N998" s="39"/>
    </row>
    <row r="999" spans="14:14" ht="15.75" customHeight="1">
      <c r="N999" s="39"/>
    </row>
    <row r="1000" spans="14:14" ht="15.75" customHeight="1">
      <c r="N1000" s="39"/>
    </row>
  </sheetData>
  <pageMargins left="0.7" right="0.7" top="0.75" bottom="0.75" header="0" footer="0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usz12"/>
  <dimension ref="A1:AC1000"/>
  <sheetViews>
    <sheetView workbookViewId="0"/>
  </sheetViews>
  <sheetFormatPr defaultColWidth="14.44140625" defaultRowHeight="15" customHeight="1"/>
  <cols>
    <col min="1" max="1" width="9.44140625" customWidth="1"/>
    <col min="2" max="2" width="14.44140625" customWidth="1"/>
    <col min="3" max="3" width="14" customWidth="1"/>
    <col min="4" max="4" width="5.109375" customWidth="1"/>
    <col min="5" max="5" width="5" customWidth="1"/>
    <col min="6" max="6" width="4.6640625" customWidth="1"/>
    <col min="7" max="8" width="4.88671875" customWidth="1"/>
    <col min="9" max="9" width="4.6640625" customWidth="1"/>
    <col min="10" max="10" width="5" customWidth="1"/>
    <col min="11" max="15" width="4.88671875" customWidth="1"/>
    <col min="16" max="16" width="12.88671875" customWidth="1"/>
    <col min="17" max="17" width="13.33203125" customWidth="1"/>
    <col min="18" max="18" width="15.6640625" customWidth="1"/>
    <col min="19" max="19" width="21.6640625" customWidth="1"/>
    <col min="20" max="20" width="34.44140625" customWidth="1"/>
    <col min="21" max="21" width="27.5546875" customWidth="1"/>
    <col min="22" max="22" width="16.44140625" customWidth="1"/>
    <col min="23" max="23" width="21.5546875" customWidth="1"/>
    <col min="24" max="24" width="30.6640625" customWidth="1"/>
    <col min="25" max="25" width="16.109375" customWidth="1"/>
    <col min="26" max="27" width="8.6640625" customWidth="1"/>
    <col min="28" max="28" width="17" customWidth="1"/>
    <col min="29" max="29" width="47.5546875" customWidth="1"/>
  </cols>
  <sheetData>
    <row r="1" spans="1:29" ht="14.4">
      <c r="A1" s="1" t="s">
        <v>0</v>
      </c>
      <c r="B1" s="2" t="s">
        <v>1</v>
      </c>
      <c r="C1" s="2" t="s">
        <v>2</v>
      </c>
      <c r="D1" s="1">
        <v>2010</v>
      </c>
      <c r="E1" s="1">
        <v>2011</v>
      </c>
      <c r="F1" s="1">
        <v>2012</v>
      </c>
      <c r="G1" s="1">
        <v>2013</v>
      </c>
      <c r="H1" s="1">
        <v>2014</v>
      </c>
      <c r="I1" s="1">
        <v>2015</v>
      </c>
      <c r="J1" s="1">
        <v>2016</v>
      </c>
      <c r="K1" s="1">
        <v>2017</v>
      </c>
      <c r="L1" s="1">
        <v>2018</v>
      </c>
      <c r="M1" s="1">
        <v>2019</v>
      </c>
      <c r="N1" s="229">
        <v>2020</v>
      </c>
      <c r="O1" s="229">
        <v>2021</v>
      </c>
      <c r="P1" s="116" t="s">
        <v>3</v>
      </c>
      <c r="Q1" s="116" t="s">
        <v>199</v>
      </c>
      <c r="R1" s="116" t="s">
        <v>573</v>
      </c>
      <c r="S1" s="85" t="s">
        <v>5</v>
      </c>
      <c r="T1" s="1" t="s">
        <v>6</v>
      </c>
      <c r="U1" s="1" t="s">
        <v>574</v>
      </c>
      <c r="V1" s="1" t="s">
        <v>7</v>
      </c>
      <c r="W1" s="1" t="s">
        <v>8</v>
      </c>
      <c r="X1" s="1" t="s">
        <v>9</v>
      </c>
      <c r="Y1" s="1" t="s">
        <v>10</v>
      </c>
      <c r="Z1" s="85" t="s">
        <v>11</v>
      </c>
      <c r="AA1" s="117" t="s">
        <v>12</v>
      </c>
      <c r="AB1" s="189" t="s">
        <v>740</v>
      </c>
      <c r="AC1" s="189" t="s">
        <v>741</v>
      </c>
    </row>
    <row r="2" spans="1:29" ht="14.4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0">
        <v>120</v>
      </c>
      <c r="G2" s="10">
        <v>50</v>
      </c>
      <c r="H2" s="10">
        <v>50</v>
      </c>
      <c r="I2" s="10">
        <v>50</v>
      </c>
      <c r="J2" s="10">
        <v>50</v>
      </c>
      <c r="K2" s="10"/>
      <c r="L2" s="25"/>
      <c r="M2" s="214">
        <v>50</v>
      </c>
      <c r="N2" s="18">
        <v>50</v>
      </c>
      <c r="O2" s="10">
        <v>50</v>
      </c>
      <c r="P2" s="190">
        <v>40316</v>
      </c>
      <c r="Q2" s="11">
        <v>40229</v>
      </c>
      <c r="R2" s="11">
        <v>44305</v>
      </c>
      <c r="S2" s="8" t="s">
        <v>575</v>
      </c>
      <c r="T2" s="12" t="s">
        <v>16</v>
      </c>
      <c r="U2" s="12" t="s">
        <v>17</v>
      </c>
      <c r="V2" s="10">
        <v>502534510</v>
      </c>
      <c r="W2" s="10" t="s">
        <v>18</v>
      </c>
      <c r="X2" s="43" t="s">
        <v>19</v>
      </c>
      <c r="Y2" s="10" t="s">
        <v>20</v>
      </c>
      <c r="Z2" s="45">
        <v>2</v>
      </c>
      <c r="AA2" s="201" t="s">
        <v>412</v>
      </c>
      <c r="AB2" s="22"/>
      <c r="AC2" s="22"/>
    </row>
    <row r="3" spans="1:29" ht="14.4">
      <c r="A3" s="8">
        <v>2</v>
      </c>
      <c r="B3" s="23" t="s">
        <v>21</v>
      </c>
      <c r="C3" s="23" t="s">
        <v>22</v>
      </c>
      <c r="D3" s="136">
        <v>120</v>
      </c>
      <c r="E3" s="136">
        <v>120</v>
      </c>
      <c r="F3" s="136">
        <v>120</v>
      </c>
      <c r="G3" s="136">
        <v>50</v>
      </c>
      <c r="H3" s="136">
        <v>50</v>
      </c>
      <c r="I3" s="136">
        <v>50</v>
      </c>
      <c r="J3" s="136">
        <v>50</v>
      </c>
      <c r="K3" s="136">
        <v>50</v>
      </c>
      <c r="L3" s="136">
        <v>50</v>
      </c>
      <c r="M3" s="215">
        <v>50</v>
      </c>
      <c r="N3" s="10">
        <v>50</v>
      </c>
      <c r="O3" s="10"/>
      <c r="P3" s="216">
        <v>40316</v>
      </c>
      <c r="Q3" s="137">
        <v>40229</v>
      </c>
      <c r="R3" s="137">
        <v>44043</v>
      </c>
      <c r="S3" s="8" t="s">
        <v>590</v>
      </c>
      <c r="T3" s="27" t="s">
        <v>1165</v>
      </c>
      <c r="U3" s="27" t="s">
        <v>1166</v>
      </c>
      <c r="V3" s="25">
        <v>605230859</v>
      </c>
      <c r="W3" s="25" t="s">
        <v>26</v>
      </c>
      <c r="X3" s="138" t="s">
        <v>27</v>
      </c>
      <c r="Y3" s="136" t="s">
        <v>28</v>
      </c>
      <c r="Z3" s="139">
        <v>3</v>
      </c>
      <c r="AA3" s="201" t="s">
        <v>412</v>
      </c>
      <c r="AB3" s="20"/>
      <c r="AC3" s="20"/>
    </row>
    <row r="4" spans="1:29" ht="14.4">
      <c r="A4" s="8">
        <v>3</v>
      </c>
      <c r="B4" s="9" t="s">
        <v>35</v>
      </c>
      <c r="C4" s="9" t="s">
        <v>36</v>
      </c>
      <c r="D4" s="10">
        <v>120</v>
      </c>
      <c r="E4" s="10">
        <v>120</v>
      </c>
      <c r="F4" s="10">
        <v>120</v>
      </c>
      <c r="G4" s="10">
        <v>50</v>
      </c>
      <c r="H4" s="10">
        <v>100</v>
      </c>
      <c r="I4" s="10">
        <v>50</v>
      </c>
      <c r="J4" s="10">
        <v>50</v>
      </c>
      <c r="K4" s="10"/>
      <c r="L4" s="10">
        <v>50</v>
      </c>
      <c r="M4" s="215">
        <v>50</v>
      </c>
      <c r="N4" s="10">
        <v>50</v>
      </c>
      <c r="O4" s="10"/>
      <c r="P4" s="190">
        <v>40316</v>
      </c>
      <c r="Q4" s="11">
        <v>40229</v>
      </c>
      <c r="R4" s="11">
        <v>44006</v>
      </c>
      <c r="S4" s="8" t="s">
        <v>57</v>
      </c>
      <c r="T4" s="12" t="s">
        <v>37</v>
      </c>
      <c r="U4" s="12" t="s">
        <v>38</v>
      </c>
      <c r="V4" s="10">
        <v>608666164</v>
      </c>
      <c r="W4" s="10" t="s">
        <v>39</v>
      </c>
      <c r="X4" s="141" t="s">
        <v>577</v>
      </c>
      <c r="Y4" s="10" t="s">
        <v>41</v>
      </c>
      <c r="Z4" s="45">
        <v>4</v>
      </c>
      <c r="AA4" s="201" t="s">
        <v>200</v>
      </c>
      <c r="AB4" s="20"/>
      <c r="AC4" s="20"/>
    </row>
    <row r="5" spans="1:29" ht="14.4">
      <c r="A5" s="8">
        <v>4</v>
      </c>
      <c r="B5" s="9" t="s">
        <v>42</v>
      </c>
      <c r="C5" s="9" t="s">
        <v>36</v>
      </c>
      <c r="D5" s="10">
        <v>120</v>
      </c>
      <c r="E5" s="10">
        <v>120</v>
      </c>
      <c r="F5" s="10">
        <v>120</v>
      </c>
      <c r="G5" s="10">
        <v>50</v>
      </c>
      <c r="H5" s="10">
        <v>50</v>
      </c>
      <c r="I5" s="10">
        <v>100</v>
      </c>
      <c r="J5" s="10">
        <v>50</v>
      </c>
      <c r="K5" s="10">
        <v>50</v>
      </c>
      <c r="L5" s="10">
        <v>50</v>
      </c>
      <c r="M5" s="215">
        <v>50</v>
      </c>
      <c r="N5" s="10">
        <v>50</v>
      </c>
      <c r="O5" s="10"/>
      <c r="P5" s="190">
        <v>40316</v>
      </c>
      <c r="Q5" s="11">
        <v>40229</v>
      </c>
      <c r="R5" s="11">
        <v>44006</v>
      </c>
      <c r="S5" s="8" t="s">
        <v>136</v>
      </c>
      <c r="T5" s="12" t="s">
        <v>44</v>
      </c>
      <c r="U5" s="12" t="s">
        <v>45</v>
      </c>
      <c r="V5" s="8">
        <v>608666170</v>
      </c>
      <c r="W5" s="71" t="s">
        <v>46</v>
      </c>
      <c r="X5" s="20" t="s">
        <v>742</v>
      </c>
      <c r="Y5" s="56" t="s">
        <v>32</v>
      </c>
      <c r="Z5" s="45">
        <v>6</v>
      </c>
      <c r="AA5" s="201" t="s">
        <v>412</v>
      </c>
      <c r="AB5" s="20"/>
      <c r="AC5" s="20"/>
    </row>
    <row r="6" spans="1:29" ht="14.4">
      <c r="A6" s="8">
        <v>5</v>
      </c>
      <c r="B6" s="9" t="s">
        <v>141</v>
      </c>
      <c r="C6" s="9" t="s">
        <v>169</v>
      </c>
      <c r="D6" s="10">
        <v>30</v>
      </c>
      <c r="E6" s="10">
        <v>120</v>
      </c>
      <c r="F6" s="10">
        <v>120</v>
      </c>
      <c r="G6" s="10">
        <v>50</v>
      </c>
      <c r="H6" s="10">
        <v>50</v>
      </c>
      <c r="I6" s="10">
        <v>50</v>
      </c>
      <c r="J6" s="10">
        <v>50</v>
      </c>
      <c r="K6" s="10">
        <v>50</v>
      </c>
      <c r="L6" s="10"/>
      <c r="M6" s="58">
        <v>50</v>
      </c>
      <c r="N6" s="10"/>
      <c r="O6" s="10"/>
      <c r="P6" s="190">
        <v>40459</v>
      </c>
      <c r="Q6" s="11">
        <v>40460</v>
      </c>
      <c r="R6" s="11">
        <v>43626</v>
      </c>
      <c r="S6" s="8" t="s">
        <v>43</v>
      </c>
      <c r="T6" s="12" t="s">
        <v>171</v>
      </c>
      <c r="U6" s="12" t="s">
        <v>172</v>
      </c>
      <c r="V6" s="10">
        <v>793406015</v>
      </c>
      <c r="W6" s="58" t="s">
        <v>173</v>
      </c>
      <c r="X6" s="20" t="s">
        <v>579</v>
      </c>
      <c r="Y6" s="56" t="s">
        <v>32</v>
      </c>
      <c r="Z6" s="45">
        <v>5</v>
      </c>
      <c r="AA6" s="202"/>
      <c r="AB6" s="20"/>
      <c r="AC6" s="20"/>
    </row>
    <row r="7" spans="1:29" ht="14.4">
      <c r="A7" s="8">
        <v>6</v>
      </c>
      <c r="B7" s="9" t="s">
        <v>55</v>
      </c>
      <c r="C7" s="9" t="s">
        <v>63</v>
      </c>
      <c r="D7" s="10">
        <v>120</v>
      </c>
      <c r="E7" s="10">
        <v>120</v>
      </c>
      <c r="F7" s="10">
        <v>120</v>
      </c>
      <c r="G7" s="10">
        <v>50</v>
      </c>
      <c r="H7" s="10">
        <v>100</v>
      </c>
      <c r="I7" s="10">
        <v>100</v>
      </c>
      <c r="J7" s="10">
        <v>100</v>
      </c>
      <c r="K7" s="10">
        <v>100</v>
      </c>
      <c r="L7" s="10">
        <v>50</v>
      </c>
      <c r="M7" s="58"/>
      <c r="N7" s="18">
        <v>50</v>
      </c>
      <c r="O7" s="20">
        <v>50</v>
      </c>
      <c r="P7" s="190">
        <v>40316</v>
      </c>
      <c r="Q7" s="11">
        <v>40229</v>
      </c>
      <c r="R7" s="19">
        <v>44337</v>
      </c>
      <c r="S7" s="8" t="s">
        <v>43</v>
      </c>
      <c r="T7" s="18" t="s">
        <v>991</v>
      </c>
      <c r="U7" s="108" t="s">
        <v>992</v>
      </c>
      <c r="V7" s="8">
        <v>600118375</v>
      </c>
      <c r="W7" s="8" t="s">
        <v>67</v>
      </c>
      <c r="X7" s="138" t="s">
        <v>68</v>
      </c>
      <c r="Y7" s="10" t="s">
        <v>32</v>
      </c>
      <c r="Z7" s="45">
        <v>8</v>
      </c>
      <c r="AA7" s="201" t="s">
        <v>412</v>
      </c>
      <c r="AB7" s="20"/>
      <c r="AC7" s="20"/>
    </row>
    <row r="8" spans="1:29" ht="14.4">
      <c r="A8" s="8">
        <v>7</v>
      </c>
      <c r="B8" s="9" t="s">
        <v>42</v>
      </c>
      <c r="C8" s="9" t="s">
        <v>69</v>
      </c>
      <c r="D8" s="10">
        <v>120</v>
      </c>
      <c r="E8" s="10">
        <v>150</v>
      </c>
      <c r="F8" s="10">
        <v>120</v>
      </c>
      <c r="G8" s="10">
        <v>50</v>
      </c>
      <c r="H8" s="10">
        <v>50</v>
      </c>
      <c r="I8" s="10">
        <v>50</v>
      </c>
      <c r="J8" s="10">
        <v>50</v>
      </c>
      <c r="K8" s="10">
        <v>50</v>
      </c>
      <c r="L8" s="10">
        <v>50</v>
      </c>
      <c r="M8" s="58">
        <v>50</v>
      </c>
      <c r="N8" s="18">
        <v>50</v>
      </c>
      <c r="O8" s="167">
        <v>50</v>
      </c>
      <c r="P8" s="190">
        <v>40316</v>
      </c>
      <c r="Q8" s="11">
        <v>40229</v>
      </c>
      <c r="R8" s="11">
        <v>44253</v>
      </c>
      <c r="S8" s="8" t="s">
        <v>150</v>
      </c>
      <c r="T8" s="25" t="s">
        <v>71</v>
      </c>
      <c r="U8" s="12" t="s">
        <v>72</v>
      </c>
      <c r="V8" s="10">
        <v>603628256</v>
      </c>
      <c r="W8" s="10" t="s">
        <v>73</v>
      </c>
      <c r="X8" s="45" t="s">
        <v>74</v>
      </c>
      <c r="Y8" s="10" t="s">
        <v>75</v>
      </c>
      <c r="Z8" s="45">
        <v>7</v>
      </c>
      <c r="AA8" s="201" t="s">
        <v>200</v>
      </c>
      <c r="AB8" s="20"/>
      <c r="AC8" s="20"/>
    </row>
    <row r="9" spans="1:29" ht="14.4">
      <c r="A9" s="8">
        <v>8</v>
      </c>
      <c r="B9" s="9" t="s">
        <v>88</v>
      </c>
      <c r="C9" s="9" t="s">
        <v>89</v>
      </c>
      <c r="D9" s="10">
        <v>120</v>
      </c>
      <c r="E9" s="10">
        <v>120</v>
      </c>
      <c r="F9" s="10">
        <v>120</v>
      </c>
      <c r="G9" s="10">
        <v>50</v>
      </c>
      <c r="H9" s="10">
        <v>200</v>
      </c>
      <c r="I9" s="10">
        <v>100</v>
      </c>
      <c r="J9" s="10">
        <v>100</v>
      </c>
      <c r="K9" s="10">
        <v>200</v>
      </c>
      <c r="L9" s="10">
        <v>200</v>
      </c>
      <c r="M9" s="58">
        <v>200</v>
      </c>
      <c r="N9" s="10">
        <v>200</v>
      </c>
      <c r="O9" s="10">
        <v>50</v>
      </c>
      <c r="P9" s="190">
        <v>40316</v>
      </c>
      <c r="Q9" s="11">
        <v>40229</v>
      </c>
      <c r="R9" s="67">
        <v>44284</v>
      </c>
      <c r="S9" s="71" t="s">
        <v>43</v>
      </c>
      <c r="T9" s="10" t="s">
        <v>90</v>
      </c>
      <c r="U9" s="57" t="s">
        <v>91</v>
      </c>
      <c r="V9" s="10" t="s">
        <v>584</v>
      </c>
      <c r="W9" s="10" t="s">
        <v>92</v>
      </c>
      <c r="X9" s="141" t="s">
        <v>585</v>
      </c>
      <c r="Y9" s="10">
        <v>48223783633</v>
      </c>
      <c r="Z9" s="45">
        <v>10</v>
      </c>
      <c r="AA9" s="202"/>
      <c r="AB9" s="20"/>
      <c r="AC9" s="20"/>
    </row>
    <row r="10" spans="1:29" ht="14.4">
      <c r="A10" s="8">
        <v>9</v>
      </c>
      <c r="B10" s="9" t="s">
        <v>94</v>
      </c>
      <c r="C10" s="9" t="s">
        <v>95</v>
      </c>
      <c r="D10" s="10">
        <v>60</v>
      </c>
      <c r="E10" s="10">
        <v>60</v>
      </c>
      <c r="F10" s="10">
        <v>120</v>
      </c>
      <c r="G10" s="10">
        <v>50</v>
      </c>
      <c r="H10" s="10">
        <v>50</v>
      </c>
      <c r="I10" s="10">
        <v>50</v>
      </c>
      <c r="J10" s="10">
        <v>50</v>
      </c>
      <c r="K10" s="10">
        <v>50</v>
      </c>
      <c r="L10" s="10">
        <v>50</v>
      </c>
      <c r="M10" s="63">
        <v>50</v>
      </c>
      <c r="N10" s="91">
        <v>50</v>
      </c>
      <c r="O10" s="183">
        <v>50</v>
      </c>
      <c r="P10" s="190">
        <v>40316</v>
      </c>
      <c r="Q10" s="11">
        <v>40229</v>
      </c>
      <c r="R10" s="19">
        <v>44337</v>
      </c>
      <c r="S10" s="8" t="s">
        <v>578</v>
      </c>
      <c r="T10" s="39" t="s">
        <v>1355</v>
      </c>
      <c r="U10" s="167" t="s">
        <v>1356</v>
      </c>
      <c r="V10" s="10">
        <v>514474608</v>
      </c>
      <c r="W10" s="10" t="s">
        <v>98</v>
      </c>
      <c r="X10" s="45" t="s">
        <v>99</v>
      </c>
      <c r="Y10" s="10" t="s">
        <v>100</v>
      </c>
      <c r="Z10" s="45">
        <v>9</v>
      </c>
      <c r="AA10" s="201" t="s">
        <v>686</v>
      </c>
      <c r="AB10" s="20"/>
      <c r="AC10" s="20"/>
    </row>
    <row r="11" spans="1:29" ht="14.4">
      <c r="A11" s="8">
        <v>10</v>
      </c>
      <c r="B11" s="9" t="s">
        <v>55</v>
      </c>
      <c r="C11" s="9" t="s">
        <v>56</v>
      </c>
      <c r="D11" s="10">
        <v>60</v>
      </c>
      <c r="E11" s="10">
        <v>60</v>
      </c>
      <c r="F11" s="10">
        <v>60</v>
      </c>
      <c r="G11" s="10">
        <v>50</v>
      </c>
      <c r="H11" s="10">
        <v>50</v>
      </c>
      <c r="I11" s="10">
        <v>50</v>
      </c>
      <c r="J11" s="10">
        <v>50</v>
      </c>
      <c r="K11" s="10">
        <v>50</v>
      </c>
      <c r="L11" s="58"/>
      <c r="M11" s="20"/>
      <c r="N11" s="20"/>
      <c r="O11" s="20">
        <v>50</v>
      </c>
      <c r="P11" s="190">
        <v>40316</v>
      </c>
      <c r="Q11" s="11">
        <v>40229</v>
      </c>
      <c r="R11" s="19">
        <v>44334</v>
      </c>
      <c r="S11" s="71" t="s">
        <v>43</v>
      </c>
      <c r="T11" s="12" t="s">
        <v>581</v>
      </c>
      <c r="U11" s="36" t="s">
        <v>59</v>
      </c>
      <c r="V11" s="10">
        <v>508373904</v>
      </c>
      <c r="W11" s="58" t="s">
        <v>60</v>
      </c>
      <c r="X11" s="104" t="s">
        <v>61</v>
      </c>
      <c r="Y11" s="56" t="s">
        <v>62</v>
      </c>
      <c r="Z11" s="45">
        <v>19</v>
      </c>
    </row>
    <row r="12" spans="1:29" ht="14.4">
      <c r="A12" s="8">
        <v>11</v>
      </c>
      <c r="B12" s="9" t="s">
        <v>108</v>
      </c>
      <c r="C12" s="9" t="s">
        <v>109</v>
      </c>
      <c r="D12" s="10">
        <v>120</v>
      </c>
      <c r="E12" s="10">
        <v>120</v>
      </c>
      <c r="F12" s="10">
        <v>120</v>
      </c>
      <c r="G12" s="10"/>
      <c r="H12" s="10">
        <v>50</v>
      </c>
      <c r="I12" s="10"/>
      <c r="J12" s="10"/>
      <c r="K12" s="10"/>
      <c r="L12" s="10"/>
      <c r="M12" s="232">
        <v>50</v>
      </c>
      <c r="N12" s="233">
        <v>50</v>
      </c>
      <c r="O12" s="233"/>
      <c r="P12" s="190">
        <v>40316</v>
      </c>
      <c r="Q12" s="11">
        <v>40229</v>
      </c>
      <c r="R12" s="11">
        <v>44077</v>
      </c>
      <c r="S12" s="71" t="s">
        <v>43</v>
      </c>
      <c r="T12" s="12" t="s">
        <v>111</v>
      </c>
      <c r="U12" s="36" t="s">
        <v>112</v>
      </c>
      <c r="V12" s="10">
        <v>721696982</v>
      </c>
      <c r="W12" s="10" t="s">
        <v>113</v>
      </c>
      <c r="X12" s="45" t="s">
        <v>587</v>
      </c>
      <c r="Y12" s="10" t="s">
        <v>115</v>
      </c>
      <c r="Z12" s="45">
        <v>26</v>
      </c>
      <c r="AA12" s="58"/>
      <c r="AB12" s="20"/>
      <c r="AC12" s="20"/>
    </row>
    <row r="13" spans="1:29" ht="14.4">
      <c r="A13" s="8">
        <v>12</v>
      </c>
      <c r="B13" s="9" t="s">
        <v>101</v>
      </c>
      <c r="C13" s="9" t="s">
        <v>102</v>
      </c>
      <c r="D13" s="10">
        <v>120</v>
      </c>
      <c r="E13" s="10">
        <v>120</v>
      </c>
      <c r="F13" s="10">
        <v>120</v>
      </c>
      <c r="G13" s="10">
        <v>120</v>
      </c>
      <c r="H13" s="10">
        <v>100</v>
      </c>
      <c r="I13" s="10">
        <v>100</v>
      </c>
      <c r="J13" s="10">
        <v>100</v>
      </c>
      <c r="K13" s="10">
        <v>100</v>
      </c>
      <c r="L13" s="10">
        <v>100</v>
      </c>
      <c r="M13" s="63">
        <v>100</v>
      </c>
      <c r="N13" s="10">
        <v>100</v>
      </c>
      <c r="O13" s="10">
        <v>100</v>
      </c>
      <c r="P13" s="190">
        <v>40316</v>
      </c>
      <c r="Q13" s="11">
        <v>40229</v>
      </c>
      <c r="R13" s="169">
        <v>44197</v>
      </c>
      <c r="S13" s="8" t="s">
        <v>64</v>
      </c>
      <c r="T13" s="27" t="s">
        <v>103</v>
      </c>
      <c r="U13" s="12" t="s">
        <v>104</v>
      </c>
      <c r="V13" s="10">
        <v>501228703</v>
      </c>
      <c r="W13" s="10" t="s">
        <v>105</v>
      </c>
      <c r="X13" s="43" t="s">
        <v>106</v>
      </c>
      <c r="Y13" s="10" t="s">
        <v>107</v>
      </c>
      <c r="Z13" s="45">
        <v>21</v>
      </c>
      <c r="AA13" s="201" t="s">
        <v>412</v>
      </c>
      <c r="AB13" s="20"/>
      <c r="AC13" s="20"/>
    </row>
    <row r="14" spans="1:29" ht="14.4">
      <c r="A14" s="8">
        <v>13</v>
      </c>
      <c r="B14" s="9" t="s">
        <v>188</v>
      </c>
      <c r="C14" s="9" t="s">
        <v>223</v>
      </c>
      <c r="D14" s="149"/>
      <c r="E14" s="10">
        <v>120</v>
      </c>
      <c r="F14" s="10">
        <v>120</v>
      </c>
      <c r="G14" s="10">
        <v>50</v>
      </c>
      <c r="H14" s="10"/>
      <c r="I14" s="10">
        <v>50</v>
      </c>
      <c r="J14" s="63">
        <v>50</v>
      </c>
      <c r="K14" s="26"/>
      <c r="L14" s="63">
        <v>50</v>
      </c>
      <c r="M14" s="58"/>
      <c r="N14" s="10"/>
      <c r="O14" s="10"/>
      <c r="P14" s="190">
        <v>40530</v>
      </c>
      <c r="Q14" s="11">
        <v>40676</v>
      </c>
      <c r="R14" s="11">
        <v>43147</v>
      </c>
      <c r="S14" s="8" t="s">
        <v>170</v>
      </c>
      <c r="T14" s="8" t="s">
        <v>224</v>
      </c>
      <c r="U14" s="12" t="s">
        <v>225</v>
      </c>
      <c r="V14" s="10">
        <v>793258511</v>
      </c>
      <c r="W14" s="10" t="s">
        <v>226</v>
      </c>
      <c r="X14" s="45" t="s">
        <v>227</v>
      </c>
      <c r="Y14" s="10">
        <v>413003499</v>
      </c>
      <c r="Z14" s="45">
        <v>22</v>
      </c>
      <c r="AA14" s="201" t="s">
        <v>200</v>
      </c>
      <c r="AB14" s="20"/>
      <c r="AC14" s="20"/>
    </row>
    <row r="15" spans="1:29" ht="14.4">
      <c r="A15" s="8">
        <v>14</v>
      </c>
      <c r="B15" s="9" t="s">
        <v>188</v>
      </c>
      <c r="C15" s="9" t="s">
        <v>246</v>
      </c>
      <c r="D15" s="149"/>
      <c r="E15" s="10">
        <v>70</v>
      </c>
      <c r="F15" s="10">
        <v>120</v>
      </c>
      <c r="G15" s="10">
        <v>50</v>
      </c>
      <c r="H15" s="10">
        <v>50</v>
      </c>
      <c r="I15" s="217">
        <v>50</v>
      </c>
      <c r="J15" s="10"/>
      <c r="K15" s="10"/>
      <c r="L15" s="10"/>
      <c r="M15" s="58">
        <v>50</v>
      </c>
      <c r="N15" s="10"/>
      <c r="O15" s="10"/>
      <c r="P15" s="190">
        <v>40737</v>
      </c>
      <c r="Q15" s="11">
        <v>40731</v>
      </c>
      <c r="R15" s="67">
        <v>43521</v>
      </c>
      <c r="S15" s="8" t="s">
        <v>170</v>
      </c>
      <c r="T15" s="8" t="s">
        <v>588</v>
      </c>
      <c r="U15" s="12" t="s">
        <v>589</v>
      </c>
      <c r="V15" s="10" t="s">
        <v>249</v>
      </c>
      <c r="W15" s="10"/>
      <c r="X15" s="45" t="s">
        <v>250</v>
      </c>
      <c r="Y15" s="10"/>
      <c r="Z15" s="45">
        <v>43</v>
      </c>
      <c r="AA15" s="58"/>
      <c r="AB15" s="20"/>
      <c r="AC15" s="20"/>
    </row>
    <row r="16" spans="1:29" ht="14.4">
      <c r="A16" s="8">
        <v>15</v>
      </c>
      <c r="B16" s="9" t="s">
        <v>194</v>
      </c>
      <c r="C16" s="9" t="s">
        <v>234</v>
      </c>
      <c r="D16" s="149"/>
      <c r="E16" s="10">
        <v>30</v>
      </c>
      <c r="F16" s="10">
        <v>60</v>
      </c>
      <c r="G16" s="10">
        <v>50</v>
      </c>
      <c r="H16" s="10">
        <v>50</v>
      </c>
      <c r="I16" s="10"/>
      <c r="J16" s="136">
        <v>50</v>
      </c>
      <c r="K16" s="136"/>
      <c r="L16" s="215">
        <v>50</v>
      </c>
      <c r="M16" s="58"/>
      <c r="N16" s="10"/>
      <c r="O16" s="234">
        <v>50</v>
      </c>
      <c r="P16" s="190">
        <v>40698</v>
      </c>
      <c r="Q16" s="11">
        <v>40707</v>
      </c>
      <c r="R16" s="11">
        <v>44441</v>
      </c>
      <c r="S16" s="8" t="s">
        <v>575</v>
      </c>
      <c r="T16" s="8" t="s">
        <v>1357</v>
      </c>
      <c r="U16" s="8" t="s">
        <v>1358</v>
      </c>
      <c r="V16" s="191">
        <v>519386163</v>
      </c>
      <c r="W16" s="10"/>
      <c r="X16" s="45" t="s">
        <v>238</v>
      </c>
      <c r="Y16" s="10"/>
      <c r="Z16" s="45">
        <v>45</v>
      </c>
      <c r="AA16" s="201" t="s">
        <v>412</v>
      </c>
      <c r="AB16" s="141" t="s">
        <v>1359</v>
      </c>
      <c r="AC16" s="20"/>
    </row>
    <row r="17" spans="1:29" ht="14.4">
      <c r="A17" s="8">
        <v>16</v>
      </c>
      <c r="B17" s="9" t="s">
        <v>217</v>
      </c>
      <c r="C17" s="9" t="s">
        <v>116</v>
      </c>
      <c r="D17" s="149"/>
      <c r="E17" s="10">
        <v>20</v>
      </c>
      <c r="F17" s="10">
        <v>100</v>
      </c>
      <c r="G17" s="10">
        <v>150</v>
      </c>
      <c r="H17" s="10">
        <v>50</v>
      </c>
      <c r="I17" s="10">
        <v>50</v>
      </c>
      <c r="J17" s="10">
        <v>150</v>
      </c>
      <c r="K17" s="10"/>
      <c r="L17" s="63"/>
      <c r="M17" s="58">
        <v>150</v>
      </c>
      <c r="N17" s="10"/>
      <c r="O17" s="40">
        <v>100</v>
      </c>
      <c r="P17" s="190">
        <v>40847</v>
      </c>
      <c r="Q17" s="11" t="s">
        <v>331</v>
      </c>
      <c r="R17" s="11">
        <v>44445</v>
      </c>
      <c r="S17" s="8" t="s">
        <v>170</v>
      </c>
      <c r="T17" s="8" t="s">
        <v>332</v>
      </c>
      <c r="U17" s="12" t="s">
        <v>333</v>
      </c>
      <c r="V17" s="10">
        <v>504377500</v>
      </c>
      <c r="W17" s="10"/>
      <c r="X17" s="45" t="s">
        <v>334</v>
      </c>
      <c r="Y17" s="10"/>
      <c r="Z17" s="45">
        <v>61</v>
      </c>
      <c r="AA17" s="202"/>
      <c r="AB17" s="20"/>
      <c r="AC17" s="20"/>
    </row>
    <row r="18" spans="1:29" ht="14.4">
      <c r="A18" s="8">
        <v>17</v>
      </c>
      <c r="B18" s="9" t="s">
        <v>315</v>
      </c>
      <c r="C18" s="9" t="s">
        <v>316</v>
      </c>
      <c r="D18" s="149"/>
      <c r="E18" s="10">
        <v>40</v>
      </c>
      <c r="F18" s="10">
        <v>120</v>
      </c>
      <c r="G18" s="10"/>
      <c r="H18" s="10">
        <v>50</v>
      </c>
      <c r="I18" s="10">
        <v>50</v>
      </c>
      <c r="J18" s="10"/>
      <c r="K18" s="57"/>
      <c r="L18" s="10"/>
      <c r="M18" s="58"/>
      <c r="N18" s="10"/>
      <c r="O18" s="10">
        <v>50</v>
      </c>
      <c r="P18" s="11">
        <v>40812</v>
      </c>
      <c r="Q18" s="11">
        <v>40812</v>
      </c>
      <c r="R18" s="11">
        <v>44295</v>
      </c>
      <c r="S18" s="8" t="s">
        <v>170</v>
      </c>
      <c r="T18" s="8" t="s">
        <v>317</v>
      </c>
      <c r="U18" s="12" t="s">
        <v>191</v>
      </c>
      <c r="V18" s="10">
        <v>886820739</v>
      </c>
      <c r="W18" s="10"/>
      <c r="X18" s="45" t="s">
        <v>318</v>
      </c>
      <c r="Y18" s="10"/>
      <c r="Z18" s="45">
        <v>63</v>
      </c>
      <c r="AA18" s="40" t="s">
        <v>200</v>
      </c>
      <c r="AB18" s="20"/>
      <c r="AC18" s="20"/>
    </row>
    <row r="19" spans="1:29" ht="14.4">
      <c r="A19" s="8">
        <v>18</v>
      </c>
      <c r="B19" s="104" t="s">
        <v>401</v>
      </c>
      <c r="C19" s="95" t="s">
        <v>402</v>
      </c>
      <c r="D19" s="149"/>
      <c r="E19" s="149"/>
      <c r="F19" s="18">
        <v>25</v>
      </c>
      <c r="G19" s="18">
        <v>50</v>
      </c>
      <c r="H19" s="18">
        <v>50</v>
      </c>
      <c r="I19" s="10">
        <v>50</v>
      </c>
      <c r="J19" s="63">
        <v>50</v>
      </c>
      <c r="K19" s="10">
        <v>50</v>
      </c>
      <c r="L19" s="58">
        <v>50</v>
      </c>
      <c r="M19" s="58"/>
      <c r="N19" s="10"/>
      <c r="O19" s="10">
        <v>100</v>
      </c>
      <c r="P19" s="176">
        <v>41137</v>
      </c>
      <c r="Q19" s="99">
        <v>41137</v>
      </c>
      <c r="R19" s="99">
        <v>44336</v>
      </c>
      <c r="S19" s="8" t="s">
        <v>110</v>
      </c>
      <c r="T19" s="91" t="s">
        <v>403</v>
      </c>
      <c r="U19" s="91" t="s">
        <v>404</v>
      </c>
      <c r="V19" s="18">
        <v>784918776</v>
      </c>
      <c r="W19" s="101" t="s">
        <v>405</v>
      </c>
      <c r="X19" s="104" t="s">
        <v>406</v>
      </c>
      <c r="Y19" s="152"/>
      <c r="Z19" s="104">
        <v>73</v>
      </c>
      <c r="AA19" s="201" t="s">
        <v>200</v>
      </c>
      <c r="AB19" s="20"/>
      <c r="AC19" s="20"/>
    </row>
    <row r="20" spans="1:29" ht="14.4">
      <c r="A20" s="8">
        <v>19</v>
      </c>
      <c r="B20" s="104" t="s">
        <v>429</v>
      </c>
      <c r="C20" s="104" t="s">
        <v>430</v>
      </c>
      <c r="D20" s="154"/>
      <c r="E20" s="154"/>
      <c r="F20" s="154"/>
      <c r="G20" s="18">
        <v>50</v>
      </c>
      <c r="H20" s="18">
        <v>50</v>
      </c>
      <c r="I20" s="58">
        <v>50</v>
      </c>
      <c r="J20" s="58"/>
      <c r="K20" s="10"/>
      <c r="L20" s="55">
        <v>50</v>
      </c>
      <c r="M20" s="58">
        <v>50</v>
      </c>
      <c r="N20" s="10"/>
      <c r="O20" s="56"/>
      <c r="P20" s="176">
        <v>41349</v>
      </c>
      <c r="Q20" s="99">
        <v>41354</v>
      </c>
      <c r="R20" s="99">
        <v>43187</v>
      </c>
      <c r="S20" s="8" t="s">
        <v>170</v>
      </c>
      <c r="T20" s="18" t="s">
        <v>595</v>
      </c>
      <c r="U20" s="18" t="s">
        <v>596</v>
      </c>
      <c r="V20" s="18">
        <v>512180992</v>
      </c>
      <c r="W20" s="105"/>
      <c r="X20" s="104" t="s">
        <v>433</v>
      </c>
      <c r="Y20" s="102"/>
      <c r="Z20" s="156">
        <v>79</v>
      </c>
      <c r="AA20" s="203"/>
      <c r="AB20" s="20"/>
      <c r="AC20" s="20" t="s">
        <v>823</v>
      </c>
    </row>
    <row r="21" spans="1:29" ht="15.75" customHeight="1">
      <c r="A21" s="8">
        <v>20</v>
      </c>
      <c r="B21" s="104" t="s">
        <v>438</v>
      </c>
      <c r="C21" s="104" t="s">
        <v>95</v>
      </c>
      <c r="D21" s="154"/>
      <c r="E21" s="154"/>
      <c r="F21" s="154"/>
      <c r="G21" s="18">
        <v>50</v>
      </c>
      <c r="H21" s="18">
        <v>50</v>
      </c>
      <c r="I21" s="101">
        <v>50</v>
      </c>
      <c r="J21" s="18">
        <v>50</v>
      </c>
      <c r="K21" s="152">
        <v>50</v>
      </c>
      <c r="L21" s="218">
        <v>50</v>
      </c>
      <c r="M21" s="101">
        <v>50</v>
      </c>
      <c r="N21" s="18">
        <v>50</v>
      </c>
      <c r="O21" s="234">
        <v>50</v>
      </c>
      <c r="P21" s="177">
        <v>41352</v>
      </c>
      <c r="Q21" s="99">
        <v>41358</v>
      </c>
      <c r="R21" s="11">
        <v>44474</v>
      </c>
      <c r="S21" s="8" t="s">
        <v>170</v>
      </c>
      <c r="T21" s="18" t="s">
        <v>439</v>
      </c>
      <c r="U21" s="18" t="s">
        <v>97</v>
      </c>
      <c r="V21" s="18">
        <v>510639087</v>
      </c>
      <c r="W21" s="105"/>
      <c r="X21" s="104" t="s">
        <v>440</v>
      </c>
      <c r="Y21" s="102"/>
      <c r="Z21" s="156">
        <v>82</v>
      </c>
      <c r="AA21" s="40" t="s">
        <v>200</v>
      </c>
      <c r="AB21" s="20"/>
      <c r="AC21" s="20"/>
    </row>
    <row r="22" spans="1:29" ht="15.75" customHeight="1">
      <c r="A22" s="8">
        <v>21</v>
      </c>
      <c r="B22" s="104" t="s">
        <v>441</v>
      </c>
      <c r="C22" s="104" t="s">
        <v>442</v>
      </c>
      <c r="D22" s="154"/>
      <c r="E22" s="154"/>
      <c r="F22" s="154"/>
      <c r="G22" s="18">
        <v>50</v>
      </c>
      <c r="H22" s="18">
        <v>50</v>
      </c>
      <c r="I22" s="101">
        <v>50</v>
      </c>
      <c r="J22" s="18">
        <v>100</v>
      </c>
      <c r="K22" s="152">
        <v>100</v>
      </c>
      <c r="L22" s="218">
        <v>50</v>
      </c>
      <c r="M22" s="101">
        <v>100</v>
      </c>
      <c r="N22" s="18">
        <v>100</v>
      </c>
      <c r="O22" s="152">
        <v>100</v>
      </c>
      <c r="P22" s="177">
        <v>41354</v>
      </c>
      <c r="Q22" s="99">
        <v>41354</v>
      </c>
      <c r="R22" s="99">
        <v>44216</v>
      </c>
      <c r="S22" s="8" t="s">
        <v>170</v>
      </c>
      <c r="T22" s="18" t="s">
        <v>443</v>
      </c>
      <c r="U22" s="18" t="s">
        <v>444</v>
      </c>
      <c r="V22" s="18">
        <v>607777011</v>
      </c>
      <c r="W22" s="105"/>
      <c r="X22" s="104" t="s">
        <v>445</v>
      </c>
      <c r="Y22" s="102"/>
      <c r="Z22" s="156">
        <v>83</v>
      </c>
      <c r="AA22" s="201" t="s">
        <v>412</v>
      </c>
      <c r="AB22" s="20"/>
      <c r="AC22" s="20"/>
    </row>
    <row r="23" spans="1:29" ht="15.75" customHeight="1">
      <c r="A23" s="8">
        <v>22</v>
      </c>
      <c r="B23" s="104" t="s">
        <v>134</v>
      </c>
      <c r="C23" s="104" t="s">
        <v>461</v>
      </c>
      <c r="D23" s="159"/>
      <c r="E23" s="159"/>
      <c r="F23" s="159"/>
      <c r="G23" s="18">
        <v>50</v>
      </c>
      <c r="H23" s="18">
        <v>50</v>
      </c>
      <c r="I23" s="101">
        <v>50</v>
      </c>
      <c r="J23" s="18">
        <v>50</v>
      </c>
      <c r="K23" s="152">
        <v>50</v>
      </c>
      <c r="L23" s="218">
        <v>50</v>
      </c>
      <c r="M23" s="101">
        <v>50</v>
      </c>
      <c r="N23" s="18">
        <v>50</v>
      </c>
      <c r="O23" s="10">
        <v>50</v>
      </c>
      <c r="P23" s="176">
        <v>41407</v>
      </c>
      <c r="Q23" s="99">
        <v>41404</v>
      </c>
      <c r="R23" s="99">
        <v>44284</v>
      </c>
      <c r="S23" s="8" t="s">
        <v>50</v>
      </c>
      <c r="T23" s="18" t="s">
        <v>462</v>
      </c>
      <c r="U23" s="18" t="s">
        <v>463</v>
      </c>
      <c r="V23" s="104"/>
      <c r="W23" s="105"/>
      <c r="X23" s="104" t="s">
        <v>464</v>
      </c>
      <c r="Y23" s="102"/>
      <c r="Z23" s="156">
        <v>88</v>
      </c>
      <c r="AA23" s="201" t="s">
        <v>412</v>
      </c>
      <c r="AB23" s="20"/>
      <c r="AC23" s="20"/>
    </row>
    <row r="24" spans="1:29" ht="15.75" customHeight="1">
      <c r="A24" s="8">
        <v>23</v>
      </c>
      <c r="B24" s="104" t="s">
        <v>492</v>
      </c>
      <c r="C24" s="104" t="s">
        <v>493</v>
      </c>
      <c r="D24" s="159"/>
      <c r="E24" s="159"/>
      <c r="F24" s="159"/>
      <c r="G24" s="18">
        <v>50</v>
      </c>
      <c r="H24" s="18">
        <v>50</v>
      </c>
      <c r="I24" s="219">
        <v>50</v>
      </c>
      <c r="J24" s="151">
        <v>50</v>
      </c>
      <c r="K24" s="220">
        <v>50</v>
      </c>
      <c r="L24" s="221">
        <v>50</v>
      </c>
      <c r="M24" s="219">
        <v>50</v>
      </c>
      <c r="N24" s="18">
        <v>50</v>
      </c>
      <c r="O24" s="152"/>
      <c r="P24" s="176">
        <v>41598</v>
      </c>
      <c r="Q24" s="99">
        <v>41599</v>
      </c>
      <c r="R24" s="99">
        <v>43864</v>
      </c>
      <c r="S24" s="18" t="s">
        <v>170</v>
      </c>
      <c r="T24" s="222" t="s">
        <v>494</v>
      </c>
      <c r="U24" s="222" t="s">
        <v>495</v>
      </c>
      <c r="V24" s="222">
        <v>692434393</v>
      </c>
      <c r="W24" s="105"/>
      <c r="X24" s="104" t="s">
        <v>496</v>
      </c>
      <c r="Y24" s="102"/>
      <c r="Z24" s="160">
        <v>95</v>
      </c>
      <c r="AA24" s="203"/>
      <c r="AB24" s="20"/>
      <c r="AC24" s="20"/>
    </row>
    <row r="25" spans="1:29" ht="15.75" customHeight="1">
      <c r="A25" s="8">
        <v>24</v>
      </c>
      <c r="B25" s="97" t="s">
        <v>188</v>
      </c>
      <c r="C25" s="97" t="s">
        <v>14</v>
      </c>
      <c r="D25" s="163"/>
      <c r="E25" s="163"/>
      <c r="F25" s="163"/>
      <c r="G25" s="91">
        <v>50</v>
      </c>
      <c r="H25" s="91">
        <v>50</v>
      </c>
      <c r="I25" s="101">
        <v>50</v>
      </c>
      <c r="J25" s="18">
        <v>50</v>
      </c>
      <c r="K25" s="21"/>
      <c r="L25" s="20"/>
      <c r="M25" s="209">
        <v>50</v>
      </c>
      <c r="N25" s="18">
        <v>50</v>
      </c>
      <c r="O25" s="10">
        <v>50</v>
      </c>
      <c r="P25" s="175">
        <v>41517</v>
      </c>
      <c r="Q25" s="92">
        <v>41738</v>
      </c>
      <c r="R25" s="11">
        <v>44305</v>
      </c>
      <c r="S25" s="18" t="s">
        <v>575</v>
      </c>
      <c r="T25" s="223" t="s">
        <v>16</v>
      </c>
      <c r="U25" s="223" t="s">
        <v>17</v>
      </c>
      <c r="V25" s="94">
        <v>514575915</v>
      </c>
      <c r="W25" s="104"/>
      <c r="X25" s="87" t="s">
        <v>600</v>
      </c>
      <c r="Y25" s="97"/>
      <c r="Z25" s="97">
        <v>102</v>
      </c>
      <c r="AA25" s="224" t="s">
        <v>200</v>
      </c>
      <c r="AB25" s="20"/>
      <c r="AC25" s="20"/>
    </row>
    <row r="26" spans="1:29" ht="15.75" customHeight="1">
      <c r="A26" s="8">
        <v>25</v>
      </c>
      <c r="B26" s="104" t="s">
        <v>429</v>
      </c>
      <c r="C26" s="104" t="s">
        <v>564</v>
      </c>
      <c r="D26" s="159"/>
      <c r="E26" s="159"/>
      <c r="F26" s="159"/>
      <c r="G26" s="159"/>
      <c r="H26" s="18">
        <v>50</v>
      </c>
      <c r="I26" s="101">
        <v>50</v>
      </c>
      <c r="J26" s="18">
        <v>50</v>
      </c>
      <c r="K26" s="152"/>
      <c r="L26" s="55"/>
      <c r="M26" s="58">
        <v>50</v>
      </c>
      <c r="N26" s="10">
        <v>50</v>
      </c>
      <c r="O26" s="56">
        <v>50</v>
      </c>
      <c r="P26" s="177">
        <v>41984</v>
      </c>
      <c r="Q26" s="106">
        <v>41984</v>
      </c>
      <c r="R26" s="106">
        <v>44200</v>
      </c>
      <c r="S26" s="8" t="s">
        <v>170</v>
      </c>
      <c r="T26" s="18" t="s">
        <v>565</v>
      </c>
      <c r="U26" s="18" t="s">
        <v>566</v>
      </c>
      <c r="V26" s="39">
        <v>604434095</v>
      </c>
      <c r="W26" s="167" t="s">
        <v>993</v>
      </c>
      <c r="X26" s="104" t="s">
        <v>567</v>
      </c>
      <c r="Y26" s="104"/>
      <c r="Z26" s="104">
        <v>112</v>
      </c>
      <c r="AA26" s="103"/>
      <c r="AB26" s="20"/>
      <c r="AC26" s="20"/>
    </row>
    <row r="27" spans="1:29" ht="15.75" customHeight="1">
      <c r="A27" s="8">
        <v>26</v>
      </c>
      <c r="B27" s="20" t="s">
        <v>481</v>
      </c>
      <c r="C27" s="20" t="s">
        <v>548</v>
      </c>
      <c r="D27" s="159"/>
      <c r="E27" s="159"/>
      <c r="F27" s="159"/>
      <c r="G27" s="159"/>
      <c r="H27" s="209">
        <v>50</v>
      </c>
      <c r="I27" s="209">
        <v>50</v>
      </c>
      <c r="J27" s="204">
        <v>50</v>
      </c>
      <c r="K27" s="20"/>
      <c r="L27" s="204">
        <v>50</v>
      </c>
      <c r="M27" s="209">
        <v>50</v>
      </c>
      <c r="N27" s="167"/>
      <c r="O27" s="227"/>
      <c r="P27" s="176">
        <v>41896</v>
      </c>
      <c r="Q27" s="99">
        <v>41899</v>
      </c>
      <c r="R27" s="169">
        <v>43648</v>
      </c>
      <c r="S27" s="8" t="s">
        <v>170</v>
      </c>
      <c r="T27" s="167" t="s">
        <v>869</v>
      </c>
      <c r="U27" s="167" t="s">
        <v>550</v>
      </c>
      <c r="V27" s="108">
        <v>604235534</v>
      </c>
      <c r="W27" s="104"/>
      <c r="X27" s="104" t="s">
        <v>551</v>
      </c>
      <c r="Y27" s="104"/>
      <c r="Z27" s="104">
        <v>108</v>
      </c>
      <c r="AA27" s="204"/>
      <c r="AB27" s="20"/>
      <c r="AC27" s="20"/>
    </row>
    <row r="28" spans="1:29" ht="15.75" customHeight="1">
      <c r="A28" s="8">
        <v>27</v>
      </c>
      <c r="B28" s="104" t="s">
        <v>481</v>
      </c>
      <c r="C28" s="104" t="s">
        <v>613</v>
      </c>
      <c r="D28" s="159"/>
      <c r="E28" s="159"/>
      <c r="F28" s="159"/>
      <c r="G28" s="159"/>
      <c r="H28" s="159"/>
      <c r="I28" s="101">
        <v>50</v>
      </c>
      <c r="J28" s="18">
        <v>100</v>
      </c>
      <c r="K28" s="152"/>
      <c r="L28" s="218">
        <v>50</v>
      </c>
      <c r="M28" s="101">
        <v>50</v>
      </c>
      <c r="N28" s="10">
        <v>50</v>
      </c>
      <c r="O28" s="56"/>
      <c r="P28" s="176">
        <v>42024</v>
      </c>
      <c r="Q28" s="99">
        <v>42024</v>
      </c>
      <c r="R28" s="99">
        <v>44057</v>
      </c>
      <c r="S28" s="8" t="s">
        <v>170</v>
      </c>
      <c r="T28" s="167" t="s">
        <v>614</v>
      </c>
      <c r="U28" s="18" t="s">
        <v>615</v>
      </c>
      <c r="V28" s="18">
        <v>698088272</v>
      </c>
      <c r="W28" s="104" t="s">
        <v>616</v>
      </c>
      <c r="X28" s="104" t="s">
        <v>617</v>
      </c>
      <c r="Y28" s="104"/>
      <c r="Z28" s="104">
        <v>115</v>
      </c>
      <c r="AA28" s="203"/>
      <c r="AB28" s="20"/>
      <c r="AC28" s="20"/>
    </row>
    <row r="29" spans="1:29" ht="15.75" customHeight="1">
      <c r="A29" s="8">
        <v>28</v>
      </c>
      <c r="B29" s="104" t="s">
        <v>108</v>
      </c>
      <c r="C29" s="104" t="s">
        <v>544</v>
      </c>
      <c r="D29" s="159"/>
      <c r="E29" s="159"/>
      <c r="F29" s="159"/>
      <c r="G29" s="159"/>
      <c r="H29" s="159"/>
      <c r="I29" s="101">
        <v>50</v>
      </c>
      <c r="J29" s="18">
        <v>50</v>
      </c>
      <c r="K29" s="152">
        <v>50</v>
      </c>
      <c r="L29" s="218">
        <v>50</v>
      </c>
      <c r="M29" s="58">
        <v>50</v>
      </c>
      <c r="N29" s="10">
        <v>50</v>
      </c>
      <c r="O29" s="234">
        <v>50</v>
      </c>
      <c r="P29" s="179"/>
      <c r="Q29" s="169">
        <v>42165</v>
      </c>
      <c r="R29" s="99">
        <v>44438</v>
      </c>
      <c r="S29" s="8" t="s">
        <v>170</v>
      </c>
      <c r="T29" s="167" t="s">
        <v>1360</v>
      </c>
      <c r="U29" s="18" t="s">
        <v>1361</v>
      </c>
      <c r="V29" s="20"/>
      <c r="W29" s="20"/>
      <c r="X29" s="20" t="s">
        <v>1362</v>
      </c>
      <c r="Y29" s="20"/>
      <c r="Z29" s="20">
        <v>119</v>
      </c>
      <c r="AA29" s="204"/>
      <c r="AB29" s="20"/>
      <c r="AC29" s="20"/>
    </row>
    <row r="30" spans="1:29" ht="15.75" customHeight="1">
      <c r="A30" s="8">
        <v>29</v>
      </c>
      <c r="B30" s="104" t="s">
        <v>688</v>
      </c>
      <c r="C30" s="104" t="s">
        <v>569</v>
      </c>
      <c r="D30" s="159"/>
      <c r="E30" s="159"/>
      <c r="F30" s="159"/>
      <c r="G30" s="159"/>
      <c r="H30" s="101">
        <v>50</v>
      </c>
      <c r="I30" s="101">
        <v>50</v>
      </c>
      <c r="J30" s="101">
        <v>50</v>
      </c>
      <c r="K30" s="101">
        <v>50</v>
      </c>
      <c r="L30" s="18"/>
      <c r="M30" s="152"/>
      <c r="N30" s="10">
        <v>50</v>
      </c>
      <c r="O30" s="234">
        <v>50</v>
      </c>
      <c r="P30" s="176">
        <v>41982</v>
      </c>
      <c r="Q30" s="99">
        <v>41997</v>
      </c>
      <c r="R30" s="99">
        <v>44438</v>
      </c>
      <c r="S30" s="8" t="s">
        <v>170</v>
      </c>
      <c r="T30" s="169" t="s">
        <v>570</v>
      </c>
      <c r="U30" s="8" t="s">
        <v>571</v>
      </c>
      <c r="V30" s="39">
        <v>539683501</v>
      </c>
      <c r="W30" s="18"/>
      <c r="X30" s="20" t="s">
        <v>572</v>
      </c>
      <c r="Y30" s="20"/>
      <c r="Z30" s="20">
        <v>113</v>
      </c>
      <c r="AA30" s="40" t="s">
        <v>200</v>
      </c>
      <c r="AB30" s="20"/>
      <c r="AC30" s="20"/>
    </row>
    <row r="31" spans="1:29" ht="15.75" customHeight="1">
      <c r="A31" s="8">
        <v>30</v>
      </c>
      <c r="B31" s="104" t="s">
        <v>637</v>
      </c>
      <c r="C31" s="104" t="s">
        <v>638</v>
      </c>
      <c r="D31" s="159"/>
      <c r="E31" s="159"/>
      <c r="F31" s="159"/>
      <c r="G31" s="159"/>
      <c r="H31" s="159"/>
      <c r="I31" s="101">
        <v>50</v>
      </c>
      <c r="J31" s="18"/>
      <c r="K31" s="20"/>
      <c r="L31" s="20"/>
      <c r="M31" s="209">
        <v>50</v>
      </c>
      <c r="N31" s="167"/>
      <c r="O31" s="56">
        <v>50</v>
      </c>
      <c r="P31" s="178">
        <v>42144</v>
      </c>
      <c r="Q31" s="169">
        <v>42144</v>
      </c>
      <c r="R31" s="169">
        <v>44211</v>
      </c>
      <c r="S31" s="8" t="s">
        <v>170</v>
      </c>
      <c r="T31" s="167" t="s">
        <v>995</v>
      </c>
      <c r="U31" s="167" t="s">
        <v>640</v>
      </c>
      <c r="V31" s="167">
        <v>794751415</v>
      </c>
      <c r="W31" s="20" t="s">
        <v>641</v>
      </c>
      <c r="X31" s="20" t="s">
        <v>642</v>
      </c>
      <c r="Y31" s="20"/>
      <c r="Z31" s="20">
        <v>118</v>
      </c>
      <c r="AA31" s="20"/>
      <c r="AB31" s="20"/>
      <c r="AC31" s="20"/>
    </row>
    <row r="32" spans="1:29" ht="15.75" customHeight="1">
      <c r="A32" s="8">
        <v>31</v>
      </c>
      <c r="B32" s="104" t="s">
        <v>701</v>
      </c>
      <c r="C32" s="104" t="s">
        <v>702</v>
      </c>
      <c r="D32" s="159"/>
      <c r="E32" s="159"/>
      <c r="F32" s="159"/>
      <c r="G32" s="159"/>
      <c r="H32" s="159"/>
      <c r="I32" s="159"/>
      <c r="J32" s="18">
        <v>50</v>
      </c>
      <c r="K32" s="18">
        <v>50</v>
      </c>
      <c r="L32" s="101">
        <v>50</v>
      </c>
      <c r="M32" s="101"/>
      <c r="N32" s="18">
        <v>50</v>
      </c>
      <c r="O32" s="227">
        <v>50</v>
      </c>
      <c r="P32" s="178">
        <v>42429</v>
      </c>
      <c r="Q32" s="169">
        <v>42429</v>
      </c>
      <c r="R32" s="169">
        <v>44329</v>
      </c>
      <c r="S32" s="167" t="s">
        <v>170</v>
      </c>
      <c r="T32" s="167" t="s">
        <v>1363</v>
      </c>
      <c r="U32" s="167" t="s">
        <v>1364</v>
      </c>
      <c r="V32" s="181">
        <v>600294958</v>
      </c>
      <c r="W32" s="20"/>
      <c r="X32" s="20" t="s">
        <v>705</v>
      </c>
      <c r="Y32" s="20"/>
      <c r="Z32" s="20">
        <v>130</v>
      </c>
      <c r="AA32" s="204"/>
      <c r="AB32" s="20"/>
      <c r="AC32" s="20"/>
    </row>
    <row r="33" spans="1:29" ht="15.75" customHeight="1">
      <c r="A33" s="8">
        <v>32</v>
      </c>
      <c r="B33" s="104" t="s">
        <v>217</v>
      </c>
      <c r="C33" s="104" t="s">
        <v>671</v>
      </c>
      <c r="D33" s="159"/>
      <c r="E33" s="159"/>
      <c r="F33" s="159"/>
      <c r="G33" s="159"/>
      <c r="H33" s="159"/>
      <c r="I33" s="159"/>
      <c r="J33" s="159"/>
      <c r="K33" s="20">
        <v>50</v>
      </c>
      <c r="L33" s="204">
        <v>50</v>
      </c>
      <c r="M33" s="204"/>
      <c r="N33" s="167"/>
      <c r="O33" s="227"/>
      <c r="P33" s="178">
        <v>42744</v>
      </c>
      <c r="Q33" s="169">
        <v>42744</v>
      </c>
      <c r="R33" s="169">
        <v>42744</v>
      </c>
      <c r="S33" s="8" t="s">
        <v>170</v>
      </c>
      <c r="T33" s="135" t="s">
        <v>751</v>
      </c>
      <c r="U33" s="135" t="s">
        <v>752</v>
      </c>
      <c r="V33" s="196">
        <v>663912988</v>
      </c>
      <c r="W33" s="20"/>
      <c r="X33" s="20" t="s">
        <v>753</v>
      </c>
      <c r="Y33" s="20"/>
      <c r="Z33" s="20">
        <v>140</v>
      </c>
      <c r="AA33" s="204"/>
      <c r="AB33" s="20"/>
      <c r="AC33" s="20"/>
    </row>
    <row r="34" spans="1:29" ht="15.75" customHeight="1">
      <c r="A34" s="8">
        <v>33</v>
      </c>
      <c r="B34" s="97" t="s">
        <v>754</v>
      </c>
      <c r="C34" s="183" t="s">
        <v>755</v>
      </c>
      <c r="D34" s="163"/>
      <c r="E34" s="163"/>
      <c r="F34" s="163"/>
      <c r="G34" s="163"/>
      <c r="H34" s="163"/>
      <c r="I34" s="163"/>
      <c r="J34" s="163"/>
      <c r="K34" s="183">
        <v>50</v>
      </c>
      <c r="L34" s="205"/>
      <c r="M34" s="167">
        <v>50</v>
      </c>
      <c r="N34" s="167">
        <v>50</v>
      </c>
      <c r="O34" s="167">
        <v>50</v>
      </c>
      <c r="P34" s="225">
        <v>42769</v>
      </c>
      <c r="Q34" s="182">
        <v>42769</v>
      </c>
      <c r="R34" s="182">
        <v>44242</v>
      </c>
      <c r="S34" s="47" t="s">
        <v>170</v>
      </c>
      <c r="T34" s="197" t="s">
        <v>756</v>
      </c>
      <c r="U34" s="197" t="s">
        <v>757</v>
      </c>
      <c r="V34" s="198">
        <v>696453314</v>
      </c>
      <c r="W34" s="183"/>
      <c r="X34" s="141" t="s">
        <v>996</v>
      </c>
      <c r="Y34" s="183"/>
      <c r="Z34" s="183">
        <v>141</v>
      </c>
      <c r="AA34" s="205"/>
      <c r="AB34" s="20"/>
      <c r="AC34" s="20"/>
    </row>
    <row r="35" spans="1:29" ht="15.75" customHeight="1">
      <c r="A35" s="8">
        <v>34</v>
      </c>
      <c r="B35" s="97" t="s">
        <v>775</v>
      </c>
      <c r="C35" s="97" t="s">
        <v>776</v>
      </c>
      <c r="D35" s="163"/>
      <c r="E35" s="163"/>
      <c r="F35" s="163"/>
      <c r="G35" s="163"/>
      <c r="H35" s="163"/>
      <c r="I35" s="163"/>
      <c r="J35" s="163"/>
      <c r="K35" s="183">
        <v>50</v>
      </c>
      <c r="L35" s="205">
        <v>50</v>
      </c>
      <c r="M35" s="204"/>
      <c r="N35" s="167"/>
      <c r="O35" s="235"/>
      <c r="P35" s="225">
        <v>42606</v>
      </c>
      <c r="Q35" s="182">
        <v>42822</v>
      </c>
      <c r="R35" s="182">
        <v>43090</v>
      </c>
      <c r="S35" s="8" t="s">
        <v>170</v>
      </c>
      <c r="T35" s="184" t="s">
        <v>777</v>
      </c>
      <c r="U35" s="184" t="s">
        <v>778</v>
      </c>
      <c r="V35" s="184">
        <v>781504852</v>
      </c>
      <c r="W35" s="200" t="s">
        <v>779</v>
      </c>
      <c r="X35" s="183" t="s">
        <v>780</v>
      </c>
      <c r="Y35" s="200">
        <v>587361570</v>
      </c>
      <c r="Z35" s="183">
        <v>134</v>
      </c>
      <c r="AA35" s="205"/>
      <c r="AB35" s="20"/>
      <c r="AC35" s="20"/>
    </row>
    <row r="36" spans="1:29" ht="15.75" customHeight="1">
      <c r="A36" s="8">
        <v>35</v>
      </c>
      <c r="B36" s="104" t="s">
        <v>812</v>
      </c>
      <c r="C36" s="20" t="s">
        <v>813</v>
      </c>
      <c r="D36" s="159"/>
      <c r="E36" s="159"/>
      <c r="F36" s="159"/>
      <c r="G36" s="159"/>
      <c r="H36" s="159"/>
      <c r="I36" s="159"/>
      <c r="J36" s="159"/>
      <c r="K36" s="20">
        <v>50</v>
      </c>
      <c r="L36" s="204">
        <v>50</v>
      </c>
      <c r="M36" s="204"/>
      <c r="N36" s="167"/>
      <c r="O36" s="227"/>
      <c r="P36" s="178">
        <v>43084</v>
      </c>
      <c r="Q36" s="169">
        <v>43084</v>
      </c>
      <c r="R36" s="169">
        <v>43445</v>
      </c>
      <c r="S36" s="8" t="s">
        <v>170</v>
      </c>
      <c r="T36" s="167" t="s">
        <v>814</v>
      </c>
      <c r="U36" s="167" t="s">
        <v>815</v>
      </c>
      <c r="V36" s="167">
        <v>506427836</v>
      </c>
      <c r="W36" s="20" t="s">
        <v>816</v>
      </c>
      <c r="X36" s="20" t="s">
        <v>817</v>
      </c>
      <c r="Y36" s="20"/>
      <c r="Z36" s="20">
        <v>152</v>
      </c>
      <c r="AA36" s="204"/>
      <c r="AB36" s="20"/>
      <c r="AC36" s="20"/>
    </row>
    <row r="37" spans="1:29" ht="15.75" customHeight="1">
      <c r="A37" s="8">
        <v>36</v>
      </c>
      <c r="B37" s="104" t="s">
        <v>818</v>
      </c>
      <c r="C37" s="20" t="s">
        <v>819</v>
      </c>
      <c r="D37" s="159"/>
      <c r="E37" s="159"/>
      <c r="F37" s="159"/>
      <c r="G37" s="159"/>
      <c r="H37" s="159"/>
      <c r="I37" s="159"/>
      <c r="J37" s="159"/>
      <c r="K37" s="20">
        <v>50</v>
      </c>
      <c r="L37" s="204"/>
      <c r="M37" s="204">
        <v>50</v>
      </c>
      <c r="N37" s="167">
        <v>50</v>
      </c>
      <c r="O37" s="227"/>
      <c r="P37" s="178">
        <v>43087</v>
      </c>
      <c r="Q37" s="169">
        <v>43087</v>
      </c>
      <c r="R37" s="169">
        <v>43969</v>
      </c>
      <c r="S37" s="8" t="s">
        <v>170</v>
      </c>
      <c r="T37" s="167" t="s">
        <v>820</v>
      </c>
      <c r="U37" s="167" t="s">
        <v>821</v>
      </c>
      <c r="V37" s="167">
        <v>696545836</v>
      </c>
      <c r="W37" s="20"/>
      <c r="X37" s="20" t="s">
        <v>822</v>
      </c>
      <c r="Y37" s="20"/>
      <c r="Z37" s="20">
        <v>153</v>
      </c>
      <c r="AA37" s="204"/>
      <c r="AB37" s="20"/>
      <c r="AC37" s="20"/>
    </row>
    <row r="38" spans="1:29" ht="15.75" customHeight="1">
      <c r="A38" s="8">
        <v>37</v>
      </c>
      <c r="B38" s="104" t="s">
        <v>824</v>
      </c>
      <c r="C38" s="20" t="s">
        <v>825</v>
      </c>
      <c r="D38" s="159"/>
      <c r="E38" s="159"/>
      <c r="F38" s="159"/>
      <c r="G38" s="159"/>
      <c r="H38" s="159"/>
      <c r="I38" s="159"/>
      <c r="J38" s="159"/>
      <c r="K38" s="159"/>
      <c r="L38" s="204">
        <v>50</v>
      </c>
      <c r="M38" s="204"/>
      <c r="N38" s="167"/>
      <c r="O38" s="227"/>
      <c r="P38" s="178">
        <v>43110</v>
      </c>
      <c r="Q38" s="169">
        <v>43110</v>
      </c>
      <c r="R38" s="169">
        <v>43110</v>
      </c>
      <c r="S38" s="8" t="s">
        <v>170</v>
      </c>
      <c r="T38" s="167" t="s">
        <v>826</v>
      </c>
      <c r="U38" s="167" t="s">
        <v>748</v>
      </c>
      <c r="V38" s="167">
        <v>782680373</v>
      </c>
      <c r="W38" s="20" t="s">
        <v>827</v>
      </c>
      <c r="X38" s="20" t="s">
        <v>828</v>
      </c>
      <c r="Y38" s="20"/>
      <c r="Z38" s="20">
        <v>154</v>
      </c>
      <c r="AA38" s="204"/>
      <c r="AB38" s="20"/>
      <c r="AC38" s="20"/>
    </row>
    <row r="39" spans="1:29" ht="15.75" customHeight="1">
      <c r="A39" s="8">
        <v>38</v>
      </c>
      <c r="B39" s="20" t="s">
        <v>296</v>
      </c>
      <c r="C39" s="20" t="s">
        <v>829</v>
      </c>
      <c r="D39" s="159"/>
      <c r="E39" s="159"/>
      <c r="F39" s="159"/>
      <c r="G39" s="159"/>
      <c r="H39" s="159"/>
      <c r="I39" s="159"/>
      <c r="J39" s="159"/>
      <c r="K39" s="159"/>
      <c r="L39" s="204">
        <v>50</v>
      </c>
      <c r="M39" s="204"/>
      <c r="N39" s="167"/>
      <c r="O39" s="227"/>
      <c r="P39" s="178">
        <v>43117</v>
      </c>
      <c r="Q39" s="169">
        <v>43118</v>
      </c>
      <c r="R39" s="169">
        <v>43118</v>
      </c>
      <c r="S39" s="8" t="s">
        <v>170</v>
      </c>
      <c r="T39" s="167" t="s">
        <v>830</v>
      </c>
      <c r="U39" s="167" t="s">
        <v>191</v>
      </c>
      <c r="V39" s="167">
        <v>532288356</v>
      </c>
      <c r="W39" s="20" t="s">
        <v>831</v>
      </c>
      <c r="X39" s="20" t="s">
        <v>832</v>
      </c>
      <c r="Y39" s="20"/>
      <c r="Z39" s="20">
        <v>155</v>
      </c>
      <c r="AA39" s="204"/>
      <c r="AB39" s="20" t="s">
        <v>833</v>
      </c>
      <c r="AC39" s="20"/>
    </row>
    <row r="40" spans="1:29" ht="15.75" customHeight="1">
      <c r="A40" s="8">
        <v>39</v>
      </c>
      <c r="B40" s="20" t="s">
        <v>618</v>
      </c>
      <c r="C40" s="20" t="s">
        <v>834</v>
      </c>
      <c r="D40" s="159"/>
      <c r="E40" s="159"/>
      <c r="F40" s="159"/>
      <c r="G40" s="159"/>
      <c r="H40" s="159"/>
      <c r="I40" s="159"/>
      <c r="J40" s="159"/>
      <c r="K40" s="159"/>
      <c r="L40" s="204">
        <v>50</v>
      </c>
      <c r="M40" s="204"/>
      <c r="N40" s="167"/>
      <c r="O40" s="227"/>
      <c r="P40" s="178">
        <v>43126</v>
      </c>
      <c r="Q40" s="169">
        <v>43129</v>
      </c>
      <c r="R40" s="169">
        <v>43129</v>
      </c>
      <c r="S40" s="8" t="s">
        <v>170</v>
      </c>
      <c r="T40" s="167" t="s">
        <v>835</v>
      </c>
      <c r="U40" s="167" t="s">
        <v>836</v>
      </c>
      <c r="V40" s="167">
        <v>539923904</v>
      </c>
      <c r="W40" s="20" t="s">
        <v>837</v>
      </c>
      <c r="X40" s="20" t="s">
        <v>838</v>
      </c>
      <c r="Y40" s="20"/>
      <c r="Z40" s="20">
        <v>156</v>
      </c>
      <c r="AA40" s="204"/>
      <c r="AB40" s="20"/>
      <c r="AC40" s="20"/>
    </row>
    <row r="41" spans="1:29" ht="15.75" customHeight="1">
      <c r="A41" s="8">
        <v>40</v>
      </c>
      <c r="B41" s="20" t="s">
        <v>839</v>
      </c>
      <c r="C41" s="20" t="s">
        <v>840</v>
      </c>
      <c r="D41" s="159"/>
      <c r="E41" s="159"/>
      <c r="F41" s="159"/>
      <c r="G41" s="159"/>
      <c r="H41" s="159"/>
      <c r="I41" s="159"/>
      <c r="J41" s="159"/>
      <c r="K41" s="159"/>
      <c r="L41" s="204">
        <v>50</v>
      </c>
      <c r="M41" s="204"/>
      <c r="N41" s="167"/>
      <c r="O41" s="227"/>
      <c r="P41" s="178">
        <v>43134</v>
      </c>
      <c r="Q41" s="169">
        <v>43134</v>
      </c>
      <c r="R41" s="169">
        <v>43134</v>
      </c>
      <c r="S41" s="8" t="s">
        <v>170</v>
      </c>
      <c r="T41" s="167" t="s">
        <v>841</v>
      </c>
      <c r="U41" s="167" t="s">
        <v>842</v>
      </c>
      <c r="V41" s="167">
        <v>698180922</v>
      </c>
      <c r="W41" s="20"/>
      <c r="X41" s="20" t="s">
        <v>843</v>
      </c>
      <c r="Y41" s="20"/>
      <c r="Z41" s="20">
        <v>157</v>
      </c>
      <c r="AA41" s="204"/>
      <c r="AB41" s="20" t="s">
        <v>844</v>
      </c>
      <c r="AC41" s="20"/>
    </row>
    <row r="42" spans="1:29" ht="15.75" customHeight="1">
      <c r="A42" s="8">
        <v>41</v>
      </c>
      <c r="B42" s="20" t="s">
        <v>759</v>
      </c>
      <c r="C42" s="20" t="s">
        <v>845</v>
      </c>
      <c r="D42" s="159"/>
      <c r="E42" s="159"/>
      <c r="F42" s="159"/>
      <c r="G42" s="159"/>
      <c r="H42" s="159"/>
      <c r="I42" s="159"/>
      <c r="J42" s="159"/>
      <c r="K42" s="159"/>
      <c r="L42" s="204">
        <v>50</v>
      </c>
      <c r="M42" s="204"/>
      <c r="N42" s="167"/>
      <c r="O42" s="227"/>
      <c r="P42" s="178">
        <v>43136</v>
      </c>
      <c r="Q42" s="169">
        <v>43136</v>
      </c>
      <c r="R42" s="169">
        <v>43136</v>
      </c>
      <c r="S42" s="8" t="s">
        <v>170</v>
      </c>
      <c r="T42" s="167" t="s">
        <v>846</v>
      </c>
      <c r="U42" s="167" t="s">
        <v>847</v>
      </c>
      <c r="V42" s="167">
        <v>515042238</v>
      </c>
      <c r="W42" s="20"/>
      <c r="X42" s="20" t="s">
        <v>848</v>
      </c>
      <c r="Y42" s="20"/>
      <c r="Z42" s="20">
        <v>158</v>
      </c>
      <c r="AA42" s="204"/>
      <c r="AB42" s="20" t="s">
        <v>849</v>
      </c>
      <c r="AC42" s="20"/>
    </row>
    <row r="43" spans="1:29" ht="15.75" customHeight="1">
      <c r="A43" s="8">
        <v>42</v>
      </c>
      <c r="B43" s="20" t="s">
        <v>850</v>
      </c>
      <c r="C43" s="20" t="s">
        <v>851</v>
      </c>
      <c r="D43" s="159"/>
      <c r="E43" s="159"/>
      <c r="F43" s="159"/>
      <c r="G43" s="159"/>
      <c r="H43" s="159"/>
      <c r="I43" s="159"/>
      <c r="J43" s="159"/>
      <c r="K43" s="159"/>
      <c r="L43" s="204">
        <v>50</v>
      </c>
      <c r="M43" s="204"/>
      <c r="N43" s="167"/>
      <c r="O43" s="227"/>
      <c r="P43" s="178">
        <v>43146</v>
      </c>
      <c r="Q43" s="169">
        <v>43147</v>
      </c>
      <c r="R43" s="169">
        <v>43147</v>
      </c>
      <c r="S43" s="8" t="s">
        <v>170</v>
      </c>
      <c r="T43" s="167" t="s">
        <v>852</v>
      </c>
      <c r="U43" s="167" t="s">
        <v>853</v>
      </c>
      <c r="V43" s="167">
        <v>609835895</v>
      </c>
      <c r="W43" s="20"/>
      <c r="X43" s="20" t="s">
        <v>854</v>
      </c>
      <c r="Y43" s="20"/>
      <c r="Z43" s="20">
        <v>159</v>
      </c>
      <c r="AA43" s="204"/>
      <c r="AB43" s="20"/>
      <c r="AC43" s="20"/>
    </row>
    <row r="44" spans="1:29" ht="15.75" customHeight="1">
      <c r="A44" s="8">
        <v>43</v>
      </c>
      <c r="B44" s="20" t="s">
        <v>543</v>
      </c>
      <c r="C44" s="20" t="s">
        <v>855</v>
      </c>
      <c r="D44" s="159"/>
      <c r="E44" s="159"/>
      <c r="F44" s="159"/>
      <c r="G44" s="159"/>
      <c r="H44" s="159"/>
      <c r="I44" s="159"/>
      <c r="J44" s="159"/>
      <c r="K44" s="159"/>
      <c r="L44" s="204">
        <v>50</v>
      </c>
      <c r="M44" s="204"/>
      <c r="N44" s="167"/>
      <c r="O44" s="227"/>
      <c r="P44" s="178">
        <v>43151</v>
      </c>
      <c r="Q44" s="169">
        <v>43152</v>
      </c>
      <c r="R44" s="169">
        <v>43152</v>
      </c>
      <c r="S44" s="8" t="s">
        <v>170</v>
      </c>
      <c r="T44" s="167" t="s">
        <v>856</v>
      </c>
      <c r="U44" s="167" t="s">
        <v>321</v>
      </c>
      <c r="V44" s="167">
        <v>601069973</v>
      </c>
      <c r="W44" s="20"/>
      <c r="X44" s="20" t="s">
        <v>857</v>
      </c>
      <c r="Y44" s="20"/>
      <c r="Z44" s="20">
        <v>160</v>
      </c>
      <c r="AA44" s="204"/>
      <c r="AB44" s="20"/>
      <c r="AC44" s="20"/>
    </row>
    <row r="45" spans="1:29" ht="15.75" customHeight="1">
      <c r="A45" s="8">
        <v>44</v>
      </c>
      <c r="B45" s="20" t="s">
        <v>21</v>
      </c>
      <c r="C45" s="20" t="s">
        <v>1167</v>
      </c>
      <c r="D45" s="159"/>
      <c r="E45" s="159"/>
      <c r="F45" s="159"/>
      <c r="G45" s="159"/>
      <c r="H45" s="159"/>
      <c r="I45" s="159"/>
      <c r="J45" s="159"/>
      <c r="K45" s="159"/>
      <c r="L45" s="204">
        <v>50</v>
      </c>
      <c r="M45" s="204">
        <v>50</v>
      </c>
      <c r="N45" s="167">
        <v>50</v>
      </c>
      <c r="O45" s="234">
        <v>50</v>
      </c>
      <c r="P45" s="178">
        <v>43153</v>
      </c>
      <c r="Q45" s="169">
        <v>43153</v>
      </c>
      <c r="R45" s="169">
        <v>44475</v>
      </c>
      <c r="S45" s="8" t="s">
        <v>15</v>
      </c>
      <c r="T45" s="208" t="s">
        <v>859</v>
      </c>
      <c r="U45" s="208" t="s">
        <v>860</v>
      </c>
      <c r="V45" s="167">
        <v>510180652</v>
      </c>
      <c r="W45" s="20" t="s">
        <v>861</v>
      </c>
      <c r="X45" s="20" t="s">
        <v>862</v>
      </c>
      <c r="Y45" s="20"/>
      <c r="Z45" s="20">
        <v>161</v>
      </c>
      <c r="AA45" s="204"/>
      <c r="AB45" s="20" t="s">
        <v>863</v>
      </c>
      <c r="AC45" s="20" t="s">
        <v>997</v>
      </c>
    </row>
    <row r="46" spans="1:29" ht="15.75" customHeight="1">
      <c r="A46" s="8">
        <v>45</v>
      </c>
      <c r="B46" s="20" t="s">
        <v>239</v>
      </c>
      <c r="C46" s="20" t="s">
        <v>864</v>
      </c>
      <c r="D46" s="159"/>
      <c r="E46" s="159"/>
      <c r="F46" s="159"/>
      <c r="G46" s="159"/>
      <c r="H46" s="159"/>
      <c r="I46" s="159"/>
      <c r="J46" s="159"/>
      <c r="K46" s="159"/>
      <c r="L46" s="204">
        <v>50</v>
      </c>
      <c r="M46" s="204">
        <v>50</v>
      </c>
      <c r="N46" s="167"/>
      <c r="O46" s="227">
        <v>50</v>
      </c>
      <c r="P46" s="178">
        <v>43156</v>
      </c>
      <c r="Q46" s="169">
        <v>43157</v>
      </c>
      <c r="R46" s="169">
        <v>44337</v>
      </c>
      <c r="S46" s="8" t="s">
        <v>170</v>
      </c>
      <c r="T46" s="167" t="s">
        <v>865</v>
      </c>
      <c r="U46" s="167" t="s">
        <v>866</v>
      </c>
      <c r="V46" s="167">
        <v>884952721</v>
      </c>
      <c r="W46" s="20"/>
      <c r="X46" s="20" t="s">
        <v>867</v>
      </c>
      <c r="Y46" s="20"/>
      <c r="Z46" s="20">
        <v>162</v>
      </c>
      <c r="AA46" s="204"/>
      <c r="AB46" s="20" t="s">
        <v>868</v>
      </c>
      <c r="AC46" s="20"/>
    </row>
    <row r="47" spans="1:29" ht="15.75" customHeight="1">
      <c r="A47" s="8">
        <v>46</v>
      </c>
      <c r="B47" s="20" t="s">
        <v>645</v>
      </c>
      <c r="C47" s="20" t="s">
        <v>870</v>
      </c>
      <c r="D47" s="159"/>
      <c r="E47" s="159"/>
      <c r="F47" s="159"/>
      <c r="G47" s="159"/>
      <c r="H47" s="159"/>
      <c r="I47" s="159"/>
      <c r="J47" s="159"/>
      <c r="K47" s="159"/>
      <c r="L47" s="204">
        <v>50</v>
      </c>
      <c r="M47" s="204">
        <v>50</v>
      </c>
      <c r="N47" s="167"/>
      <c r="O47" s="227"/>
      <c r="P47" s="178">
        <v>43165</v>
      </c>
      <c r="Q47" s="169">
        <v>43165</v>
      </c>
      <c r="R47" s="169">
        <v>43530</v>
      </c>
      <c r="S47" s="8" t="s">
        <v>170</v>
      </c>
      <c r="T47" s="167" t="s">
        <v>871</v>
      </c>
      <c r="U47" s="167" t="s">
        <v>872</v>
      </c>
      <c r="V47" s="167">
        <v>693762620</v>
      </c>
      <c r="W47" s="20"/>
      <c r="X47" s="20" t="s">
        <v>873</v>
      </c>
      <c r="Y47" s="20"/>
      <c r="Z47" s="20">
        <v>163</v>
      </c>
      <c r="AA47" s="204"/>
      <c r="AB47" s="20" t="s">
        <v>874</v>
      </c>
      <c r="AC47" s="20"/>
    </row>
    <row r="48" spans="1:29" ht="15.75" customHeight="1">
      <c r="A48" s="8">
        <v>47</v>
      </c>
      <c r="B48" s="20" t="s">
        <v>559</v>
      </c>
      <c r="C48" s="20" t="s">
        <v>875</v>
      </c>
      <c r="D48" s="159"/>
      <c r="E48" s="159"/>
      <c r="F48" s="159"/>
      <c r="G48" s="159"/>
      <c r="H48" s="159"/>
      <c r="I48" s="159"/>
      <c r="J48" s="159"/>
      <c r="K48" s="159"/>
      <c r="L48" s="204">
        <v>50</v>
      </c>
      <c r="M48" s="204"/>
      <c r="N48" s="167"/>
      <c r="O48" s="227"/>
      <c r="P48" s="178">
        <v>43169</v>
      </c>
      <c r="Q48" s="169">
        <v>43171</v>
      </c>
      <c r="R48" s="169">
        <v>43171</v>
      </c>
      <c r="S48" s="8" t="s">
        <v>170</v>
      </c>
      <c r="T48" s="167" t="s">
        <v>876</v>
      </c>
      <c r="U48" s="167" t="s">
        <v>877</v>
      </c>
      <c r="V48" s="186">
        <v>664756377</v>
      </c>
      <c r="W48" s="20" t="s">
        <v>878</v>
      </c>
      <c r="X48" s="20" t="s">
        <v>879</v>
      </c>
      <c r="Y48" s="20"/>
      <c r="Z48" s="20">
        <v>164</v>
      </c>
      <c r="AA48" s="204"/>
      <c r="AB48" s="20" t="s">
        <v>880</v>
      </c>
      <c r="AC48" s="20"/>
    </row>
    <row r="49" spans="1:29" ht="15.75" customHeight="1">
      <c r="A49" s="8">
        <v>48</v>
      </c>
      <c r="B49" s="20" t="s">
        <v>881</v>
      </c>
      <c r="C49" s="20" t="s">
        <v>882</v>
      </c>
      <c r="D49" s="159"/>
      <c r="E49" s="159"/>
      <c r="F49" s="159"/>
      <c r="G49" s="159"/>
      <c r="H49" s="159"/>
      <c r="I49" s="159"/>
      <c r="J49" s="159"/>
      <c r="K49" s="159"/>
      <c r="L49" s="204">
        <v>50</v>
      </c>
      <c r="M49" s="204"/>
      <c r="N49" s="167"/>
      <c r="O49" s="227"/>
      <c r="P49" s="178">
        <v>43179</v>
      </c>
      <c r="Q49" s="169">
        <v>43179</v>
      </c>
      <c r="R49" s="169">
        <v>43179</v>
      </c>
      <c r="S49" s="8" t="s">
        <v>170</v>
      </c>
      <c r="T49" s="167" t="s">
        <v>883</v>
      </c>
      <c r="U49" s="167" t="s">
        <v>884</v>
      </c>
      <c r="V49" s="186">
        <v>509587470</v>
      </c>
      <c r="W49" s="20" t="s">
        <v>885</v>
      </c>
      <c r="X49" s="20" t="s">
        <v>886</v>
      </c>
      <c r="Y49" s="210">
        <v>781808626</v>
      </c>
      <c r="Z49" s="20">
        <v>165</v>
      </c>
      <c r="AA49" s="204"/>
      <c r="AB49" s="20"/>
      <c r="AC49" s="20"/>
    </row>
    <row r="50" spans="1:29" ht="15.75" customHeight="1">
      <c r="A50" s="8">
        <v>49</v>
      </c>
      <c r="B50" s="20" t="s">
        <v>568</v>
      </c>
      <c r="C50" s="20" t="s">
        <v>887</v>
      </c>
      <c r="D50" s="159"/>
      <c r="E50" s="159"/>
      <c r="F50" s="159"/>
      <c r="G50" s="159"/>
      <c r="H50" s="159"/>
      <c r="I50" s="159"/>
      <c r="J50" s="159"/>
      <c r="K50" s="159"/>
      <c r="L50" s="204">
        <v>50</v>
      </c>
      <c r="M50" s="204"/>
      <c r="N50" s="167"/>
      <c r="O50" s="227"/>
      <c r="P50" s="178">
        <v>43193</v>
      </c>
      <c r="Q50" s="169">
        <v>43194</v>
      </c>
      <c r="R50" s="169">
        <v>43194</v>
      </c>
      <c r="S50" s="8" t="s">
        <v>170</v>
      </c>
      <c r="T50" s="167" t="s">
        <v>888</v>
      </c>
      <c r="U50" s="167" t="s">
        <v>889</v>
      </c>
      <c r="V50" s="167">
        <v>731996984</v>
      </c>
      <c r="W50" s="20"/>
      <c r="X50" s="20" t="s">
        <v>890</v>
      </c>
      <c r="Y50" s="20"/>
      <c r="Z50" s="20">
        <v>166</v>
      </c>
      <c r="AA50" s="204"/>
      <c r="AB50" s="20"/>
      <c r="AC50" s="20"/>
    </row>
    <row r="51" spans="1:29" ht="15.75" customHeight="1">
      <c r="A51" s="8">
        <v>50</v>
      </c>
      <c r="B51" s="20" t="s">
        <v>476</v>
      </c>
      <c r="C51" s="20" t="s">
        <v>891</v>
      </c>
      <c r="D51" s="159"/>
      <c r="E51" s="159"/>
      <c r="F51" s="159"/>
      <c r="G51" s="159"/>
      <c r="H51" s="159"/>
      <c r="I51" s="159"/>
      <c r="J51" s="159"/>
      <c r="K51" s="159"/>
      <c r="L51" s="204">
        <v>50</v>
      </c>
      <c r="M51" s="204"/>
      <c r="N51" s="10">
        <v>50</v>
      </c>
      <c r="O51" s="234">
        <v>50</v>
      </c>
      <c r="P51" s="178">
        <v>43194</v>
      </c>
      <c r="Q51" s="169">
        <v>43195</v>
      </c>
      <c r="R51" s="169">
        <v>44474</v>
      </c>
      <c r="S51" s="8" t="s">
        <v>170</v>
      </c>
      <c r="T51" s="167" t="s">
        <v>892</v>
      </c>
      <c r="U51" s="167" t="s">
        <v>893</v>
      </c>
      <c r="V51" s="167">
        <v>788790612</v>
      </c>
      <c r="W51" s="20"/>
      <c r="X51" s="20" t="s">
        <v>894</v>
      </c>
      <c r="Y51" s="20"/>
      <c r="Z51" s="20">
        <v>167</v>
      </c>
      <c r="AA51" s="204"/>
      <c r="AB51" s="20"/>
      <c r="AC51" s="20"/>
    </row>
    <row r="52" spans="1:29" ht="15.75" customHeight="1">
      <c r="A52" s="8">
        <v>51</v>
      </c>
      <c r="B52" s="20" t="s">
        <v>895</v>
      </c>
      <c r="C52" s="20" t="s">
        <v>896</v>
      </c>
      <c r="D52" s="159"/>
      <c r="E52" s="159"/>
      <c r="F52" s="159"/>
      <c r="G52" s="159"/>
      <c r="H52" s="159"/>
      <c r="I52" s="159"/>
      <c r="J52" s="159"/>
      <c r="K52" s="159"/>
      <c r="L52" s="204">
        <v>50</v>
      </c>
      <c r="M52" s="204">
        <v>50</v>
      </c>
      <c r="N52" s="167"/>
      <c r="O52" s="227">
        <v>50</v>
      </c>
      <c r="P52" s="178">
        <v>43200</v>
      </c>
      <c r="Q52" s="169">
        <v>43201</v>
      </c>
      <c r="R52" s="169">
        <v>44264</v>
      </c>
      <c r="S52" s="8" t="s">
        <v>170</v>
      </c>
      <c r="T52" s="167" t="s">
        <v>897</v>
      </c>
      <c r="U52" s="167" t="s">
        <v>898</v>
      </c>
      <c r="V52" s="167">
        <v>733766151</v>
      </c>
      <c r="W52" s="20"/>
      <c r="X52" s="20" t="s">
        <v>899</v>
      </c>
      <c r="Y52" s="20"/>
      <c r="Z52" s="20">
        <v>168</v>
      </c>
      <c r="AA52" s="204"/>
      <c r="AB52" s="20" t="s">
        <v>900</v>
      </c>
      <c r="AC52" s="20"/>
    </row>
    <row r="53" spans="1:29" ht="15.75" customHeight="1">
      <c r="A53" s="8">
        <v>52</v>
      </c>
      <c r="B53" s="20" t="s">
        <v>194</v>
      </c>
      <c r="C53" s="20" t="s">
        <v>901</v>
      </c>
      <c r="D53" s="159"/>
      <c r="E53" s="159"/>
      <c r="F53" s="159"/>
      <c r="G53" s="159"/>
      <c r="H53" s="159"/>
      <c r="I53" s="159"/>
      <c r="J53" s="159"/>
      <c r="K53" s="159"/>
      <c r="L53" s="204">
        <v>50</v>
      </c>
      <c r="M53" s="204">
        <v>50</v>
      </c>
      <c r="N53" s="167">
        <v>50</v>
      </c>
      <c r="O53" s="227"/>
      <c r="P53" s="178">
        <v>43209</v>
      </c>
      <c r="Q53" s="169">
        <v>43209</v>
      </c>
      <c r="R53" s="169">
        <v>43969</v>
      </c>
      <c r="S53" s="8" t="s">
        <v>170</v>
      </c>
      <c r="T53" s="167" t="s">
        <v>902</v>
      </c>
      <c r="U53" s="167" t="s">
        <v>903</v>
      </c>
      <c r="V53" s="167">
        <v>514494038</v>
      </c>
      <c r="W53" s="20"/>
      <c r="X53" s="20" t="s">
        <v>904</v>
      </c>
      <c r="Y53" s="20"/>
      <c r="Z53" s="20">
        <v>169</v>
      </c>
      <c r="AA53" s="204"/>
      <c r="AB53" s="20"/>
      <c r="AC53" s="20"/>
    </row>
    <row r="54" spans="1:29" ht="15.75" customHeight="1">
      <c r="A54" s="8">
        <v>53</v>
      </c>
      <c r="B54" s="20" t="s">
        <v>905</v>
      </c>
      <c r="C54" s="20" t="s">
        <v>906</v>
      </c>
      <c r="D54" s="159"/>
      <c r="E54" s="159"/>
      <c r="F54" s="159"/>
      <c r="G54" s="159"/>
      <c r="H54" s="159"/>
      <c r="I54" s="159"/>
      <c r="J54" s="159"/>
      <c r="K54" s="159"/>
      <c r="L54" s="204">
        <v>50</v>
      </c>
      <c r="M54" s="204">
        <v>50</v>
      </c>
      <c r="N54" s="167"/>
      <c r="O54" s="227"/>
      <c r="P54" s="178">
        <v>43210</v>
      </c>
      <c r="Q54" s="169">
        <v>43213</v>
      </c>
      <c r="R54" s="169">
        <v>43789</v>
      </c>
      <c r="S54" s="8" t="s">
        <v>170</v>
      </c>
      <c r="T54" s="167" t="s">
        <v>998</v>
      </c>
      <c r="U54" s="167" t="s">
        <v>999</v>
      </c>
      <c r="V54" s="167">
        <v>781363705</v>
      </c>
      <c r="W54" s="20"/>
      <c r="X54" s="20" t="s">
        <v>908</v>
      </c>
      <c r="Y54" s="20"/>
      <c r="Z54" s="20">
        <v>170</v>
      </c>
      <c r="AA54" s="204"/>
      <c r="AB54" s="141" t="s">
        <v>1000</v>
      </c>
      <c r="AC54" s="20" t="s">
        <v>1001</v>
      </c>
    </row>
    <row r="55" spans="1:29" ht="15.75" customHeight="1">
      <c r="A55" s="8">
        <v>54</v>
      </c>
      <c r="B55" s="20" t="s">
        <v>910</v>
      </c>
      <c r="C55" s="20" t="s">
        <v>702</v>
      </c>
      <c r="D55" s="159"/>
      <c r="E55" s="159"/>
      <c r="F55" s="159"/>
      <c r="G55" s="159"/>
      <c r="H55" s="159"/>
      <c r="I55" s="159"/>
      <c r="J55" s="159"/>
      <c r="K55" s="159"/>
      <c r="L55" s="204">
        <v>50</v>
      </c>
      <c r="M55" s="204"/>
      <c r="N55" s="167">
        <v>50</v>
      </c>
      <c r="O55" s="227">
        <v>50</v>
      </c>
      <c r="P55" s="178">
        <v>43212</v>
      </c>
      <c r="Q55" s="169">
        <v>43213</v>
      </c>
      <c r="R55" s="169">
        <v>44337</v>
      </c>
      <c r="S55" s="8" t="s">
        <v>170</v>
      </c>
      <c r="T55" s="167" t="s">
        <v>1363</v>
      </c>
      <c r="U55" s="167" t="s">
        <v>1364</v>
      </c>
      <c r="V55" s="167">
        <v>794381301</v>
      </c>
      <c r="W55" s="20"/>
      <c r="X55" s="20" t="s">
        <v>911</v>
      </c>
      <c r="Y55" s="20"/>
      <c r="Z55" s="20">
        <v>171</v>
      </c>
      <c r="AA55" s="204"/>
      <c r="AB55" s="20" t="s">
        <v>912</v>
      </c>
      <c r="AC55" s="20"/>
    </row>
    <row r="56" spans="1:29" ht="15.75" customHeight="1">
      <c r="A56" s="8">
        <v>55</v>
      </c>
      <c r="B56" s="20" t="s">
        <v>913</v>
      </c>
      <c r="C56" s="20" t="s">
        <v>914</v>
      </c>
      <c r="D56" s="159"/>
      <c r="E56" s="159"/>
      <c r="F56" s="159"/>
      <c r="G56" s="159"/>
      <c r="H56" s="159"/>
      <c r="I56" s="159"/>
      <c r="J56" s="159"/>
      <c r="K56" s="159"/>
      <c r="L56" s="204">
        <v>50</v>
      </c>
      <c r="M56" s="204"/>
      <c r="N56" s="167"/>
      <c r="O56" s="227"/>
      <c r="P56" s="178">
        <v>43230</v>
      </c>
      <c r="Q56" s="169">
        <v>43231</v>
      </c>
      <c r="R56" s="169">
        <v>43231</v>
      </c>
      <c r="S56" s="8" t="s">
        <v>170</v>
      </c>
      <c r="T56" s="167" t="s">
        <v>915</v>
      </c>
      <c r="U56" s="167" t="s">
        <v>916</v>
      </c>
      <c r="V56" s="167">
        <v>519562001</v>
      </c>
      <c r="W56" s="20"/>
      <c r="X56" s="20" t="s">
        <v>917</v>
      </c>
      <c r="Y56" s="20"/>
      <c r="Z56" s="20">
        <v>172</v>
      </c>
      <c r="AA56" s="204"/>
      <c r="AB56" s="20" t="s">
        <v>918</v>
      </c>
      <c r="AC56" s="20"/>
    </row>
    <row r="57" spans="1:29" ht="15.75" customHeight="1">
      <c r="A57" s="8">
        <v>56</v>
      </c>
      <c r="B57" s="20" t="s">
        <v>919</v>
      </c>
      <c r="C57" s="20" t="s">
        <v>920</v>
      </c>
      <c r="D57" s="159"/>
      <c r="E57" s="159"/>
      <c r="F57" s="159"/>
      <c r="G57" s="159"/>
      <c r="H57" s="159"/>
      <c r="I57" s="159"/>
      <c r="J57" s="159"/>
      <c r="K57" s="159"/>
      <c r="L57" s="204">
        <v>50</v>
      </c>
      <c r="M57" s="204"/>
      <c r="N57" s="167">
        <v>50</v>
      </c>
      <c r="O57" s="227"/>
      <c r="P57" s="178">
        <v>43237</v>
      </c>
      <c r="Q57" s="169">
        <v>43238</v>
      </c>
      <c r="R57" s="169">
        <v>44140</v>
      </c>
      <c r="S57" s="8" t="s">
        <v>170</v>
      </c>
      <c r="T57" s="167" t="s">
        <v>921</v>
      </c>
      <c r="U57" s="167" t="s">
        <v>922</v>
      </c>
      <c r="V57" s="167">
        <v>514945980</v>
      </c>
      <c r="W57" s="20"/>
      <c r="X57" s="20" t="s">
        <v>923</v>
      </c>
      <c r="Y57" s="20"/>
      <c r="Z57" s="20">
        <v>173</v>
      </c>
      <c r="AA57" s="204"/>
      <c r="AB57" s="20" t="s">
        <v>919</v>
      </c>
      <c r="AC57" s="20"/>
    </row>
    <row r="58" spans="1:29" ht="15.75" customHeight="1">
      <c r="A58" s="8">
        <v>57</v>
      </c>
      <c r="B58" s="20" t="s">
        <v>924</v>
      </c>
      <c r="C58" s="20" t="s">
        <v>925</v>
      </c>
      <c r="D58" s="159"/>
      <c r="E58" s="159"/>
      <c r="F58" s="159"/>
      <c r="G58" s="159"/>
      <c r="H58" s="159"/>
      <c r="I58" s="159"/>
      <c r="J58" s="159"/>
      <c r="K58" s="159"/>
      <c r="L58" s="204">
        <v>50</v>
      </c>
      <c r="M58" s="204"/>
      <c r="N58" s="167"/>
      <c r="O58" s="227"/>
      <c r="P58" s="178">
        <v>43245</v>
      </c>
      <c r="Q58" s="169">
        <v>43245</v>
      </c>
      <c r="R58" s="169">
        <v>43245</v>
      </c>
      <c r="S58" s="8" t="s">
        <v>170</v>
      </c>
      <c r="T58" s="167" t="s">
        <v>926</v>
      </c>
      <c r="U58" s="167" t="s">
        <v>927</v>
      </c>
      <c r="V58" s="167">
        <v>509900664</v>
      </c>
      <c r="W58" s="20"/>
      <c r="X58" s="20" t="s">
        <v>928</v>
      </c>
      <c r="Y58" s="20"/>
      <c r="Z58" s="20">
        <v>174</v>
      </c>
      <c r="AA58" s="204"/>
      <c r="AB58" s="20"/>
      <c r="AC58" s="20" t="s">
        <v>929</v>
      </c>
    </row>
    <row r="59" spans="1:29" ht="15.75" customHeight="1">
      <c r="A59" s="8">
        <v>58</v>
      </c>
      <c r="B59" s="20" t="s">
        <v>930</v>
      </c>
      <c r="C59" s="20" t="s">
        <v>931</v>
      </c>
      <c r="D59" s="159"/>
      <c r="E59" s="159"/>
      <c r="F59" s="159"/>
      <c r="G59" s="159"/>
      <c r="H59" s="159"/>
      <c r="I59" s="159"/>
      <c r="J59" s="159"/>
      <c r="K59" s="159"/>
      <c r="L59" s="204">
        <v>50</v>
      </c>
      <c r="M59" s="204"/>
      <c r="N59" s="167"/>
      <c r="O59" s="227"/>
      <c r="P59" s="178">
        <v>43246</v>
      </c>
      <c r="Q59" s="169">
        <v>43248</v>
      </c>
      <c r="R59" s="169">
        <v>43248</v>
      </c>
      <c r="S59" s="8" t="s">
        <v>170</v>
      </c>
      <c r="T59" s="167" t="s">
        <v>932</v>
      </c>
      <c r="U59" s="167" t="s">
        <v>933</v>
      </c>
      <c r="V59" s="186">
        <v>531361998</v>
      </c>
      <c r="W59" s="20"/>
      <c r="X59" s="20" t="s">
        <v>934</v>
      </c>
      <c r="Y59" s="20"/>
      <c r="Z59" s="20">
        <v>175</v>
      </c>
      <c r="AA59" s="204"/>
      <c r="AB59" s="20"/>
      <c r="AC59" s="20"/>
    </row>
    <row r="60" spans="1:29" ht="15.75" customHeight="1">
      <c r="A60" s="8">
        <v>59</v>
      </c>
      <c r="B60" s="20" t="s">
        <v>481</v>
      </c>
      <c r="C60" s="20" t="s">
        <v>935</v>
      </c>
      <c r="D60" s="159"/>
      <c r="E60" s="159"/>
      <c r="F60" s="159"/>
      <c r="G60" s="159"/>
      <c r="H60" s="159"/>
      <c r="I60" s="159"/>
      <c r="J60" s="159"/>
      <c r="K60" s="159"/>
      <c r="L60" s="204">
        <v>50</v>
      </c>
      <c r="M60" s="204"/>
      <c r="N60" s="167"/>
      <c r="O60" s="227"/>
      <c r="P60" s="178">
        <v>43261</v>
      </c>
      <c r="Q60" s="169">
        <v>43262</v>
      </c>
      <c r="R60" s="169">
        <v>43262</v>
      </c>
      <c r="S60" s="8" t="s">
        <v>170</v>
      </c>
      <c r="T60" s="167" t="s">
        <v>936</v>
      </c>
      <c r="U60" s="167" t="s">
        <v>937</v>
      </c>
      <c r="V60" s="167">
        <v>601200235</v>
      </c>
      <c r="W60" s="20" t="s">
        <v>938</v>
      </c>
      <c r="X60" s="20" t="s">
        <v>939</v>
      </c>
      <c r="Y60" s="20"/>
      <c r="Z60" s="20">
        <v>176</v>
      </c>
      <c r="AA60" s="204"/>
      <c r="AB60" s="20"/>
      <c r="AC60" s="20"/>
    </row>
    <row r="61" spans="1:29" ht="15.75" customHeight="1">
      <c r="A61" s="8">
        <v>60</v>
      </c>
      <c r="B61" s="20" t="s">
        <v>940</v>
      </c>
      <c r="C61" s="20" t="s">
        <v>941</v>
      </c>
      <c r="D61" s="159"/>
      <c r="E61" s="159"/>
      <c r="F61" s="159"/>
      <c r="G61" s="159"/>
      <c r="H61" s="159"/>
      <c r="I61" s="159"/>
      <c r="J61" s="159"/>
      <c r="K61" s="159"/>
      <c r="L61" s="204">
        <v>50</v>
      </c>
      <c r="M61" s="204"/>
      <c r="N61" s="167">
        <v>50</v>
      </c>
      <c r="O61" s="234">
        <v>50</v>
      </c>
      <c r="P61" s="178">
        <v>43275</v>
      </c>
      <c r="Q61" s="169">
        <v>43276</v>
      </c>
      <c r="R61" s="169">
        <v>44475</v>
      </c>
      <c r="S61" s="8" t="s">
        <v>170</v>
      </c>
      <c r="T61" s="167" t="s">
        <v>942</v>
      </c>
      <c r="U61" s="167" t="s">
        <v>943</v>
      </c>
      <c r="V61" s="167">
        <v>690982541</v>
      </c>
      <c r="W61" s="20"/>
      <c r="X61" s="20" t="s">
        <v>944</v>
      </c>
      <c r="Y61" s="20"/>
      <c r="Z61" s="20">
        <v>177</v>
      </c>
      <c r="AA61" s="204"/>
      <c r="AB61" s="20"/>
      <c r="AC61" s="20"/>
    </row>
    <row r="62" spans="1:29" ht="15.75" customHeight="1">
      <c r="A62" s="8">
        <v>61</v>
      </c>
      <c r="B62" s="20" t="s">
        <v>924</v>
      </c>
      <c r="C62" s="20" t="s">
        <v>945</v>
      </c>
      <c r="D62" s="159"/>
      <c r="E62" s="159"/>
      <c r="F62" s="159"/>
      <c r="G62" s="159"/>
      <c r="H62" s="159"/>
      <c r="I62" s="159"/>
      <c r="J62" s="159"/>
      <c r="K62" s="159"/>
      <c r="L62" s="204">
        <v>50</v>
      </c>
      <c r="M62" s="204">
        <v>50</v>
      </c>
      <c r="N62" s="10">
        <v>50</v>
      </c>
      <c r="O62" s="234">
        <v>50</v>
      </c>
      <c r="P62" s="178">
        <v>43317</v>
      </c>
      <c r="Q62" s="169">
        <v>43318</v>
      </c>
      <c r="R62" s="169">
        <v>44438</v>
      </c>
      <c r="S62" s="8" t="s">
        <v>170</v>
      </c>
      <c r="T62" s="167" t="s">
        <v>946</v>
      </c>
      <c r="U62" s="167" t="s">
        <v>947</v>
      </c>
      <c r="V62" s="167">
        <v>607299999</v>
      </c>
      <c r="W62" s="20" t="s">
        <v>948</v>
      </c>
      <c r="X62" s="20" t="s">
        <v>949</v>
      </c>
      <c r="Y62" s="20"/>
      <c r="Z62" s="20">
        <v>178</v>
      </c>
      <c r="AA62" s="204"/>
      <c r="AB62" s="20"/>
      <c r="AC62" s="20"/>
    </row>
    <row r="63" spans="1:29" ht="15.75" customHeight="1">
      <c r="A63" s="8">
        <v>62</v>
      </c>
      <c r="B63" s="20" t="s">
        <v>559</v>
      </c>
      <c r="C63" s="20" t="s">
        <v>128</v>
      </c>
      <c r="D63" s="159"/>
      <c r="E63" s="159"/>
      <c r="F63" s="159"/>
      <c r="G63" s="159"/>
      <c r="H63" s="159"/>
      <c r="I63" s="159"/>
      <c r="J63" s="159"/>
      <c r="K63" s="159"/>
      <c r="L63" s="204">
        <v>50</v>
      </c>
      <c r="M63" s="204"/>
      <c r="N63" s="167"/>
      <c r="O63" s="227"/>
      <c r="P63" s="178">
        <v>43333</v>
      </c>
      <c r="Q63" s="169">
        <v>43333</v>
      </c>
      <c r="R63" s="169">
        <v>43333</v>
      </c>
      <c r="S63" s="8" t="s">
        <v>170</v>
      </c>
      <c r="T63" s="167" t="s">
        <v>950</v>
      </c>
      <c r="U63" s="167" t="s">
        <v>951</v>
      </c>
      <c r="V63" s="186">
        <v>604516243</v>
      </c>
      <c r="W63" s="20" t="s">
        <v>952</v>
      </c>
      <c r="X63" s="20" t="s">
        <v>953</v>
      </c>
      <c r="Y63" s="20"/>
      <c r="Z63" s="20">
        <v>179</v>
      </c>
      <c r="AA63" s="204"/>
      <c r="AB63" s="20" t="s">
        <v>954</v>
      </c>
      <c r="AC63" s="20"/>
    </row>
    <row r="64" spans="1:29" ht="15.75" customHeight="1">
      <c r="A64" s="8">
        <v>63</v>
      </c>
      <c r="B64" s="20" t="s">
        <v>568</v>
      </c>
      <c r="C64" s="20" t="s">
        <v>116</v>
      </c>
      <c r="D64" s="159"/>
      <c r="E64" s="159"/>
      <c r="F64" s="159"/>
      <c r="G64" s="159"/>
      <c r="H64" s="159"/>
      <c r="I64" s="159"/>
      <c r="J64" s="159"/>
      <c r="K64" s="159"/>
      <c r="L64" s="204">
        <v>50</v>
      </c>
      <c r="M64" s="204"/>
      <c r="N64" s="167"/>
      <c r="O64" s="227"/>
      <c r="P64" s="178">
        <v>43341</v>
      </c>
      <c r="Q64" s="169">
        <v>43342</v>
      </c>
      <c r="R64" s="169">
        <v>43342</v>
      </c>
      <c r="S64" s="8" t="s">
        <v>170</v>
      </c>
      <c r="T64" s="167" t="s">
        <v>955</v>
      </c>
      <c r="U64" s="167" t="s">
        <v>956</v>
      </c>
      <c r="V64" s="167">
        <v>721120282</v>
      </c>
      <c r="W64" s="20"/>
      <c r="X64" s="20" t="s">
        <v>957</v>
      </c>
      <c r="Y64" s="20"/>
      <c r="Z64" s="20">
        <v>180</v>
      </c>
      <c r="AA64" s="204"/>
      <c r="AB64" s="20"/>
      <c r="AC64" s="20"/>
    </row>
    <row r="65" spans="1:29" ht="15.75" customHeight="1">
      <c r="A65" s="8">
        <v>64</v>
      </c>
      <c r="B65" s="20" t="s">
        <v>48</v>
      </c>
      <c r="C65" s="20" t="s">
        <v>958</v>
      </c>
      <c r="D65" s="159"/>
      <c r="E65" s="159"/>
      <c r="F65" s="159"/>
      <c r="G65" s="159"/>
      <c r="H65" s="159"/>
      <c r="I65" s="159"/>
      <c r="J65" s="159"/>
      <c r="K65" s="159"/>
      <c r="L65" s="204">
        <v>50</v>
      </c>
      <c r="M65" s="204"/>
      <c r="N65" s="167">
        <v>50</v>
      </c>
      <c r="O65" s="227"/>
      <c r="P65" s="178">
        <v>43353</v>
      </c>
      <c r="Q65" s="169">
        <v>43354</v>
      </c>
      <c r="R65" s="169">
        <v>43936</v>
      </c>
      <c r="S65" s="8" t="s">
        <v>170</v>
      </c>
      <c r="T65" s="167" t="s">
        <v>959</v>
      </c>
      <c r="U65" s="167" t="s">
        <v>960</v>
      </c>
      <c r="V65" s="186">
        <v>791142314</v>
      </c>
      <c r="W65" s="20"/>
      <c r="X65" s="20" t="s">
        <v>961</v>
      </c>
      <c r="Y65" s="20"/>
      <c r="Z65" s="20">
        <v>181</v>
      </c>
      <c r="AA65" s="204"/>
      <c r="AB65" s="20"/>
      <c r="AC65" s="20"/>
    </row>
    <row r="66" spans="1:29" ht="15.75" customHeight="1">
      <c r="A66" s="8">
        <v>65</v>
      </c>
      <c r="B66" s="20" t="s">
        <v>239</v>
      </c>
      <c r="C66" s="20" t="s">
        <v>962</v>
      </c>
      <c r="D66" s="159"/>
      <c r="E66" s="159"/>
      <c r="F66" s="159"/>
      <c r="G66" s="159"/>
      <c r="H66" s="159"/>
      <c r="I66" s="159"/>
      <c r="J66" s="159"/>
      <c r="K66" s="159"/>
      <c r="L66" s="204">
        <v>50</v>
      </c>
      <c r="M66" s="204"/>
      <c r="N66" s="167"/>
      <c r="O66" s="227"/>
      <c r="P66" s="178">
        <v>43368</v>
      </c>
      <c r="Q66" s="169">
        <v>43369</v>
      </c>
      <c r="R66" s="169">
        <v>43369</v>
      </c>
      <c r="S66" s="8" t="s">
        <v>170</v>
      </c>
      <c r="T66" s="167" t="s">
        <v>963</v>
      </c>
      <c r="U66" s="167" t="s">
        <v>964</v>
      </c>
      <c r="V66" s="186">
        <v>664733883</v>
      </c>
      <c r="W66" s="20"/>
      <c r="X66" s="20" t="s">
        <v>965</v>
      </c>
      <c r="Y66" s="20"/>
      <c r="Z66" s="20">
        <v>182</v>
      </c>
      <c r="AA66" s="204"/>
      <c r="AB66" s="20" t="s">
        <v>966</v>
      </c>
      <c r="AC66" s="20"/>
    </row>
    <row r="67" spans="1:29" ht="15.75" customHeight="1">
      <c r="A67" s="8">
        <v>66</v>
      </c>
      <c r="B67" s="20" t="s">
        <v>55</v>
      </c>
      <c r="C67" s="20" t="s">
        <v>402</v>
      </c>
      <c r="D67" s="159"/>
      <c r="E67" s="159"/>
      <c r="F67" s="159"/>
      <c r="G67" s="159"/>
      <c r="H67" s="159"/>
      <c r="I67" s="159"/>
      <c r="J67" s="159"/>
      <c r="K67" s="159"/>
      <c r="L67" s="204">
        <v>50</v>
      </c>
      <c r="M67" s="204"/>
      <c r="N67" s="167"/>
      <c r="O67" s="227"/>
      <c r="P67" s="178">
        <v>43397</v>
      </c>
      <c r="Q67" s="169">
        <v>43398</v>
      </c>
      <c r="R67" s="169">
        <v>43398</v>
      </c>
      <c r="S67" s="8" t="s">
        <v>170</v>
      </c>
      <c r="T67" s="167" t="s">
        <v>967</v>
      </c>
      <c r="U67" s="167" t="s">
        <v>968</v>
      </c>
      <c r="V67" s="167">
        <v>609295232</v>
      </c>
      <c r="W67" s="20"/>
      <c r="X67" s="20" t="s">
        <v>969</v>
      </c>
      <c r="Y67" s="20"/>
      <c r="Z67" s="20">
        <v>183</v>
      </c>
      <c r="AA67" s="204"/>
      <c r="AB67" s="20"/>
      <c r="AC67" s="20"/>
    </row>
    <row r="68" spans="1:29" ht="15.75" customHeight="1">
      <c r="A68" s="8">
        <v>67</v>
      </c>
      <c r="B68" s="20" t="s">
        <v>13</v>
      </c>
      <c r="C68" s="20" t="s">
        <v>970</v>
      </c>
      <c r="D68" s="159"/>
      <c r="E68" s="159"/>
      <c r="F68" s="159"/>
      <c r="G68" s="159"/>
      <c r="H68" s="159"/>
      <c r="I68" s="159"/>
      <c r="J68" s="159"/>
      <c r="K68" s="159"/>
      <c r="L68" s="204">
        <v>50</v>
      </c>
      <c r="M68" s="204">
        <v>50</v>
      </c>
      <c r="N68" s="167">
        <v>50</v>
      </c>
      <c r="O68" s="227"/>
      <c r="P68" s="178">
        <v>43398</v>
      </c>
      <c r="Q68" s="169">
        <v>43399</v>
      </c>
      <c r="R68" s="169">
        <v>44160</v>
      </c>
      <c r="S68" s="8" t="s">
        <v>170</v>
      </c>
      <c r="T68" s="167" t="s">
        <v>971</v>
      </c>
      <c r="U68" s="167" t="s">
        <v>972</v>
      </c>
      <c r="V68" s="167">
        <v>506162905</v>
      </c>
      <c r="W68" s="20"/>
      <c r="X68" s="20" t="s">
        <v>973</v>
      </c>
      <c r="Y68" s="20"/>
      <c r="Z68" s="20">
        <v>184</v>
      </c>
      <c r="AA68" s="204"/>
      <c r="AB68" s="20"/>
      <c r="AC68" s="20"/>
    </row>
    <row r="69" spans="1:29" ht="15.75" customHeight="1">
      <c r="A69" s="8">
        <v>68</v>
      </c>
      <c r="B69" s="20" t="s">
        <v>300</v>
      </c>
      <c r="C69" s="20" t="s">
        <v>974</v>
      </c>
      <c r="D69" s="159"/>
      <c r="E69" s="159"/>
      <c r="F69" s="159"/>
      <c r="G69" s="159"/>
      <c r="H69" s="159"/>
      <c r="I69" s="159"/>
      <c r="J69" s="159"/>
      <c r="K69" s="159"/>
      <c r="L69" s="204">
        <v>50</v>
      </c>
      <c r="M69" s="204">
        <v>50</v>
      </c>
      <c r="N69" s="167">
        <v>50</v>
      </c>
      <c r="O69" s="227"/>
      <c r="P69" s="178">
        <v>43402</v>
      </c>
      <c r="Q69" s="169">
        <v>43403</v>
      </c>
      <c r="R69" s="169">
        <v>44138</v>
      </c>
      <c r="S69" s="8" t="s">
        <v>170</v>
      </c>
      <c r="T69" s="167" t="s">
        <v>975</v>
      </c>
      <c r="U69" s="167" t="s">
        <v>976</v>
      </c>
      <c r="V69" s="167">
        <v>881438135</v>
      </c>
      <c r="W69" s="20"/>
      <c r="X69" s="20" t="s">
        <v>977</v>
      </c>
      <c r="Y69" s="20"/>
      <c r="Z69" s="20">
        <v>185</v>
      </c>
      <c r="AA69" s="204"/>
      <c r="AB69" s="20" t="s">
        <v>978</v>
      </c>
      <c r="AC69" s="20" t="s">
        <v>979</v>
      </c>
    </row>
    <row r="70" spans="1:29" ht="15.75" customHeight="1">
      <c r="A70" s="8">
        <v>69</v>
      </c>
      <c r="B70" s="20" t="s">
        <v>980</v>
      </c>
      <c r="C70" s="20" t="s">
        <v>981</v>
      </c>
      <c r="D70" s="159"/>
      <c r="E70" s="159"/>
      <c r="F70" s="159"/>
      <c r="G70" s="159"/>
      <c r="H70" s="159"/>
      <c r="I70" s="159"/>
      <c r="J70" s="159"/>
      <c r="K70" s="159"/>
      <c r="L70" s="204">
        <v>50</v>
      </c>
      <c r="M70" s="204"/>
      <c r="N70" s="167"/>
      <c r="O70" s="227"/>
      <c r="P70" s="178">
        <v>43417</v>
      </c>
      <c r="Q70" s="169">
        <v>43418</v>
      </c>
      <c r="R70" s="169">
        <v>43418</v>
      </c>
      <c r="S70" s="8" t="s">
        <v>170</v>
      </c>
      <c r="T70" s="167" t="s">
        <v>982</v>
      </c>
      <c r="U70" s="167" t="s">
        <v>983</v>
      </c>
      <c r="V70" s="167">
        <v>600367361</v>
      </c>
      <c r="W70" s="20"/>
      <c r="X70" s="20" t="s">
        <v>984</v>
      </c>
      <c r="Y70" s="20"/>
      <c r="Z70" s="20">
        <v>186</v>
      </c>
      <c r="AA70" s="204"/>
      <c r="AB70" s="20" t="s">
        <v>985</v>
      </c>
      <c r="AC70" s="20"/>
    </row>
    <row r="71" spans="1:29" ht="15.75" customHeight="1">
      <c r="A71" s="8">
        <v>70</v>
      </c>
      <c r="B71" s="20" t="s">
        <v>559</v>
      </c>
      <c r="C71" s="20" t="s">
        <v>986</v>
      </c>
      <c r="D71" s="159"/>
      <c r="E71" s="159"/>
      <c r="F71" s="159"/>
      <c r="G71" s="159"/>
      <c r="H71" s="159"/>
      <c r="I71" s="159"/>
      <c r="J71" s="159"/>
      <c r="K71" s="159"/>
      <c r="L71" s="20">
        <v>50</v>
      </c>
      <c r="M71" s="204"/>
      <c r="N71" s="167"/>
      <c r="O71" s="227"/>
      <c r="P71" s="178">
        <v>43418</v>
      </c>
      <c r="Q71" s="169">
        <v>43419</v>
      </c>
      <c r="R71" s="169">
        <v>43419</v>
      </c>
      <c r="S71" s="8" t="s">
        <v>170</v>
      </c>
      <c r="T71" s="167" t="s">
        <v>987</v>
      </c>
      <c r="U71" s="167" t="s">
        <v>988</v>
      </c>
      <c r="V71" s="167">
        <v>669609981</v>
      </c>
      <c r="W71" s="20"/>
      <c r="X71" s="20" t="s">
        <v>989</v>
      </c>
      <c r="Y71" s="20"/>
      <c r="Z71" s="20">
        <v>187</v>
      </c>
      <c r="AA71" s="20"/>
      <c r="AB71" s="20"/>
      <c r="AC71" s="20"/>
    </row>
    <row r="72" spans="1:29" ht="15.75" customHeight="1">
      <c r="A72" s="8">
        <v>71</v>
      </c>
      <c r="B72" s="20" t="s">
        <v>511</v>
      </c>
      <c r="C72" s="20" t="s">
        <v>1005</v>
      </c>
      <c r="D72" s="159"/>
      <c r="E72" s="159"/>
      <c r="F72" s="159"/>
      <c r="G72" s="159"/>
      <c r="H72" s="159"/>
      <c r="I72" s="159"/>
      <c r="J72" s="159"/>
      <c r="K72" s="159"/>
      <c r="L72" s="159"/>
      <c r="M72" s="204">
        <v>50</v>
      </c>
      <c r="N72" s="167">
        <v>50</v>
      </c>
      <c r="O72" s="167">
        <v>50</v>
      </c>
      <c r="P72" s="178">
        <v>43503</v>
      </c>
      <c r="Q72" s="169">
        <v>43503</v>
      </c>
      <c r="R72" s="169">
        <v>44237</v>
      </c>
      <c r="S72" s="8" t="s">
        <v>170</v>
      </c>
      <c r="T72" s="167" t="s">
        <v>1006</v>
      </c>
      <c r="U72" s="167" t="s">
        <v>656</v>
      </c>
      <c r="V72" s="167">
        <v>729769112</v>
      </c>
      <c r="W72" s="20"/>
      <c r="X72" s="20" t="s">
        <v>1007</v>
      </c>
      <c r="Y72" s="20"/>
      <c r="Z72" s="20">
        <v>189</v>
      </c>
      <c r="AA72" s="20"/>
      <c r="AB72" s="20"/>
      <c r="AC72" s="20"/>
    </row>
    <row r="73" spans="1:29" ht="15.75" customHeight="1">
      <c r="A73" s="8">
        <v>72</v>
      </c>
      <c r="B73" s="20" t="s">
        <v>194</v>
      </c>
      <c r="C73" s="20" t="s">
        <v>1008</v>
      </c>
      <c r="D73" s="159"/>
      <c r="E73" s="159"/>
      <c r="F73" s="159"/>
      <c r="G73" s="159"/>
      <c r="H73" s="159"/>
      <c r="I73" s="159"/>
      <c r="J73" s="159"/>
      <c r="K73" s="159"/>
      <c r="L73" s="159"/>
      <c r="M73" s="204">
        <v>50</v>
      </c>
      <c r="N73" s="167"/>
      <c r="O73" s="227"/>
      <c r="P73" s="178">
        <v>43509</v>
      </c>
      <c r="Q73" s="169">
        <v>43510</v>
      </c>
      <c r="R73" s="169">
        <v>43510</v>
      </c>
      <c r="S73" s="8" t="s">
        <v>170</v>
      </c>
      <c r="T73" s="167" t="s">
        <v>1009</v>
      </c>
      <c r="U73" s="167" t="s">
        <v>1010</v>
      </c>
      <c r="V73" s="167">
        <v>507407737</v>
      </c>
      <c r="W73" s="20"/>
      <c r="X73" s="20" t="s">
        <v>1011</v>
      </c>
      <c r="Y73" s="20"/>
      <c r="Z73" s="20">
        <v>190</v>
      </c>
      <c r="AA73" s="20"/>
      <c r="AB73" s="20" t="s">
        <v>1012</v>
      </c>
      <c r="AC73" s="20"/>
    </row>
    <row r="74" spans="1:29" ht="15.75" customHeight="1">
      <c r="A74" s="8">
        <v>73</v>
      </c>
      <c r="B74" s="20" t="s">
        <v>1013</v>
      </c>
      <c r="C74" s="20" t="s">
        <v>1014</v>
      </c>
      <c r="D74" s="159"/>
      <c r="E74" s="159"/>
      <c r="F74" s="159"/>
      <c r="G74" s="159"/>
      <c r="H74" s="159"/>
      <c r="I74" s="159"/>
      <c r="J74" s="159"/>
      <c r="K74" s="159"/>
      <c r="L74" s="159"/>
      <c r="M74" s="204">
        <v>50</v>
      </c>
      <c r="N74" s="167"/>
      <c r="O74" s="227">
        <v>50</v>
      </c>
      <c r="P74" s="178">
        <v>43521</v>
      </c>
      <c r="Q74" s="169">
        <v>43521</v>
      </c>
      <c r="R74" s="169">
        <v>44336</v>
      </c>
      <c r="S74" s="8" t="s">
        <v>170</v>
      </c>
      <c r="T74" s="167" t="s">
        <v>1015</v>
      </c>
      <c r="U74" s="167" t="s">
        <v>1016</v>
      </c>
      <c r="V74" s="167">
        <v>503790338</v>
      </c>
      <c r="W74" s="20"/>
      <c r="X74" s="20" t="s">
        <v>1017</v>
      </c>
      <c r="Y74" s="20"/>
      <c r="Z74" s="20">
        <v>191</v>
      </c>
      <c r="AA74" s="40" t="s">
        <v>200</v>
      </c>
      <c r="AB74" s="20"/>
      <c r="AC74" s="20"/>
    </row>
    <row r="75" spans="1:29" ht="15.75" customHeight="1">
      <c r="A75" s="8">
        <v>74</v>
      </c>
      <c r="B75" s="20" t="s">
        <v>1018</v>
      </c>
      <c r="C75" s="20" t="s">
        <v>1019</v>
      </c>
      <c r="D75" s="159"/>
      <c r="E75" s="159"/>
      <c r="F75" s="159"/>
      <c r="G75" s="159"/>
      <c r="H75" s="159"/>
      <c r="I75" s="159"/>
      <c r="J75" s="159"/>
      <c r="K75" s="159"/>
      <c r="L75" s="159"/>
      <c r="M75" s="204">
        <v>50</v>
      </c>
      <c r="N75" s="167"/>
      <c r="O75" s="227"/>
      <c r="P75" s="178">
        <v>43521</v>
      </c>
      <c r="Q75" s="169">
        <v>43522</v>
      </c>
      <c r="R75" s="169">
        <v>43522</v>
      </c>
      <c r="S75" s="8" t="s">
        <v>170</v>
      </c>
      <c r="T75" s="167" t="s">
        <v>1020</v>
      </c>
      <c r="U75" s="167" t="s">
        <v>1021</v>
      </c>
      <c r="V75" s="167">
        <v>788500095</v>
      </c>
      <c r="W75" s="20"/>
      <c r="X75" s="20" t="s">
        <v>1022</v>
      </c>
      <c r="Y75" s="20"/>
      <c r="Z75" s="20">
        <v>192</v>
      </c>
      <c r="AA75" s="40" t="s">
        <v>200</v>
      </c>
      <c r="AB75" s="20"/>
      <c r="AC75" s="20" t="s">
        <v>1023</v>
      </c>
    </row>
    <row r="76" spans="1:29" ht="15.75" customHeight="1">
      <c r="A76" s="8">
        <v>75</v>
      </c>
      <c r="B76" s="20" t="s">
        <v>556</v>
      </c>
      <c r="C76" s="20" t="s">
        <v>48</v>
      </c>
      <c r="D76" s="159"/>
      <c r="E76" s="159"/>
      <c r="F76" s="159"/>
      <c r="G76" s="159"/>
      <c r="H76" s="159"/>
      <c r="I76" s="159"/>
      <c r="J76" s="159"/>
      <c r="K76" s="159"/>
      <c r="L76" s="159"/>
      <c r="M76" s="204">
        <v>50</v>
      </c>
      <c r="N76" s="167"/>
      <c r="O76" s="227">
        <v>50</v>
      </c>
      <c r="P76" s="178">
        <v>43538</v>
      </c>
      <c r="Q76" s="169">
        <v>43538</v>
      </c>
      <c r="R76" s="169">
        <v>44200</v>
      </c>
      <c r="S76" s="8" t="s">
        <v>170</v>
      </c>
      <c r="T76" s="167" t="s">
        <v>1024</v>
      </c>
      <c r="U76" s="167" t="s">
        <v>535</v>
      </c>
      <c r="V76" s="167">
        <v>601610131</v>
      </c>
      <c r="W76" s="20"/>
      <c r="X76" s="20" t="s">
        <v>536</v>
      </c>
      <c r="Y76" s="20"/>
      <c r="Z76" s="20">
        <v>193</v>
      </c>
      <c r="AA76" s="20"/>
      <c r="AB76" s="20" t="s">
        <v>1025</v>
      </c>
      <c r="AC76" s="20"/>
    </row>
    <row r="77" spans="1:29" ht="15.75" customHeight="1">
      <c r="A77" s="8">
        <v>76</v>
      </c>
      <c r="B77" s="20" t="s">
        <v>559</v>
      </c>
      <c r="C77" s="20" t="s">
        <v>1026</v>
      </c>
      <c r="D77" s="159"/>
      <c r="E77" s="159"/>
      <c r="F77" s="159"/>
      <c r="G77" s="159"/>
      <c r="H77" s="159"/>
      <c r="I77" s="159"/>
      <c r="J77" s="159"/>
      <c r="K77" s="159"/>
      <c r="L77" s="159"/>
      <c r="M77" s="204">
        <v>50</v>
      </c>
      <c r="N77" s="167">
        <v>50</v>
      </c>
      <c r="O77" s="227">
        <v>50</v>
      </c>
      <c r="P77" s="178">
        <v>43542</v>
      </c>
      <c r="Q77" s="169">
        <v>43543</v>
      </c>
      <c r="R77" s="169">
        <v>44285</v>
      </c>
      <c r="S77" s="8" t="s">
        <v>170</v>
      </c>
      <c r="T77" s="167" t="s">
        <v>1027</v>
      </c>
      <c r="U77" s="167" t="s">
        <v>1028</v>
      </c>
      <c r="V77" s="167">
        <v>532474731</v>
      </c>
      <c r="W77" s="20" t="s">
        <v>1029</v>
      </c>
      <c r="X77" s="141" t="s">
        <v>1030</v>
      </c>
      <c r="Y77" s="20"/>
      <c r="Z77" s="20">
        <v>194</v>
      </c>
      <c r="AA77" s="40" t="s">
        <v>200</v>
      </c>
      <c r="AB77" s="20" t="s">
        <v>1031</v>
      </c>
      <c r="AC77" s="20"/>
    </row>
    <row r="78" spans="1:29" ht="15.75" customHeight="1">
      <c r="A78" s="8">
        <v>77</v>
      </c>
      <c r="B78" s="20" t="s">
        <v>441</v>
      </c>
      <c r="C78" s="20" t="s">
        <v>1032</v>
      </c>
      <c r="D78" s="159"/>
      <c r="E78" s="159"/>
      <c r="F78" s="159"/>
      <c r="G78" s="159"/>
      <c r="H78" s="159"/>
      <c r="I78" s="159"/>
      <c r="J78" s="159"/>
      <c r="K78" s="159"/>
      <c r="L78" s="159"/>
      <c r="M78" s="204">
        <v>50</v>
      </c>
      <c r="N78" s="167"/>
      <c r="O78" s="227"/>
      <c r="P78" s="178">
        <v>43573</v>
      </c>
      <c r="Q78" s="169">
        <v>43573</v>
      </c>
      <c r="R78" s="169">
        <v>43573</v>
      </c>
      <c r="S78" s="8" t="s">
        <v>170</v>
      </c>
      <c r="T78" s="167" t="s">
        <v>1033</v>
      </c>
      <c r="U78" s="167" t="s">
        <v>1034</v>
      </c>
      <c r="V78" s="167">
        <v>608631929</v>
      </c>
      <c r="W78" s="20" t="s">
        <v>1035</v>
      </c>
      <c r="X78" s="20" t="s">
        <v>1036</v>
      </c>
      <c r="Y78" s="20">
        <v>502754558</v>
      </c>
      <c r="Z78" s="20">
        <v>195</v>
      </c>
      <c r="AA78" s="20"/>
      <c r="AB78" s="20"/>
      <c r="AC78" s="20"/>
    </row>
    <row r="79" spans="1:29" ht="15.75" customHeight="1">
      <c r="A79" s="8">
        <v>78</v>
      </c>
      <c r="B79" s="20" t="s">
        <v>905</v>
      </c>
      <c r="C79" s="20" t="s">
        <v>1037</v>
      </c>
      <c r="D79" s="159"/>
      <c r="E79" s="159"/>
      <c r="F79" s="159"/>
      <c r="G79" s="159"/>
      <c r="H79" s="159"/>
      <c r="I79" s="159"/>
      <c r="J79" s="159"/>
      <c r="K79" s="159"/>
      <c r="L79" s="159"/>
      <c r="M79" s="204">
        <v>50</v>
      </c>
      <c r="N79" s="167"/>
      <c r="O79" s="227"/>
      <c r="P79" s="178">
        <v>43577</v>
      </c>
      <c r="Q79" s="169">
        <v>43577</v>
      </c>
      <c r="R79" s="169">
        <v>43577</v>
      </c>
      <c r="S79" s="8" t="s">
        <v>170</v>
      </c>
      <c r="T79" s="167" t="s">
        <v>1038</v>
      </c>
      <c r="U79" s="167" t="s">
        <v>1039</v>
      </c>
      <c r="V79" s="167">
        <v>664081460</v>
      </c>
      <c r="W79" s="20"/>
      <c r="X79" s="20" t="s">
        <v>1040</v>
      </c>
      <c r="Y79" s="20"/>
      <c r="Z79" s="20">
        <v>196</v>
      </c>
      <c r="AA79" s="20"/>
      <c r="AB79" s="20"/>
      <c r="AC79" s="20"/>
    </row>
    <row r="80" spans="1:29" ht="15.75" customHeight="1">
      <c r="A80" s="8">
        <v>79</v>
      </c>
      <c r="B80" s="20" t="s">
        <v>194</v>
      </c>
      <c r="C80" s="20" t="s">
        <v>710</v>
      </c>
      <c r="D80" s="159"/>
      <c r="E80" s="159"/>
      <c r="F80" s="159"/>
      <c r="G80" s="159"/>
      <c r="H80" s="159"/>
      <c r="I80" s="159"/>
      <c r="J80" s="159"/>
      <c r="K80" s="159"/>
      <c r="L80" s="159"/>
      <c r="M80" s="204">
        <v>50</v>
      </c>
      <c r="N80" s="167"/>
      <c r="O80" s="227"/>
      <c r="P80" s="178">
        <v>43578</v>
      </c>
      <c r="Q80" s="169">
        <v>43578</v>
      </c>
      <c r="R80" s="169">
        <v>43578</v>
      </c>
      <c r="S80" s="8" t="s">
        <v>170</v>
      </c>
      <c r="T80" s="167" t="s">
        <v>1041</v>
      </c>
      <c r="U80" s="167" t="s">
        <v>712</v>
      </c>
      <c r="V80" s="167">
        <v>605206191</v>
      </c>
      <c r="W80" s="20"/>
      <c r="X80" s="20" t="s">
        <v>1042</v>
      </c>
      <c r="Y80" s="20"/>
      <c r="Z80" s="20">
        <v>197</v>
      </c>
      <c r="AA80" s="20"/>
      <c r="AB80" s="20"/>
      <c r="AC80" s="20"/>
    </row>
    <row r="81" spans="1:29" ht="15.75" customHeight="1">
      <c r="A81" s="8">
        <v>80</v>
      </c>
      <c r="B81" s="20" t="s">
        <v>127</v>
      </c>
      <c r="C81" s="20" t="s">
        <v>1043</v>
      </c>
      <c r="D81" s="159"/>
      <c r="E81" s="159"/>
      <c r="F81" s="159"/>
      <c r="G81" s="159"/>
      <c r="H81" s="159"/>
      <c r="I81" s="159"/>
      <c r="J81" s="159"/>
      <c r="K81" s="159"/>
      <c r="L81" s="159"/>
      <c r="M81" s="204">
        <v>50</v>
      </c>
      <c r="N81" s="167">
        <v>50</v>
      </c>
      <c r="O81" s="227">
        <v>50</v>
      </c>
      <c r="P81" s="178">
        <v>43579</v>
      </c>
      <c r="Q81" s="169">
        <v>43580</v>
      </c>
      <c r="R81" s="169">
        <v>44330</v>
      </c>
      <c r="S81" s="8" t="s">
        <v>170</v>
      </c>
      <c r="T81" s="167" t="s">
        <v>1044</v>
      </c>
      <c r="U81" s="167" t="s">
        <v>1045</v>
      </c>
      <c r="V81" s="167">
        <v>787944957</v>
      </c>
      <c r="W81" s="20" t="s">
        <v>1046</v>
      </c>
      <c r="X81" s="20" t="s">
        <v>1047</v>
      </c>
      <c r="Y81" s="20">
        <v>797542446</v>
      </c>
      <c r="Z81" s="20">
        <v>198</v>
      </c>
      <c r="AA81" s="20"/>
      <c r="AB81" s="20"/>
      <c r="AC81" s="20"/>
    </row>
    <row r="82" spans="1:29" ht="15.75" customHeight="1">
      <c r="A82" s="8">
        <v>81</v>
      </c>
      <c r="B82" s="20" t="s">
        <v>1048</v>
      </c>
      <c r="C82" s="20" t="s">
        <v>1049</v>
      </c>
      <c r="D82" s="159"/>
      <c r="E82" s="159"/>
      <c r="F82" s="159"/>
      <c r="G82" s="159"/>
      <c r="H82" s="159"/>
      <c r="I82" s="159"/>
      <c r="J82" s="159"/>
      <c r="K82" s="159"/>
      <c r="L82" s="159"/>
      <c r="M82" s="204">
        <v>50</v>
      </c>
      <c r="N82" s="167"/>
      <c r="O82" s="227"/>
      <c r="P82" s="178">
        <v>43642</v>
      </c>
      <c r="Q82" s="169">
        <v>43642</v>
      </c>
      <c r="R82" s="169">
        <v>43642</v>
      </c>
      <c r="S82" s="8" t="s">
        <v>170</v>
      </c>
      <c r="T82" s="167" t="s">
        <v>1050</v>
      </c>
      <c r="U82" s="167" t="s">
        <v>1051</v>
      </c>
      <c r="V82" s="167">
        <v>607758544</v>
      </c>
      <c r="W82" s="20"/>
      <c r="X82" s="20" t="s">
        <v>1052</v>
      </c>
      <c r="Y82" s="20"/>
      <c r="Z82" s="20">
        <v>199</v>
      </c>
      <c r="AA82" s="20"/>
      <c r="AB82" s="20"/>
      <c r="AC82" s="20"/>
    </row>
    <row r="83" spans="1:29" ht="15.75" customHeight="1">
      <c r="A83" s="8">
        <v>82</v>
      </c>
      <c r="B83" s="20" t="s">
        <v>108</v>
      </c>
      <c r="C83" s="20" t="s">
        <v>1053</v>
      </c>
      <c r="D83" s="159"/>
      <c r="E83" s="159"/>
      <c r="F83" s="159"/>
      <c r="G83" s="159"/>
      <c r="H83" s="159"/>
      <c r="I83" s="159"/>
      <c r="J83" s="159"/>
      <c r="K83" s="159"/>
      <c r="L83" s="159"/>
      <c r="M83" s="204">
        <v>50</v>
      </c>
      <c r="N83" s="167"/>
      <c r="O83" s="227"/>
      <c r="P83" s="178">
        <v>43649</v>
      </c>
      <c r="Q83" s="169">
        <v>43650</v>
      </c>
      <c r="R83" s="169">
        <v>43650</v>
      </c>
      <c r="S83" s="8" t="s">
        <v>170</v>
      </c>
      <c r="T83" s="167" t="s">
        <v>1054</v>
      </c>
      <c r="U83" s="167" t="s">
        <v>1055</v>
      </c>
      <c r="V83" s="167">
        <v>503042380</v>
      </c>
      <c r="W83" s="20"/>
      <c r="X83" s="20" t="s">
        <v>1056</v>
      </c>
      <c r="Y83" s="20"/>
      <c r="Z83" s="20">
        <v>200</v>
      </c>
      <c r="AA83" s="20"/>
      <c r="AB83" s="20"/>
      <c r="AC83" s="20"/>
    </row>
    <row r="84" spans="1:29" ht="15.75" customHeight="1">
      <c r="A84" s="8">
        <v>83</v>
      </c>
      <c r="B84" s="20" t="s">
        <v>141</v>
      </c>
      <c r="C84" s="20" t="s">
        <v>1057</v>
      </c>
      <c r="D84" s="159"/>
      <c r="E84" s="159"/>
      <c r="F84" s="159"/>
      <c r="G84" s="159"/>
      <c r="H84" s="159"/>
      <c r="I84" s="159"/>
      <c r="J84" s="159"/>
      <c r="K84" s="159"/>
      <c r="L84" s="159"/>
      <c r="M84" s="204">
        <v>50</v>
      </c>
      <c r="N84" s="167"/>
      <c r="O84" s="227"/>
      <c r="P84" s="178">
        <v>43651</v>
      </c>
      <c r="Q84" s="169">
        <v>43651</v>
      </c>
      <c r="R84" s="169">
        <v>43651</v>
      </c>
      <c r="S84" s="8" t="s">
        <v>170</v>
      </c>
      <c r="T84" s="167" t="s">
        <v>1058</v>
      </c>
      <c r="U84" s="167" t="s">
        <v>1059</v>
      </c>
      <c r="V84" s="167">
        <v>784184984</v>
      </c>
      <c r="W84" s="20"/>
      <c r="X84" s="20" t="s">
        <v>1060</v>
      </c>
      <c r="Y84" s="20"/>
      <c r="Z84" s="20">
        <v>201</v>
      </c>
      <c r="AA84" s="40" t="s">
        <v>200</v>
      </c>
      <c r="AB84" s="20" t="s">
        <v>1061</v>
      </c>
      <c r="AC84" s="20"/>
    </row>
    <row r="85" spans="1:29" ht="15.75" customHeight="1">
      <c r="A85" s="8">
        <v>84</v>
      </c>
      <c r="B85" s="20" t="s">
        <v>1062</v>
      </c>
      <c r="C85" s="20" t="s">
        <v>1063</v>
      </c>
      <c r="D85" s="159"/>
      <c r="E85" s="159"/>
      <c r="F85" s="159"/>
      <c r="G85" s="159"/>
      <c r="H85" s="159"/>
      <c r="I85" s="159"/>
      <c r="J85" s="159"/>
      <c r="K85" s="159"/>
      <c r="L85" s="159"/>
      <c r="M85" s="204">
        <v>50</v>
      </c>
      <c r="N85" s="10">
        <v>50</v>
      </c>
      <c r="O85" s="234">
        <v>50</v>
      </c>
      <c r="P85" s="178">
        <v>43672</v>
      </c>
      <c r="Q85" s="169">
        <v>43675</v>
      </c>
      <c r="R85" s="169">
        <v>44410</v>
      </c>
      <c r="S85" s="8" t="s">
        <v>170</v>
      </c>
      <c r="T85" s="167" t="s">
        <v>1064</v>
      </c>
      <c r="U85" s="167" t="s">
        <v>1065</v>
      </c>
      <c r="V85" s="167">
        <v>509670464</v>
      </c>
      <c r="W85" s="20"/>
      <c r="X85" s="20" t="s">
        <v>1066</v>
      </c>
      <c r="Y85" s="20"/>
      <c r="Z85" s="20">
        <v>202</v>
      </c>
      <c r="AA85" s="40" t="s">
        <v>200</v>
      </c>
      <c r="AB85" s="20" t="s">
        <v>1067</v>
      </c>
      <c r="AC85" s="20"/>
    </row>
    <row r="86" spans="1:29" ht="15.75" customHeight="1">
      <c r="A86" s="8">
        <v>85</v>
      </c>
      <c r="B86" s="20" t="s">
        <v>1068</v>
      </c>
      <c r="C86" s="20" t="s">
        <v>1069</v>
      </c>
      <c r="D86" s="159"/>
      <c r="E86" s="159"/>
      <c r="F86" s="159"/>
      <c r="G86" s="159"/>
      <c r="H86" s="159"/>
      <c r="I86" s="159"/>
      <c r="J86" s="159"/>
      <c r="K86" s="159"/>
      <c r="L86" s="159"/>
      <c r="M86" s="204">
        <v>50</v>
      </c>
      <c r="N86" s="10">
        <v>50</v>
      </c>
      <c r="O86" s="234">
        <v>50</v>
      </c>
      <c r="P86" s="178">
        <v>43684</v>
      </c>
      <c r="Q86" s="169">
        <v>43684</v>
      </c>
      <c r="R86" s="169">
        <v>44484</v>
      </c>
      <c r="S86" s="8" t="s">
        <v>170</v>
      </c>
      <c r="T86" s="167" t="s">
        <v>1070</v>
      </c>
      <c r="U86" s="167" t="s">
        <v>1071</v>
      </c>
      <c r="V86" s="167">
        <v>509117890</v>
      </c>
      <c r="W86" s="20"/>
      <c r="X86" s="20" t="s">
        <v>1072</v>
      </c>
      <c r="Y86" s="20"/>
      <c r="Z86" s="20">
        <v>203</v>
      </c>
      <c r="AA86" s="40" t="s">
        <v>200</v>
      </c>
      <c r="AB86" s="20"/>
      <c r="AC86" s="188" t="s">
        <v>1365</v>
      </c>
    </row>
    <row r="87" spans="1:29" ht="15.75" customHeight="1">
      <c r="A87" s="8">
        <v>86</v>
      </c>
      <c r="B87" s="20" t="s">
        <v>1073</v>
      </c>
      <c r="C87" s="20" t="s">
        <v>1074</v>
      </c>
      <c r="D87" s="159"/>
      <c r="E87" s="159"/>
      <c r="F87" s="159"/>
      <c r="G87" s="159"/>
      <c r="H87" s="159"/>
      <c r="I87" s="159"/>
      <c r="J87" s="159"/>
      <c r="K87" s="159"/>
      <c r="L87" s="159"/>
      <c r="M87" s="204">
        <v>50</v>
      </c>
      <c r="N87" s="167"/>
      <c r="O87" s="227"/>
      <c r="P87" s="178">
        <v>43684</v>
      </c>
      <c r="Q87" s="169">
        <v>43685</v>
      </c>
      <c r="R87" s="169">
        <v>43685</v>
      </c>
      <c r="S87" s="8" t="s">
        <v>170</v>
      </c>
      <c r="T87" s="167" t="s">
        <v>1075</v>
      </c>
      <c r="U87" s="167" t="s">
        <v>1076</v>
      </c>
      <c r="V87" s="167">
        <v>690526904</v>
      </c>
      <c r="W87" s="20"/>
      <c r="X87" s="20" t="s">
        <v>1077</v>
      </c>
      <c r="Y87" s="20"/>
      <c r="Z87" s="20">
        <v>204</v>
      </c>
      <c r="AA87" s="40" t="s">
        <v>200</v>
      </c>
      <c r="AB87" s="20"/>
      <c r="AC87" s="20"/>
    </row>
    <row r="88" spans="1:29" ht="15.75" customHeight="1">
      <c r="A88" s="8">
        <v>87</v>
      </c>
      <c r="B88" s="20" t="s">
        <v>701</v>
      </c>
      <c r="C88" s="20" t="s">
        <v>1078</v>
      </c>
      <c r="D88" s="159"/>
      <c r="E88" s="159"/>
      <c r="F88" s="159"/>
      <c r="G88" s="159"/>
      <c r="H88" s="159"/>
      <c r="I88" s="159"/>
      <c r="J88" s="159"/>
      <c r="K88" s="159"/>
      <c r="L88" s="159"/>
      <c r="M88" s="204">
        <v>50</v>
      </c>
      <c r="N88" s="10">
        <v>50</v>
      </c>
      <c r="O88" s="234">
        <v>50</v>
      </c>
      <c r="P88" s="178">
        <v>43689</v>
      </c>
      <c r="Q88" s="169">
        <v>43685</v>
      </c>
      <c r="R88" s="169">
        <v>44441</v>
      </c>
      <c r="S88" s="8" t="s">
        <v>170</v>
      </c>
      <c r="T88" s="167" t="s">
        <v>1079</v>
      </c>
      <c r="U88" s="167" t="s">
        <v>1080</v>
      </c>
      <c r="V88" s="167">
        <v>500688237</v>
      </c>
      <c r="W88" s="20" t="s">
        <v>1081</v>
      </c>
      <c r="X88" s="20" t="s">
        <v>1082</v>
      </c>
      <c r="Y88" s="20"/>
      <c r="Z88" s="20">
        <v>205</v>
      </c>
      <c r="AA88" s="40" t="s">
        <v>200</v>
      </c>
      <c r="AB88" s="20" t="s">
        <v>1083</v>
      </c>
      <c r="AC88" s="20"/>
    </row>
    <row r="89" spans="1:29" ht="15.75" customHeight="1">
      <c r="A89" s="8">
        <v>88</v>
      </c>
      <c r="B89" s="20" t="s">
        <v>55</v>
      </c>
      <c r="C89" s="20" t="s">
        <v>1084</v>
      </c>
      <c r="D89" s="159"/>
      <c r="E89" s="159"/>
      <c r="F89" s="159"/>
      <c r="G89" s="159"/>
      <c r="H89" s="159"/>
      <c r="I89" s="159"/>
      <c r="J89" s="159"/>
      <c r="K89" s="159"/>
      <c r="L89" s="159"/>
      <c r="M89" s="204">
        <v>50</v>
      </c>
      <c r="N89" s="167"/>
      <c r="O89" s="231">
        <v>100</v>
      </c>
      <c r="P89" s="178">
        <v>43673</v>
      </c>
      <c r="Q89" s="169">
        <v>43679</v>
      </c>
      <c r="R89" s="169">
        <v>44509</v>
      </c>
      <c r="S89" s="8" t="s">
        <v>170</v>
      </c>
      <c r="T89" s="167" t="s">
        <v>1085</v>
      </c>
      <c r="U89" s="167" t="s">
        <v>1086</v>
      </c>
      <c r="V89" s="167">
        <v>792287874</v>
      </c>
      <c r="W89" s="20"/>
      <c r="X89" s="20" t="s">
        <v>1087</v>
      </c>
      <c r="Y89" s="20"/>
      <c r="Z89" s="20">
        <v>206</v>
      </c>
      <c r="AA89" s="40" t="s">
        <v>200</v>
      </c>
      <c r="AB89" s="20"/>
      <c r="AC89" s="20"/>
    </row>
    <row r="90" spans="1:29" ht="15.75" customHeight="1">
      <c r="A90" s="8">
        <v>89</v>
      </c>
      <c r="B90" s="20" t="s">
        <v>1088</v>
      </c>
      <c r="C90" s="20" t="s">
        <v>1089</v>
      </c>
      <c r="D90" s="159"/>
      <c r="E90" s="159"/>
      <c r="F90" s="159"/>
      <c r="G90" s="159"/>
      <c r="H90" s="159"/>
      <c r="I90" s="159"/>
      <c r="J90" s="159"/>
      <c r="K90" s="159"/>
      <c r="L90" s="159"/>
      <c r="M90" s="204">
        <v>50</v>
      </c>
      <c r="N90" s="10">
        <v>50</v>
      </c>
      <c r="O90" s="56"/>
      <c r="P90" s="178">
        <v>43691</v>
      </c>
      <c r="Q90" s="169">
        <v>43693</v>
      </c>
      <c r="R90" s="169">
        <v>44060</v>
      </c>
      <c r="S90" s="8" t="s">
        <v>170</v>
      </c>
      <c r="T90" s="167" t="s">
        <v>1090</v>
      </c>
      <c r="U90" s="167" t="s">
        <v>1091</v>
      </c>
      <c r="V90" s="167">
        <v>797376226</v>
      </c>
      <c r="W90" s="20"/>
      <c r="X90" s="20" t="s">
        <v>1092</v>
      </c>
      <c r="Y90" s="20"/>
      <c r="Z90" s="20">
        <v>207</v>
      </c>
      <c r="AA90" s="40" t="s">
        <v>200</v>
      </c>
      <c r="AB90" s="20"/>
      <c r="AC90" s="20"/>
    </row>
    <row r="91" spans="1:29" ht="15.75" customHeight="1">
      <c r="A91" s="8">
        <v>90</v>
      </c>
      <c r="B91" s="20" t="s">
        <v>481</v>
      </c>
      <c r="C91" s="20" t="s">
        <v>1093</v>
      </c>
      <c r="D91" s="159"/>
      <c r="E91" s="159"/>
      <c r="F91" s="159"/>
      <c r="G91" s="159"/>
      <c r="H91" s="159"/>
      <c r="I91" s="159"/>
      <c r="J91" s="159"/>
      <c r="K91" s="159"/>
      <c r="L91" s="159"/>
      <c r="M91" s="204">
        <v>50</v>
      </c>
      <c r="N91" s="10">
        <v>50</v>
      </c>
      <c r="O91" s="234">
        <v>50</v>
      </c>
      <c r="P91" s="178">
        <v>43710</v>
      </c>
      <c r="Q91" s="169">
        <v>43710</v>
      </c>
      <c r="R91" s="169">
        <v>44442</v>
      </c>
      <c r="S91" s="8" t="s">
        <v>170</v>
      </c>
      <c r="T91" s="167" t="s">
        <v>1094</v>
      </c>
      <c r="U91" s="167" t="s">
        <v>1095</v>
      </c>
      <c r="V91" s="167">
        <v>532791289</v>
      </c>
      <c r="W91" s="20" t="s">
        <v>1096</v>
      </c>
      <c r="X91" s="20" t="s">
        <v>1097</v>
      </c>
      <c r="Y91" s="20"/>
      <c r="Z91" s="20">
        <v>208</v>
      </c>
      <c r="AA91" s="20"/>
      <c r="AB91" s="20" t="s">
        <v>1098</v>
      </c>
      <c r="AC91" s="20"/>
    </row>
    <row r="92" spans="1:29" ht="15.75" customHeight="1">
      <c r="A92" s="8">
        <v>91</v>
      </c>
      <c r="B92" s="20" t="s">
        <v>559</v>
      </c>
      <c r="C92" s="20" t="s">
        <v>1099</v>
      </c>
      <c r="D92" s="159"/>
      <c r="E92" s="159"/>
      <c r="F92" s="159"/>
      <c r="G92" s="159"/>
      <c r="H92" s="159"/>
      <c r="I92" s="159"/>
      <c r="J92" s="159"/>
      <c r="K92" s="159"/>
      <c r="L92" s="159"/>
      <c r="M92" s="204">
        <v>50</v>
      </c>
      <c r="N92" s="167"/>
      <c r="O92" s="227"/>
      <c r="P92" s="178">
        <v>43713</v>
      </c>
      <c r="Q92" s="169">
        <v>43713</v>
      </c>
      <c r="R92" s="169">
        <v>43713</v>
      </c>
      <c r="S92" s="8" t="s">
        <v>170</v>
      </c>
      <c r="T92" s="167" t="s">
        <v>1100</v>
      </c>
      <c r="U92" s="167" t="s">
        <v>1101</v>
      </c>
      <c r="V92" s="167">
        <v>731957142</v>
      </c>
      <c r="W92" s="20" t="s">
        <v>1102</v>
      </c>
      <c r="X92" s="20" t="s">
        <v>1103</v>
      </c>
      <c r="Y92" s="20"/>
      <c r="Z92" s="20">
        <v>209</v>
      </c>
      <c r="AA92" s="20"/>
      <c r="AB92" s="20" t="s">
        <v>1104</v>
      </c>
      <c r="AC92" s="20"/>
    </row>
    <row r="93" spans="1:29" ht="15.75" customHeight="1">
      <c r="A93" s="8">
        <v>92</v>
      </c>
      <c r="B93" s="20" t="s">
        <v>1105</v>
      </c>
      <c r="C93" s="20" t="s">
        <v>1106</v>
      </c>
      <c r="D93" s="159"/>
      <c r="E93" s="159"/>
      <c r="F93" s="159"/>
      <c r="G93" s="159"/>
      <c r="H93" s="159"/>
      <c r="I93" s="159"/>
      <c r="J93" s="159"/>
      <c r="K93" s="159"/>
      <c r="L93" s="159"/>
      <c r="M93" s="204">
        <v>50</v>
      </c>
      <c r="N93" s="10">
        <v>50</v>
      </c>
      <c r="O93" s="56"/>
      <c r="P93" s="178">
        <v>43718</v>
      </c>
      <c r="Q93" s="169">
        <v>43718</v>
      </c>
      <c r="R93" s="169">
        <v>44085</v>
      </c>
      <c r="S93" s="8" t="s">
        <v>170</v>
      </c>
      <c r="T93" s="167" t="s">
        <v>1107</v>
      </c>
      <c r="U93" s="167" t="s">
        <v>191</v>
      </c>
      <c r="V93" s="167">
        <v>665474203</v>
      </c>
      <c r="W93" s="20" t="s">
        <v>1108</v>
      </c>
      <c r="X93" s="20" t="s">
        <v>1109</v>
      </c>
      <c r="Y93" s="20"/>
      <c r="Z93" s="20">
        <v>210</v>
      </c>
      <c r="AA93" s="40" t="s">
        <v>200</v>
      </c>
      <c r="AB93" s="20" t="s">
        <v>1110</v>
      </c>
      <c r="AC93" s="20"/>
    </row>
    <row r="94" spans="1:29" ht="15.75" customHeight="1">
      <c r="A94" s="8">
        <v>93</v>
      </c>
      <c r="B94" s="20" t="s">
        <v>1111</v>
      </c>
      <c r="C94" s="20" t="s">
        <v>1053</v>
      </c>
      <c r="D94" s="159"/>
      <c r="E94" s="159"/>
      <c r="F94" s="159"/>
      <c r="G94" s="159"/>
      <c r="H94" s="159"/>
      <c r="I94" s="159"/>
      <c r="J94" s="159"/>
      <c r="K94" s="159"/>
      <c r="L94" s="159"/>
      <c r="M94" s="204">
        <v>50</v>
      </c>
      <c r="N94" s="167"/>
      <c r="O94" s="227"/>
      <c r="P94" s="178">
        <v>43718</v>
      </c>
      <c r="Q94" s="169">
        <v>43718</v>
      </c>
      <c r="R94" s="169">
        <v>43718</v>
      </c>
      <c r="S94" s="8" t="s">
        <v>170</v>
      </c>
      <c r="T94" s="167" t="s">
        <v>1112</v>
      </c>
      <c r="U94" s="167" t="s">
        <v>1113</v>
      </c>
      <c r="V94" s="167">
        <v>505875326</v>
      </c>
      <c r="W94" s="20"/>
      <c r="X94" s="20" t="s">
        <v>1114</v>
      </c>
      <c r="Y94" s="20"/>
      <c r="Z94" s="20">
        <v>211</v>
      </c>
      <c r="AA94" s="40" t="s">
        <v>200</v>
      </c>
      <c r="AB94" s="20"/>
      <c r="AC94" s="20"/>
    </row>
    <row r="95" spans="1:29" ht="15.75" customHeight="1">
      <c r="A95" s="8">
        <v>94</v>
      </c>
      <c r="B95" s="20" t="s">
        <v>13</v>
      </c>
      <c r="C95" s="20" t="s">
        <v>1115</v>
      </c>
      <c r="D95" s="159"/>
      <c r="E95" s="159"/>
      <c r="F95" s="159"/>
      <c r="G95" s="159"/>
      <c r="H95" s="159"/>
      <c r="I95" s="159"/>
      <c r="J95" s="159"/>
      <c r="K95" s="159"/>
      <c r="L95" s="159"/>
      <c r="M95" s="204">
        <v>50</v>
      </c>
      <c r="N95" s="167"/>
      <c r="O95" s="227"/>
      <c r="P95" s="227" t="s">
        <v>1116</v>
      </c>
      <c r="Q95" s="167" t="str">
        <f t="shared" ref="Q95:R95" si="0">$P$95</f>
        <v>1019-09-15</v>
      </c>
      <c r="R95" s="167" t="str">
        <f t="shared" si="0"/>
        <v>1019-09-15</v>
      </c>
      <c r="S95" s="8" t="s">
        <v>170</v>
      </c>
      <c r="T95" s="167" t="s">
        <v>1117</v>
      </c>
      <c r="U95" s="167" t="s">
        <v>1118</v>
      </c>
      <c r="V95" s="167">
        <v>503014237</v>
      </c>
      <c r="W95" s="20"/>
      <c r="X95" s="20" t="s">
        <v>1119</v>
      </c>
      <c r="Y95" s="20"/>
      <c r="Z95" s="20">
        <v>213</v>
      </c>
      <c r="AA95" s="20"/>
      <c r="AB95" s="20"/>
      <c r="AC95" s="20"/>
    </row>
    <row r="96" spans="1:29" ht="15.75" customHeight="1">
      <c r="A96" s="8">
        <v>95</v>
      </c>
      <c r="B96" s="20" t="s">
        <v>1120</v>
      </c>
      <c r="C96" s="20" t="s">
        <v>1121</v>
      </c>
      <c r="D96" s="159"/>
      <c r="E96" s="159"/>
      <c r="F96" s="159"/>
      <c r="G96" s="159"/>
      <c r="H96" s="159"/>
      <c r="I96" s="159"/>
      <c r="J96" s="159"/>
      <c r="K96" s="159"/>
      <c r="L96" s="159"/>
      <c r="M96" s="204">
        <v>50</v>
      </c>
      <c r="N96" s="167"/>
      <c r="O96" s="227"/>
      <c r="P96" s="177">
        <v>43724</v>
      </c>
      <c r="Q96" s="106">
        <v>43724</v>
      </c>
      <c r="R96" s="106">
        <v>43724</v>
      </c>
      <c r="S96" s="8" t="s">
        <v>170</v>
      </c>
      <c r="T96" s="167" t="s">
        <v>1122</v>
      </c>
      <c r="U96" s="167" t="s">
        <v>1123</v>
      </c>
      <c r="V96" s="167">
        <v>502277874</v>
      </c>
      <c r="W96" s="20"/>
      <c r="X96" s="20" t="s">
        <v>1124</v>
      </c>
      <c r="Y96" s="20"/>
      <c r="Z96" s="20">
        <v>212</v>
      </c>
      <c r="AA96" s="20"/>
      <c r="AB96" s="20"/>
      <c r="AC96" s="20"/>
    </row>
    <row r="97" spans="1:29" ht="15.75" customHeight="1">
      <c r="A97" s="8">
        <v>96</v>
      </c>
      <c r="B97" s="20" t="s">
        <v>645</v>
      </c>
      <c r="C97" s="20" t="s">
        <v>1125</v>
      </c>
      <c r="D97" s="159"/>
      <c r="E97" s="159"/>
      <c r="F97" s="159"/>
      <c r="G97" s="159"/>
      <c r="H97" s="159"/>
      <c r="I97" s="159"/>
      <c r="J97" s="159"/>
      <c r="K97" s="159"/>
      <c r="L97" s="159"/>
      <c r="M97" s="204">
        <v>50</v>
      </c>
      <c r="N97" s="167"/>
      <c r="O97" s="234">
        <v>50</v>
      </c>
      <c r="P97" s="177">
        <v>43751</v>
      </c>
      <c r="Q97" s="106">
        <v>43751</v>
      </c>
      <c r="R97" s="106">
        <v>44475</v>
      </c>
      <c r="S97" s="8" t="s">
        <v>170</v>
      </c>
      <c r="T97" s="167" t="s">
        <v>1126</v>
      </c>
      <c r="U97" s="167" t="s">
        <v>1127</v>
      </c>
      <c r="V97" s="167">
        <v>793603358</v>
      </c>
      <c r="W97" s="20"/>
      <c r="X97" s="20" t="s">
        <v>1128</v>
      </c>
      <c r="Y97" s="20"/>
      <c r="Z97" s="20">
        <v>214</v>
      </c>
      <c r="AA97" s="20"/>
      <c r="AB97" s="20"/>
      <c r="AC97" s="20" t="s">
        <v>1129</v>
      </c>
    </row>
    <row r="98" spans="1:29" ht="15.75" customHeight="1">
      <c r="A98" s="8">
        <v>97</v>
      </c>
      <c r="B98" s="20" t="s">
        <v>1130</v>
      </c>
      <c r="C98" s="20" t="s">
        <v>1131</v>
      </c>
      <c r="D98" s="159"/>
      <c r="E98" s="159"/>
      <c r="F98" s="159"/>
      <c r="G98" s="159"/>
      <c r="H98" s="159"/>
      <c r="I98" s="159"/>
      <c r="J98" s="159"/>
      <c r="K98" s="159"/>
      <c r="L98" s="159"/>
      <c r="M98" s="204">
        <v>50</v>
      </c>
      <c r="N98" s="167"/>
      <c r="O98" s="234">
        <v>50</v>
      </c>
      <c r="P98" s="177">
        <v>43763</v>
      </c>
      <c r="Q98" s="106">
        <v>43766</v>
      </c>
      <c r="R98" s="106">
        <v>44475</v>
      </c>
      <c r="S98" s="8" t="s">
        <v>170</v>
      </c>
      <c r="T98" s="167" t="s">
        <v>1132</v>
      </c>
      <c r="U98" s="167" t="s">
        <v>1133</v>
      </c>
      <c r="V98" s="167">
        <v>881557200</v>
      </c>
      <c r="W98" s="20"/>
      <c r="X98" s="20" t="s">
        <v>1134</v>
      </c>
      <c r="Y98" s="20"/>
      <c r="Z98" s="20">
        <v>215</v>
      </c>
      <c r="AA98" s="20"/>
      <c r="AB98" s="20"/>
      <c r="AC98" s="20"/>
    </row>
    <row r="99" spans="1:29" ht="15.75" customHeight="1">
      <c r="A99" s="8">
        <v>98</v>
      </c>
      <c r="B99" s="20" t="s">
        <v>1135</v>
      </c>
      <c r="C99" s="20" t="s">
        <v>1136</v>
      </c>
      <c r="D99" s="159"/>
      <c r="E99" s="159"/>
      <c r="F99" s="159"/>
      <c r="G99" s="159"/>
      <c r="H99" s="159"/>
      <c r="I99" s="159"/>
      <c r="J99" s="159"/>
      <c r="K99" s="159"/>
      <c r="L99" s="159"/>
      <c r="M99" s="204">
        <v>50</v>
      </c>
      <c r="N99" s="167"/>
      <c r="O99" s="227"/>
      <c r="P99" s="177">
        <v>43766</v>
      </c>
      <c r="Q99" s="106">
        <v>43767</v>
      </c>
      <c r="R99" s="106">
        <v>43767</v>
      </c>
      <c r="S99" s="8" t="s">
        <v>170</v>
      </c>
      <c r="T99" s="167" t="s">
        <v>1137</v>
      </c>
      <c r="U99" s="167" t="s">
        <v>1138</v>
      </c>
      <c r="V99" s="167">
        <v>660507453</v>
      </c>
      <c r="W99" s="20"/>
      <c r="X99" s="20" t="s">
        <v>1139</v>
      </c>
      <c r="Y99" s="20"/>
      <c r="Z99" s="20">
        <v>216</v>
      </c>
      <c r="AA99" s="20"/>
      <c r="AB99" s="20"/>
      <c r="AC99" s="20"/>
    </row>
    <row r="100" spans="1:29" ht="15.75" customHeight="1">
      <c r="A100" s="8">
        <v>99</v>
      </c>
      <c r="B100" s="20" t="s">
        <v>279</v>
      </c>
      <c r="C100" s="20" t="s">
        <v>920</v>
      </c>
      <c r="D100" s="159"/>
      <c r="E100" s="159"/>
      <c r="F100" s="159"/>
      <c r="G100" s="159"/>
      <c r="H100" s="159"/>
      <c r="I100" s="159"/>
      <c r="J100" s="159"/>
      <c r="K100" s="159"/>
      <c r="L100" s="159"/>
      <c r="M100" s="204">
        <v>50</v>
      </c>
      <c r="N100" s="167"/>
      <c r="O100" s="227"/>
      <c r="P100" s="177">
        <v>43770</v>
      </c>
      <c r="Q100" s="106">
        <v>43773</v>
      </c>
      <c r="R100" s="106">
        <v>43773</v>
      </c>
      <c r="S100" s="8" t="s">
        <v>170</v>
      </c>
      <c r="T100" s="167" t="s">
        <v>921</v>
      </c>
      <c r="U100" s="167" t="s">
        <v>922</v>
      </c>
      <c r="V100" s="186">
        <v>514945980</v>
      </c>
      <c r="W100" s="20"/>
      <c r="X100" s="20" t="s">
        <v>923</v>
      </c>
      <c r="Y100" s="20"/>
      <c r="Z100" s="20">
        <v>217</v>
      </c>
      <c r="AA100" s="20"/>
      <c r="AB100" s="20"/>
      <c r="AC100" s="20"/>
    </row>
    <row r="101" spans="1:29" ht="15.75" customHeight="1">
      <c r="A101" s="8">
        <v>100</v>
      </c>
      <c r="B101" s="20" t="s">
        <v>1140</v>
      </c>
      <c r="C101" s="20" t="s">
        <v>1141</v>
      </c>
      <c r="D101" s="159"/>
      <c r="E101" s="159"/>
      <c r="F101" s="159"/>
      <c r="G101" s="159"/>
      <c r="H101" s="159"/>
      <c r="I101" s="159"/>
      <c r="J101" s="159"/>
      <c r="K101" s="159"/>
      <c r="L101" s="159"/>
      <c r="M101" s="204">
        <v>50</v>
      </c>
      <c r="N101" s="167"/>
      <c r="O101" s="227"/>
      <c r="P101" s="177">
        <v>43771</v>
      </c>
      <c r="Q101" s="106">
        <v>43773</v>
      </c>
      <c r="R101" s="106">
        <v>43773</v>
      </c>
      <c r="S101" s="8" t="s">
        <v>170</v>
      </c>
      <c r="T101" s="167" t="s">
        <v>1142</v>
      </c>
      <c r="U101" s="167" t="s">
        <v>1143</v>
      </c>
      <c r="V101" s="167">
        <v>667596383</v>
      </c>
      <c r="W101" s="20"/>
      <c r="X101" s="20" t="s">
        <v>1144</v>
      </c>
      <c r="Y101" s="20"/>
      <c r="Z101" s="20">
        <v>218</v>
      </c>
      <c r="AA101" s="20"/>
      <c r="AB101" s="20"/>
      <c r="AC101" s="20"/>
    </row>
    <row r="102" spans="1:29" ht="15.75" customHeight="1">
      <c r="A102" s="8">
        <v>101</v>
      </c>
      <c r="B102" s="20" t="s">
        <v>446</v>
      </c>
      <c r="C102" s="20" t="s">
        <v>1145</v>
      </c>
      <c r="D102" s="159"/>
      <c r="E102" s="159"/>
      <c r="F102" s="159"/>
      <c r="G102" s="159"/>
      <c r="H102" s="159"/>
      <c r="I102" s="159"/>
      <c r="J102" s="159"/>
      <c r="K102" s="159"/>
      <c r="L102" s="159"/>
      <c r="M102" s="204">
        <v>50</v>
      </c>
      <c r="N102" s="167">
        <v>50</v>
      </c>
      <c r="O102" s="236">
        <v>50</v>
      </c>
      <c r="P102" s="177">
        <v>43777</v>
      </c>
      <c r="Q102" s="106">
        <v>43781</v>
      </c>
      <c r="R102" s="106">
        <v>44502</v>
      </c>
      <c r="S102" s="8" t="s">
        <v>170</v>
      </c>
      <c r="T102" s="167" t="s">
        <v>1146</v>
      </c>
      <c r="U102" s="167" t="s">
        <v>1147</v>
      </c>
      <c r="V102" s="167">
        <v>691963096</v>
      </c>
      <c r="W102" s="20"/>
      <c r="X102" s="20" t="s">
        <v>1148</v>
      </c>
      <c r="Y102" s="20"/>
      <c r="Z102" s="20">
        <v>219</v>
      </c>
      <c r="AA102" s="40" t="s">
        <v>200</v>
      </c>
      <c r="AB102" s="20"/>
      <c r="AC102" s="20"/>
    </row>
    <row r="103" spans="1:29" ht="15.75" customHeight="1">
      <c r="A103" s="8">
        <v>102</v>
      </c>
      <c r="B103" s="20" t="s">
        <v>1149</v>
      </c>
      <c r="C103" s="20" t="s">
        <v>1150</v>
      </c>
      <c r="D103" s="159"/>
      <c r="E103" s="159"/>
      <c r="F103" s="159"/>
      <c r="G103" s="159"/>
      <c r="H103" s="159"/>
      <c r="I103" s="159"/>
      <c r="J103" s="159"/>
      <c r="K103" s="159"/>
      <c r="L103" s="159"/>
      <c r="M103" s="204">
        <v>50</v>
      </c>
      <c r="N103" s="167"/>
      <c r="O103" s="227"/>
      <c r="P103" s="177">
        <v>43781</v>
      </c>
      <c r="Q103" s="106">
        <v>43782</v>
      </c>
      <c r="R103" s="106">
        <v>43782</v>
      </c>
      <c r="S103" s="8" t="s">
        <v>170</v>
      </c>
      <c r="T103" s="167" t="s">
        <v>1151</v>
      </c>
      <c r="U103" s="167" t="s">
        <v>1152</v>
      </c>
      <c r="V103" s="167">
        <v>733869262</v>
      </c>
      <c r="W103" s="20"/>
      <c r="X103" s="20" t="s">
        <v>1153</v>
      </c>
      <c r="Y103" s="20"/>
      <c r="Z103" s="20">
        <v>220</v>
      </c>
      <c r="AA103" s="20"/>
      <c r="AB103" s="20"/>
      <c r="AC103" s="20"/>
    </row>
    <row r="104" spans="1:29" ht="15.75" customHeight="1">
      <c r="A104" s="8">
        <v>103</v>
      </c>
      <c r="B104" s="20" t="s">
        <v>13</v>
      </c>
      <c r="C104" s="20" t="s">
        <v>1154</v>
      </c>
      <c r="D104" s="159"/>
      <c r="E104" s="159"/>
      <c r="F104" s="159"/>
      <c r="G104" s="159"/>
      <c r="H104" s="159"/>
      <c r="I104" s="159"/>
      <c r="J104" s="159"/>
      <c r="K104" s="159"/>
      <c r="L104" s="159"/>
      <c r="M104" s="20">
        <v>50</v>
      </c>
      <c r="N104" s="167"/>
      <c r="O104" s="167"/>
      <c r="P104" s="169">
        <v>43804</v>
      </c>
      <c r="Q104" s="169">
        <v>43804</v>
      </c>
      <c r="R104" s="169">
        <v>43804</v>
      </c>
      <c r="S104" s="8" t="s">
        <v>170</v>
      </c>
      <c r="T104" s="167" t="s">
        <v>1155</v>
      </c>
      <c r="U104" s="167" t="s">
        <v>1156</v>
      </c>
      <c r="V104" s="167">
        <v>504282713</v>
      </c>
      <c r="W104" s="20"/>
      <c r="X104" s="20" t="s">
        <v>1157</v>
      </c>
      <c r="Y104" s="20"/>
      <c r="Z104" s="20">
        <v>221</v>
      </c>
      <c r="AA104" s="20"/>
      <c r="AB104" s="20"/>
      <c r="AC104" s="20"/>
    </row>
    <row r="105" spans="1:29" ht="15.75" customHeight="1">
      <c r="A105" s="8">
        <v>104</v>
      </c>
      <c r="B105" s="20" t="s">
        <v>1158</v>
      </c>
      <c r="C105" s="20" t="s">
        <v>1154</v>
      </c>
      <c r="D105" s="159"/>
      <c r="E105" s="159"/>
      <c r="F105" s="159"/>
      <c r="G105" s="159"/>
      <c r="H105" s="159"/>
      <c r="I105" s="159"/>
      <c r="J105" s="159"/>
      <c r="K105" s="159"/>
      <c r="L105" s="159"/>
      <c r="M105" s="20">
        <v>50</v>
      </c>
      <c r="N105" s="167"/>
      <c r="O105" s="167"/>
      <c r="P105" s="169">
        <v>43807</v>
      </c>
      <c r="Q105" s="169">
        <v>43804</v>
      </c>
      <c r="R105" s="169">
        <v>43804</v>
      </c>
      <c r="S105" s="18" t="s">
        <v>689</v>
      </c>
      <c r="T105" s="167" t="s">
        <v>1155</v>
      </c>
      <c r="U105" s="167" t="s">
        <v>1156</v>
      </c>
      <c r="V105" s="20"/>
      <c r="W105" s="20"/>
      <c r="X105" s="20"/>
      <c r="Y105" s="20"/>
      <c r="Z105" s="20">
        <v>222</v>
      </c>
      <c r="AA105" s="20"/>
      <c r="AB105" s="20"/>
      <c r="AC105" s="20"/>
    </row>
    <row r="106" spans="1:29" ht="15.75" customHeight="1">
      <c r="A106" s="8">
        <v>105</v>
      </c>
      <c r="B106" s="20" t="s">
        <v>1159</v>
      </c>
      <c r="C106" s="20" t="s">
        <v>1154</v>
      </c>
      <c r="D106" s="159"/>
      <c r="E106" s="159"/>
      <c r="F106" s="159"/>
      <c r="G106" s="159"/>
      <c r="H106" s="159"/>
      <c r="I106" s="159"/>
      <c r="J106" s="159"/>
      <c r="K106" s="159"/>
      <c r="L106" s="159"/>
      <c r="M106" s="20">
        <v>50</v>
      </c>
      <c r="N106" s="167"/>
      <c r="O106" s="167"/>
      <c r="P106" s="169">
        <v>43807</v>
      </c>
      <c r="Q106" s="169">
        <v>43804</v>
      </c>
      <c r="R106" s="169">
        <v>43804</v>
      </c>
      <c r="S106" s="18" t="s">
        <v>689</v>
      </c>
      <c r="T106" s="167" t="s">
        <v>1155</v>
      </c>
      <c r="U106" s="167" t="s">
        <v>1156</v>
      </c>
      <c r="V106" s="20"/>
      <c r="W106" s="20"/>
      <c r="X106" s="20"/>
      <c r="Y106" s="20"/>
      <c r="Z106" s="20">
        <v>223</v>
      </c>
      <c r="AA106" s="20"/>
      <c r="AB106" s="20"/>
      <c r="AC106" s="20"/>
    </row>
    <row r="107" spans="1:29" ht="15.75" customHeight="1">
      <c r="A107" s="8">
        <v>106</v>
      </c>
      <c r="B107" s="20" t="s">
        <v>1160</v>
      </c>
      <c r="C107" s="20" t="s">
        <v>1161</v>
      </c>
      <c r="D107" s="159"/>
      <c r="E107" s="159"/>
      <c r="F107" s="159"/>
      <c r="G107" s="159"/>
      <c r="H107" s="159"/>
      <c r="I107" s="159"/>
      <c r="J107" s="159"/>
      <c r="K107" s="159"/>
      <c r="L107" s="159"/>
      <c r="M107" s="20">
        <v>50</v>
      </c>
      <c r="N107" s="167"/>
      <c r="O107" s="167"/>
      <c r="P107" s="169">
        <v>43794</v>
      </c>
      <c r="Q107" s="169">
        <v>43794</v>
      </c>
      <c r="R107" s="169">
        <v>43795</v>
      </c>
      <c r="S107" s="8" t="s">
        <v>170</v>
      </c>
      <c r="T107" s="167" t="s">
        <v>1162</v>
      </c>
      <c r="U107" s="167" t="s">
        <v>1163</v>
      </c>
      <c r="V107" s="228">
        <v>393492805374</v>
      </c>
      <c r="W107" s="20"/>
      <c r="X107" s="20" t="s">
        <v>1164</v>
      </c>
      <c r="Y107" s="20"/>
      <c r="Z107" s="20">
        <v>224</v>
      </c>
      <c r="AA107" s="20"/>
      <c r="AB107" s="20"/>
      <c r="AC107" s="20"/>
    </row>
    <row r="108" spans="1:29" ht="15.75" customHeight="1">
      <c r="A108" s="8">
        <v>107</v>
      </c>
      <c r="B108" s="20" t="s">
        <v>1168</v>
      </c>
      <c r="C108" s="20" t="s">
        <v>1169</v>
      </c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67">
        <v>50</v>
      </c>
      <c r="O108" s="236">
        <v>50</v>
      </c>
      <c r="P108" s="169">
        <v>43878</v>
      </c>
      <c r="Q108" s="169">
        <v>43879</v>
      </c>
      <c r="R108" s="169">
        <v>44475</v>
      </c>
      <c r="S108" s="8" t="s">
        <v>170</v>
      </c>
      <c r="T108" s="167" t="s">
        <v>1170</v>
      </c>
      <c r="U108" s="167" t="s">
        <v>1171</v>
      </c>
      <c r="V108" s="167">
        <v>664844898</v>
      </c>
      <c r="W108" s="20"/>
      <c r="X108" s="20" t="s">
        <v>1172</v>
      </c>
      <c r="Y108" s="20"/>
      <c r="Z108" s="20">
        <v>225</v>
      </c>
      <c r="AA108" s="20"/>
      <c r="AB108" s="20" t="s">
        <v>1173</v>
      </c>
      <c r="AC108" s="20"/>
    </row>
    <row r="109" spans="1:29" ht="15.75" customHeight="1">
      <c r="A109" s="8">
        <v>108</v>
      </c>
      <c r="B109" s="20" t="s">
        <v>134</v>
      </c>
      <c r="C109" s="20" t="s">
        <v>1174</v>
      </c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67">
        <v>50</v>
      </c>
      <c r="O109" s="167">
        <v>50</v>
      </c>
      <c r="P109" s="169">
        <v>43879</v>
      </c>
      <c r="Q109" s="169">
        <v>43879</v>
      </c>
      <c r="R109" s="169">
        <v>44256</v>
      </c>
      <c r="S109" s="8" t="s">
        <v>170</v>
      </c>
      <c r="T109" s="167" t="s">
        <v>1175</v>
      </c>
      <c r="U109" s="167" t="s">
        <v>615</v>
      </c>
      <c r="V109" s="167">
        <v>663175709</v>
      </c>
      <c r="W109" s="20"/>
      <c r="X109" s="20" t="s">
        <v>1176</v>
      </c>
      <c r="Y109" s="20"/>
      <c r="Z109" s="20">
        <v>226</v>
      </c>
      <c r="AA109" s="20"/>
      <c r="AB109" s="20"/>
      <c r="AC109" s="20"/>
    </row>
    <row r="110" spans="1:29" ht="15.75" customHeight="1">
      <c r="A110" s="8">
        <v>109</v>
      </c>
      <c r="B110" s="20" t="s">
        <v>35</v>
      </c>
      <c r="C110" s="20" t="s">
        <v>1177</v>
      </c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67">
        <v>50</v>
      </c>
      <c r="O110" s="167"/>
      <c r="P110" s="169">
        <v>43895</v>
      </c>
      <c r="Q110" s="169">
        <v>43895</v>
      </c>
      <c r="R110" s="169">
        <v>43895</v>
      </c>
      <c r="S110" s="8" t="s">
        <v>170</v>
      </c>
      <c r="T110" s="167" t="s">
        <v>1178</v>
      </c>
      <c r="U110" s="167" t="s">
        <v>1179</v>
      </c>
      <c r="V110" s="167" t="s">
        <v>1180</v>
      </c>
      <c r="W110" s="20"/>
      <c r="X110" s="20" t="s">
        <v>1181</v>
      </c>
      <c r="Y110" s="20"/>
      <c r="Z110" s="20">
        <v>232</v>
      </c>
      <c r="AA110" s="20"/>
      <c r="AB110" s="20"/>
      <c r="AC110" s="20"/>
    </row>
    <row r="111" spans="1:29" ht="15.75" customHeight="1">
      <c r="A111" s="8">
        <v>110</v>
      </c>
      <c r="B111" s="20" t="s">
        <v>568</v>
      </c>
      <c r="C111" s="20" t="s">
        <v>1182</v>
      </c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67">
        <v>50</v>
      </c>
      <c r="O111" s="167"/>
      <c r="P111" s="169">
        <v>43935</v>
      </c>
      <c r="Q111" s="169">
        <v>43937</v>
      </c>
      <c r="R111" s="169">
        <v>43937</v>
      </c>
      <c r="S111" s="8" t="s">
        <v>170</v>
      </c>
      <c r="T111" s="167" t="s">
        <v>1183</v>
      </c>
      <c r="U111" s="167" t="s">
        <v>1184</v>
      </c>
      <c r="V111" s="167">
        <v>798418759</v>
      </c>
      <c r="W111" s="20"/>
      <c r="X111" s="20" t="s">
        <v>1185</v>
      </c>
      <c r="Y111" s="20"/>
      <c r="Z111" s="20">
        <v>227</v>
      </c>
      <c r="AA111" s="20"/>
      <c r="AB111" s="20"/>
      <c r="AC111" s="20"/>
    </row>
    <row r="112" spans="1:29" ht="15.75" customHeight="1">
      <c r="A112" s="8">
        <v>111</v>
      </c>
      <c r="B112" s="20" t="s">
        <v>556</v>
      </c>
      <c r="C112" s="20" t="s">
        <v>1186</v>
      </c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67">
        <v>50</v>
      </c>
      <c r="O112" s="167"/>
      <c r="P112" s="169">
        <v>43920</v>
      </c>
      <c r="Q112" s="169">
        <v>43951</v>
      </c>
      <c r="R112" s="169">
        <v>43951</v>
      </c>
      <c r="S112" s="18" t="s">
        <v>689</v>
      </c>
      <c r="T112" s="167" t="s">
        <v>1187</v>
      </c>
      <c r="U112" s="167" t="s">
        <v>1188</v>
      </c>
      <c r="V112" s="167">
        <v>602742622</v>
      </c>
      <c r="W112" s="20"/>
      <c r="X112" s="20" t="s">
        <v>1189</v>
      </c>
      <c r="Y112" s="20"/>
      <c r="Z112" s="20">
        <v>228</v>
      </c>
      <c r="AA112" s="20"/>
      <c r="AB112" s="20"/>
      <c r="AC112" s="20" t="s">
        <v>1190</v>
      </c>
    </row>
    <row r="113" spans="1:29" ht="15.75" customHeight="1">
      <c r="A113" s="8">
        <v>112</v>
      </c>
      <c r="B113" s="20" t="s">
        <v>1191</v>
      </c>
      <c r="C113" s="20" t="s">
        <v>1192</v>
      </c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0">
        <v>50</v>
      </c>
      <c r="O113" s="10"/>
      <c r="P113" s="169">
        <v>43982</v>
      </c>
      <c r="Q113" s="169">
        <v>43983</v>
      </c>
      <c r="R113" s="169">
        <v>43983</v>
      </c>
      <c r="S113" s="8" t="s">
        <v>170</v>
      </c>
      <c r="T113" s="167" t="s">
        <v>1193</v>
      </c>
      <c r="U113" s="167" t="s">
        <v>1194</v>
      </c>
      <c r="V113" s="167">
        <v>512305330</v>
      </c>
      <c r="W113" s="20"/>
      <c r="X113" s="20" t="s">
        <v>1195</v>
      </c>
      <c r="Y113" s="20"/>
      <c r="Z113" s="20">
        <v>229</v>
      </c>
      <c r="AA113" s="20"/>
      <c r="AB113" s="20"/>
      <c r="AC113" s="20"/>
    </row>
    <row r="114" spans="1:29" ht="15.75" customHeight="1">
      <c r="A114" s="8">
        <v>113</v>
      </c>
      <c r="B114" s="20" t="s">
        <v>127</v>
      </c>
      <c r="C114" s="20" t="s">
        <v>1196</v>
      </c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0">
        <v>50</v>
      </c>
      <c r="O114" s="10"/>
      <c r="P114" s="169">
        <v>43997</v>
      </c>
      <c r="Q114" s="169">
        <v>43998</v>
      </c>
      <c r="R114" s="169">
        <v>43998</v>
      </c>
      <c r="S114" s="8" t="s">
        <v>170</v>
      </c>
      <c r="T114" s="167" t="s">
        <v>1197</v>
      </c>
      <c r="U114" s="167" t="s">
        <v>1198</v>
      </c>
      <c r="V114" s="167">
        <v>692982432</v>
      </c>
      <c r="W114" s="20"/>
      <c r="X114" s="20" t="s">
        <v>1199</v>
      </c>
      <c r="Y114" s="20"/>
      <c r="Z114" s="20">
        <v>230</v>
      </c>
      <c r="AA114" s="20"/>
      <c r="AB114" s="20"/>
      <c r="AC114" s="20"/>
    </row>
    <row r="115" spans="1:29" ht="15.75" customHeight="1">
      <c r="A115" s="8">
        <v>114</v>
      </c>
      <c r="B115" s="20" t="s">
        <v>465</v>
      </c>
      <c r="C115" s="20" t="s">
        <v>1200</v>
      </c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0">
        <v>50</v>
      </c>
      <c r="O115" s="10"/>
      <c r="P115" s="169">
        <v>44001</v>
      </c>
      <c r="Q115" s="169">
        <v>44001</v>
      </c>
      <c r="R115" s="169">
        <v>44001</v>
      </c>
      <c r="S115" s="8" t="s">
        <v>170</v>
      </c>
      <c r="T115" s="167" t="s">
        <v>1201</v>
      </c>
      <c r="U115" s="167" t="s">
        <v>1202</v>
      </c>
      <c r="V115" s="167">
        <v>579639631</v>
      </c>
      <c r="W115" s="20" t="s">
        <v>1203</v>
      </c>
      <c r="X115" s="20" t="s">
        <v>1204</v>
      </c>
      <c r="Y115" s="20"/>
      <c r="Z115" s="20">
        <v>231</v>
      </c>
      <c r="AA115" s="20"/>
      <c r="AB115" s="20"/>
      <c r="AC115" s="20"/>
    </row>
    <row r="116" spans="1:29" ht="15.75" customHeight="1">
      <c r="A116" s="8">
        <v>115</v>
      </c>
      <c r="B116" s="20" t="s">
        <v>325</v>
      </c>
      <c r="C116" s="20" t="s">
        <v>1205</v>
      </c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67">
        <v>50</v>
      </c>
      <c r="O116" s="236">
        <v>50</v>
      </c>
      <c r="P116" s="169">
        <v>44020</v>
      </c>
      <c r="Q116" s="169">
        <v>44020</v>
      </c>
      <c r="R116" s="169">
        <v>44475</v>
      </c>
      <c r="S116" s="8" t="s">
        <v>170</v>
      </c>
      <c r="T116" s="167" t="s">
        <v>1206</v>
      </c>
      <c r="U116" s="167" t="s">
        <v>1207</v>
      </c>
      <c r="V116" s="167">
        <v>570211227</v>
      </c>
      <c r="W116" s="20" t="s">
        <v>1208</v>
      </c>
      <c r="X116" s="20" t="s">
        <v>1209</v>
      </c>
      <c r="Y116" s="20"/>
      <c r="Z116" s="20">
        <v>233</v>
      </c>
      <c r="AA116" s="40" t="s">
        <v>200</v>
      </c>
      <c r="AB116" s="20" t="s">
        <v>1210</v>
      </c>
      <c r="AC116" s="20"/>
    </row>
    <row r="117" spans="1:29" ht="15.75" customHeight="1">
      <c r="A117" s="8">
        <v>116</v>
      </c>
      <c r="B117" s="20" t="s">
        <v>212</v>
      </c>
      <c r="C117" s="20" t="s">
        <v>1211</v>
      </c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67">
        <v>50</v>
      </c>
      <c r="O117" s="236">
        <v>50</v>
      </c>
      <c r="P117" s="169">
        <v>44032</v>
      </c>
      <c r="Q117" s="169">
        <v>44033</v>
      </c>
      <c r="R117" s="169">
        <v>44508</v>
      </c>
      <c r="S117" s="8" t="s">
        <v>170</v>
      </c>
      <c r="T117" s="167" t="s">
        <v>1212</v>
      </c>
      <c r="U117" s="167" t="s">
        <v>1213</v>
      </c>
      <c r="V117" s="167">
        <v>724567921</v>
      </c>
      <c r="W117" s="20" t="s">
        <v>1214</v>
      </c>
      <c r="X117" s="20" t="s">
        <v>1215</v>
      </c>
      <c r="Y117" s="20"/>
      <c r="Z117" s="20">
        <v>234</v>
      </c>
      <c r="AA117" s="40" t="s">
        <v>200</v>
      </c>
      <c r="AB117" s="20" t="s">
        <v>1216</v>
      </c>
      <c r="AC117" s="20" t="s">
        <v>1217</v>
      </c>
    </row>
    <row r="118" spans="1:29" ht="15.75" customHeight="1">
      <c r="A118" s="8">
        <v>117</v>
      </c>
      <c r="B118" s="20" t="s">
        <v>345</v>
      </c>
      <c r="C118" s="20" t="s">
        <v>981</v>
      </c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67">
        <v>50</v>
      </c>
      <c r="O118" s="236">
        <v>50</v>
      </c>
      <c r="P118" s="169">
        <v>44038</v>
      </c>
      <c r="Q118" s="169">
        <v>44039</v>
      </c>
      <c r="R118" s="169">
        <v>44474</v>
      </c>
      <c r="S118" s="8" t="s">
        <v>170</v>
      </c>
      <c r="T118" s="167" t="s">
        <v>1218</v>
      </c>
      <c r="U118" s="167" t="s">
        <v>1219</v>
      </c>
      <c r="V118" s="167">
        <v>795494851</v>
      </c>
      <c r="W118" s="20" t="s">
        <v>1220</v>
      </c>
      <c r="X118" s="20" t="s">
        <v>1221</v>
      </c>
      <c r="Y118" s="20"/>
      <c r="Z118" s="20">
        <v>235</v>
      </c>
      <c r="AA118" s="40" t="s">
        <v>200</v>
      </c>
      <c r="AB118" s="20" t="s">
        <v>1222</v>
      </c>
      <c r="AC118" s="20" t="s">
        <v>1223</v>
      </c>
    </row>
    <row r="119" spans="1:29" ht="15.75" customHeight="1">
      <c r="A119" s="8">
        <v>118</v>
      </c>
      <c r="B119" s="20" t="s">
        <v>1224</v>
      </c>
      <c r="C119" s="20" t="s">
        <v>1225</v>
      </c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67">
        <v>50</v>
      </c>
      <c r="O119" s="167"/>
      <c r="P119" s="169">
        <v>44047</v>
      </c>
      <c r="Q119" s="169">
        <v>44048</v>
      </c>
      <c r="R119" s="169">
        <v>44048</v>
      </c>
      <c r="S119" s="8" t="s">
        <v>170</v>
      </c>
      <c r="T119" s="167" t="s">
        <v>1226</v>
      </c>
      <c r="U119" s="167" t="s">
        <v>1227</v>
      </c>
      <c r="V119" s="167">
        <v>600549246</v>
      </c>
      <c r="W119" s="20"/>
      <c r="X119" s="20" t="s">
        <v>1228</v>
      </c>
      <c r="Y119" s="20"/>
      <c r="Z119" s="20">
        <v>236</v>
      </c>
      <c r="AA119" s="40" t="s">
        <v>200</v>
      </c>
      <c r="AB119" s="20"/>
      <c r="AC119" s="20"/>
    </row>
    <row r="120" spans="1:29" ht="15.75" customHeight="1">
      <c r="A120" s="8">
        <v>119</v>
      </c>
      <c r="B120" s="20" t="s">
        <v>543</v>
      </c>
      <c r="C120" s="20" t="s">
        <v>1229</v>
      </c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67">
        <v>50</v>
      </c>
      <c r="O120" s="167"/>
      <c r="P120" s="169">
        <v>44047</v>
      </c>
      <c r="Q120" s="169">
        <v>44048</v>
      </c>
      <c r="R120" s="169">
        <v>44048</v>
      </c>
      <c r="S120" s="8" t="s">
        <v>170</v>
      </c>
      <c r="T120" s="167" t="s">
        <v>1230</v>
      </c>
      <c r="U120" s="167" t="s">
        <v>1231</v>
      </c>
      <c r="V120" s="167">
        <v>510097957</v>
      </c>
      <c r="W120" s="20"/>
      <c r="X120" s="20" t="s">
        <v>1232</v>
      </c>
      <c r="Y120" s="20"/>
      <c r="Z120" s="20">
        <v>237</v>
      </c>
      <c r="AA120" s="20"/>
      <c r="AB120" s="20" t="s">
        <v>1233</v>
      </c>
      <c r="AC120" s="20"/>
    </row>
    <row r="121" spans="1:29" ht="15.75" customHeight="1">
      <c r="A121" s="8">
        <v>120</v>
      </c>
      <c r="B121" s="20" t="s">
        <v>300</v>
      </c>
      <c r="C121" s="20" t="s">
        <v>1234</v>
      </c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67">
        <v>50</v>
      </c>
      <c r="O121" s="167"/>
      <c r="P121" s="169">
        <v>44048</v>
      </c>
      <c r="Q121" s="169">
        <v>44050</v>
      </c>
      <c r="R121" s="169">
        <v>44050</v>
      </c>
      <c r="S121" s="8" t="s">
        <v>170</v>
      </c>
      <c r="T121" s="167" t="s">
        <v>1235</v>
      </c>
      <c r="U121" s="167" t="s">
        <v>1236</v>
      </c>
      <c r="V121" s="167">
        <v>732999174</v>
      </c>
      <c r="W121" s="20"/>
      <c r="X121" s="20" t="s">
        <v>1237</v>
      </c>
      <c r="Y121" s="20"/>
      <c r="Z121" s="20">
        <v>238</v>
      </c>
      <c r="AA121" s="40" t="s">
        <v>200</v>
      </c>
      <c r="AB121" s="20"/>
      <c r="AC121" s="20"/>
    </row>
    <row r="122" spans="1:29" ht="15.75" customHeight="1">
      <c r="A122" s="8">
        <v>121</v>
      </c>
      <c r="B122" s="20" t="s">
        <v>1238</v>
      </c>
      <c r="C122" s="20" t="s">
        <v>1239</v>
      </c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67">
        <v>50</v>
      </c>
      <c r="O122" s="167"/>
      <c r="P122" s="169">
        <v>44048</v>
      </c>
      <c r="Q122" s="169">
        <v>44049</v>
      </c>
      <c r="R122" s="169">
        <v>44049</v>
      </c>
      <c r="S122" s="8" t="s">
        <v>170</v>
      </c>
      <c r="T122" s="167" t="s">
        <v>1240</v>
      </c>
      <c r="U122" s="167" t="s">
        <v>1241</v>
      </c>
      <c r="V122" s="167">
        <v>787971008</v>
      </c>
      <c r="W122" s="20"/>
      <c r="X122" s="20" t="s">
        <v>1242</v>
      </c>
      <c r="Y122" s="20"/>
      <c r="Z122" s="20">
        <v>239</v>
      </c>
      <c r="AA122" s="40" t="s">
        <v>200</v>
      </c>
      <c r="AB122" s="20"/>
      <c r="AC122" s="20" t="s">
        <v>1243</v>
      </c>
    </row>
    <row r="123" spans="1:29" ht="15.75" customHeight="1">
      <c r="A123" s="8">
        <v>122</v>
      </c>
      <c r="B123" s="20" t="s">
        <v>1244</v>
      </c>
      <c r="C123" s="20" t="s">
        <v>1245</v>
      </c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67">
        <v>50</v>
      </c>
      <c r="O123" s="167"/>
      <c r="P123" s="169">
        <v>44049</v>
      </c>
      <c r="Q123" s="169">
        <v>44049</v>
      </c>
      <c r="R123" s="169">
        <v>44049</v>
      </c>
      <c r="S123" s="8" t="s">
        <v>170</v>
      </c>
      <c r="T123" s="167" t="s">
        <v>1246</v>
      </c>
      <c r="U123" s="167" t="s">
        <v>1247</v>
      </c>
      <c r="V123" s="167">
        <v>507487738</v>
      </c>
      <c r="W123" s="20" t="s">
        <v>1248</v>
      </c>
      <c r="X123" s="20" t="s">
        <v>1249</v>
      </c>
      <c r="Y123" s="20"/>
      <c r="Z123" s="20">
        <v>240</v>
      </c>
      <c r="AA123" s="40" t="s">
        <v>200</v>
      </c>
      <c r="AB123" s="20" t="s">
        <v>1250</v>
      </c>
      <c r="AC123" s="20"/>
    </row>
    <row r="124" spans="1:29" ht="15.75" customHeight="1">
      <c r="A124" s="8">
        <v>123</v>
      </c>
      <c r="B124" s="20" t="s">
        <v>1251</v>
      </c>
      <c r="C124" s="20" t="s">
        <v>1252</v>
      </c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67">
        <v>50</v>
      </c>
      <c r="O124" s="236">
        <v>50</v>
      </c>
      <c r="P124" s="169">
        <v>44060</v>
      </c>
      <c r="Q124" s="169">
        <v>44061</v>
      </c>
      <c r="R124" s="169">
        <v>44425</v>
      </c>
      <c r="S124" s="8" t="s">
        <v>170</v>
      </c>
      <c r="T124" s="167" t="s">
        <v>1253</v>
      </c>
      <c r="U124" s="167" t="s">
        <v>1254</v>
      </c>
      <c r="V124" s="167">
        <v>781750936</v>
      </c>
      <c r="W124" s="20" t="s">
        <v>1255</v>
      </c>
      <c r="X124" s="20" t="s">
        <v>1256</v>
      </c>
      <c r="Y124" s="20"/>
      <c r="Z124" s="20">
        <v>241</v>
      </c>
      <c r="AA124" s="40" t="s">
        <v>200</v>
      </c>
      <c r="AB124" s="20" t="s">
        <v>1257</v>
      </c>
      <c r="AC124" s="20"/>
    </row>
    <row r="125" spans="1:29" ht="15.75" customHeight="1">
      <c r="A125" s="8">
        <v>124</v>
      </c>
      <c r="B125" s="20" t="s">
        <v>568</v>
      </c>
      <c r="C125" s="20" t="s">
        <v>1258</v>
      </c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67">
        <v>50</v>
      </c>
      <c r="O125" s="167"/>
      <c r="P125" s="169">
        <v>44064</v>
      </c>
      <c r="Q125" s="169">
        <v>44064</v>
      </c>
      <c r="R125" s="169">
        <v>44064</v>
      </c>
      <c r="S125" s="8" t="s">
        <v>170</v>
      </c>
      <c r="T125" s="167" t="s">
        <v>1259</v>
      </c>
      <c r="U125" s="167" t="s">
        <v>1260</v>
      </c>
      <c r="V125" s="167">
        <v>530115465</v>
      </c>
      <c r="W125" s="20"/>
      <c r="X125" s="20" t="s">
        <v>1261</v>
      </c>
      <c r="Y125" s="20"/>
      <c r="Z125" s="20">
        <v>242</v>
      </c>
      <c r="AA125" s="20"/>
      <c r="AB125" s="20"/>
      <c r="AC125" s="20"/>
    </row>
    <row r="126" spans="1:29" ht="15.75" customHeight="1">
      <c r="A126" s="8">
        <v>125</v>
      </c>
      <c r="B126" s="20" t="s">
        <v>268</v>
      </c>
      <c r="C126" s="20" t="s">
        <v>1262</v>
      </c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67">
        <v>50</v>
      </c>
      <c r="O126" s="167"/>
      <c r="P126" s="169">
        <v>44065</v>
      </c>
      <c r="Q126" s="169">
        <v>44067</v>
      </c>
      <c r="R126" s="169">
        <v>44067</v>
      </c>
      <c r="S126" s="8" t="s">
        <v>170</v>
      </c>
      <c r="T126" s="167" t="s">
        <v>1263</v>
      </c>
      <c r="U126" s="167" t="s">
        <v>1264</v>
      </c>
      <c r="V126" s="167">
        <v>504687381</v>
      </c>
      <c r="W126" s="20"/>
      <c r="X126" s="20" t="s">
        <v>1265</v>
      </c>
      <c r="Y126" s="20"/>
      <c r="Z126" s="20">
        <v>243</v>
      </c>
      <c r="AA126" s="20"/>
      <c r="AB126" s="20" t="s">
        <v>1266</v>
      </c>
      <c r="AC126" s="20"/>
    </row>
    <row r="127" spans="1:29" ht="15.75" customHeight="1">
      <c r="A127" s="8">
        <v>126</v>
      </c>
      <c r="B127" s="20" t="s">
        <v>371</v>
      </c>
      <c r="C127" s="20" t="s">
        <v>1267</v>
      </c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67">
        <v>50</v>
      </c>
      <c r="O127" s="167"/>
      <c r="P127" s="169">
        <v>44070</v>
      </c>
      <c r="Q127" s="169">
        <v>44071</v>
      </c>
      <c r="R127" s="169">
        <v>44071</v>
      </c>
      <c r="S127" s="8" t="s">
        <v>170</v>
      </c>
      <c r="T127" s="167" t="s">
        <v>1268</v>
      </c>
      <c r="U127" s="167" t="s">
        <v>1269</v>
      </c>
      <c r="V127" s="167">
        <v>667428177</v>
      </c>
      <c r="W127" s="20"/>
      <c r="X127" s="20" t="s">
        <v>1270</v>
      </c>
      <c r="Y127" s="20"/>
      <c r="Z127" s="20">
        <v>244</v>
      </c>
      <c r="AA127" s="20"/>
      <c r="AB127" s="20" t="s">
        <v>1271</v>
      </c>
      <c r="AC127" s="20"/>
    </row>
    <row r="128" spans="1:29" ht="15.75" customHeight="1">
      <c r="A128" s="8">
        <v>127</v>
      </c>
      <c r="B128" s="20" t="s">
        <v>1272</v>
      </c>
      <c r="C128" s="20" t="s">
        <v>1273</v>
      </c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67">
        <v>50</v>
      </c>
      <c r="O128" s="167"/>
      <c r="P128" s="169">
        <v>44074</v>
      </c>
      <c r="Q128" s="169">
        <v>44074</v>
      </c>
      <c r="R128" s="169">
        <v>44074</v>
      </c>
      <c r="S128" s="8" t="s">
        <v>170</v>
      </c>
      <c r="T128" s="167" t="s">
        <v>1274</v>
      </c>
      <c r="U128" s="167" t="s">
        <v>1275</v>
      </c>
      <c r="V128" s="167">
        <v>570633458</v>
      </c>
      <c r="W128" s="20"/>
      <c r="X128" s="20" t="s">
        <v>1276</v>
      </c>
      <c r="Y128" s="20"/>
      <c r="Z128" s="20">
        <v>245</v>
      </c>
      <c r="AA128" s="20"/>
      <c r="AB128" s="20"/>
      <c r="AC128" s="20"/>
    </row>
    <row r="129" spans="1:29" ht="15.75" customHeight="1">
      <c r="A129" s="8">
        <v>128</v>
      </c>
      <c r="B129" s="20" t="s">
        <v>1277</v>
      </c>
      <c r="C129" s="20" t="s">
        <v>1278</v>
      </c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67">
        <v>50</v>
      </c>
      <c r="O129" s="167"/>
      <c r="P129" s="169">
        <v>44077</v>
      </c>
      <c r="Q129" s="169">
        <v>44078</v>
      </c>
      <c r="R129" s="169">
        <v>44078</v>
      </c>
      <c r="S129" s="8" t="s">
        <v>170</v>
      </c>
      <c r="T129" s="167" t="s">
        <v>1279</v>
      </c>
      <c r="U129" s="167" t="s">
        <v>1280</v>
      </c>
      <c r="V129" s="186">
        <v>514741060</v>
      </c>
      <c r="W129" s="230"/>
      <c r="X129" s="20" t="s">
        <v>1281</v>
      </c>
      <c r="Y129" s="20"/>
      <c r="Z129" s="20">
        <v>246</v>
      </c>
      <c r="AA129" s="20"/>
      <c r="AB129" s="141" t="s">
        <v>1282</v>
      </c>
      <c r="AC129" s="20"/>
    </row>
    <row r="130" spans="1:29" ht="15.75" customHeight="1">
      <c r="A130" s="8">
        <v>129</v>
      </c>
      <c r="B130" s="20" t="s">
        <v>1283</v>
      </c>
      <c r="C130" s="20" t="s">
        <v>1284</v>
      </c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67">
        <v>50</v>
      </c>
      <c r="O130" s="167"/>
      <c r="P130" s="169">
        <v>44081</v>
      </c>
      <c r="Q130" s="169">
        <v>44081</v>
      </c>
      <c r="R130" s="169">
        <v>44081</v>
      </c>
      <c r="S130" s="8" t="s">
        <v>170</v>
      </c>
      <c r="T130" s="167" t="s">
        <v>1285</v>
      </c>
      <c r="U130" s="167" t="s">
        <v>1286</v>
      </c>
      <c r="V130" s="167">
        <v>12218158</v>
      </c>
      <c r="W130" s="230"/>
      <c r="X130" s="20" t="s">
        <v>1287</v>
      </c>
      <c r="Y130" s="20"/>
      <c r="Z130" s="20">
        <v>247</v>
      </c>
      <c r="AA130" s="20"/>
      <c r="AB130" s="20" t="s">
        <v>1288</v>
      </c>
      <c r="AC130" s="20" t="s">
        <v>1289</v>
      </c>
    </row>
    <row r="131" spans="1:29" ht="15.75" customHeight="1">
      <c r="A131" s="8">
        <v>130</v>
      </c>
      <c r="B131" s="20" t="s">
        <v>21</v>
      </c>
      <c r="C131" s="20" t="s">
        <v>1290</v>
      </c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67">
        <v>50</v>
      </c>
      <c r="O131" s="236">
        <v>50</v>
      </c>
      <c r="P131" s="169">
        <v>44085</v>
      </c>
      <c r="Q131" s="169">
        <v>44088</v>
      </c>
      <c r="R131" s="169">
        <v>44505</v>
      </c>
      <c r="S131" s="8" t="s">
        <v>170</v>
      </c>
      <c r="T131" s="167" t="s">
        <v>1291</v>
      </c>
      <c r="U131" s="167" t="s">
        <v>1292</v>
      </c>
      <c r="V131" s="167">
        <v>609262862</v>
      </c>
      <c r="W131" s="141" t="s">
        <v>1293</v>
      </c>
      <c r="X131" s="20" t="s">
        <v>1294</v>
      </c>
      <c r="Y131" s="20"/>
      <c r="Z131" s="20">
        <v>248</v>
      </c>
      <c r="AA131" s="20"/>
      <c r="AB131" s="141" t="s">
        <v>1293</v>
      </c>
      <c r="AC131" s="20"/>
    </row>
    <row r="132" spans="1:29" ht="15.75" customHeight="1">
      <c r="A132" s="8">
        <v>131</v>
      </c>
      <c r="B132" s="20" t="s">
        <v>919</v>
      </c>
      <c r="C132" s="20" t="s">
        <v>1299</v>
      </c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67">
        <v>50</v>
      </c>
      <c r="O132" s="167"/>
      <c r="P132" s="169">
        <v>44089</v>
      </c>
      <c r="Q132" s="169">
        <v>44089</v>
      </c>
      <c r="R132" s="169">
        <v>44089</v>
      </c>
      <c r="S132" s="8" t="s">
        <v>170</v>
      </c>
      <c r="T132" s="167" t="s">
        <v>1300</v>
      </c>
      <c r="U132" s="167" t="s">
        <v>1301</v>
      </c>
      <c r="V132" s="167">
        <v>505836886</v>
      </c>
      <c r="W132" s="230"/>
      <c r="X132" s="20" t="s">
        <v>1302</v>
      </c>
      <c r="Y132" s="20"/>
      <c r="Z132" s="20">
        <v>249</v>
      </c>
      <c r="AA132" s="20"/>
      <c r="AB132" s="20"/>
      <c r="AC132" s="20"/>
    </row>
    <row r="133" spans="1:29" ht="15.75" customHeight="1">
      <c r="A133" s="8">
        <v>132</v>
      </c>
      <c r="B133" s="20" t="s">
        <v>48</v>
      </c>
      <c r="C133" s="20" t="s">
        <v>1308</v>
      </c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67">
        <v>50</v>
      </c>
      <c r="O133" s="167"/>
      <c r="P133" s="169">
        <v>44098</v>
      </c>
      <c r="Q133" s="169">
        <v>44109</v>
      </c>
      <c r="R133" s="169">
        <v>44109</v>
      </c>
      <c r="S133" s="8" t="s">
        <v>170</v>
      </c>
      <c r="T133" s="167" t="s">
        <v>1309</v>
      </c>
      <c r="U133" s="167" t="s">
        <v>1310</v>
      </c>
      <c r="V133" s="167">
        <v>728762692</v>
      </c>
      <c r="W133" s="230"/>
      <c r="X133" s="20" t="s">
        <v>1311</v>
      </c>
      <c r="Y133" s="20"/>
      <c r="Z133" s="20">
        <v>250</v>
      </c>
      <c r="AA133" s="20"/>
      <c r="AB133" s="20"/>
      <c r="AC133" s="20"/>
    </row>
    <row r="134" spans="1:29" ht="15.75" customHeight="1">
      <c r="A134" s="8">
        <v>133</v>
      </c>
      <c r="B134" s="20" t="s">
        <v>1312</v>
      </c>
      <c r="C134" s="20" t="s">
        <v>1313</v>
      </c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67">
        <v>50</v>
      </c>
      <c r="O134" s="167"/>
      <c r="P134" s="169">
        <v>44051</v>
      </c>
      <c r="Q134" s="169">
        <v>44053</v>
      </c>
      <c r="R134" s="169">
        <v>44053</v>
      </c>
      <c r="S134" s="8" t="s">
        <v>170</v>
      </c>
      <c r="T134" s="167" t="s">
        <v>1314</v>
      </c>
      <c r="U134" s="167" t="s">
        <v>1315</v>
      </c>
      <c r="V134" s="167">
        <v>662522961</v>
      </c>
      <c r="W134" s="20" t="s">
        <v>1316</v>
      </c>
      <c r="X134" s="20" t="s">
        <v>1317</v>
      </c>
      <c r="Y134" s="20"/>
      <c r="Z134" s="20">
        <v>251</v>
      </c>
      <c r="AA134" s="40" t="s">
        <v>200</v>
      </c>
      <c r="AB134" s="20"/>
      <c r="AC134" s="20"/>
    </row>
    <row r="135" spans="1:29" ht="15.75" customHeight="1">
      <c r="A135" s="8">
        <v>134</v>
      </c>
      <c r="B135" s="20" t="s">
        <v>618</v>
      </c>
      <c r="C135" s="20" t="s">
        <v>1318</v>
      </c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67">
        <v>50</v>
      </c>
      <c r="O135" s="167"/>
      <c r="P135" s="169">
        <v>44122</v>
      </c>
      <c r="Q135" s="169">
        <v>44123</v>
      </c>
      <c r="R135" s="169">
        <v>44123</v>
      </c>
      <c r="S135" s="8" t="s">
        <v>170</v>
      </c>
      <c r="T135" s="167" t="s">
        <v>1319</v>
      </c>
      <c r="U135" s="167" t="s">
        <v>933</v>
      </c>
      <c r="V135" s="167">
        <v>509291245</v>
      </c>
      <c r="W135" s="20"/>
      <c r="X135" s="20" t="s">
        <v>1320</v>
      </c>
      <c r="Y135" s="20"/>
      <c r="Z135" s="20">
        <v>252</v>
      </c>
      <c r="AA135" s="20"/>
      <c r="AB135" s="20"/>
      <c r="AC135" s="20"/>
    </row>
    <row r="136" spans="1:29" ht="15.75" customHeight="1">
      <c r="A136" s="8">
        <v>135</v>
      </c>
      <c r="B136" s="20" t="s">
        <v>1149</v>
      </c>
      <c r="C136" s="20" t="s">
        <v>1321</v>
      </c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67"/>
      <c r="O136" s="167"/>
      <c r="P136" s="169">
        <v>44146</v>
      </c>
      <c r="Q136" s="20"/>
      <c r="R136" s="20"/>
      <c r="S136" s="237" t="s">
        <v>1322</v>
      </c>
      <c r="T136" s="167" t="s">
        <v>1323</v>
      </c>
      <c r="U136" s="167" t="s">
        <v>1324</v>
      </c>
      <c r="V136" s="167">
        <v>665981182</v>
      </c>
      <c r="W136" s="20" t="s">
        <v>1325</v>
      </c>
      <c r="X136" s="20" t="s">
        <v>1326</v>
      </c>
      <c r="Y136" s="20"/>
      <c r="Z136" s="20">
        <v>253</v>
      </c>
      <c r="AA136" s="20"/>
      <c r="AB136" s="20" t="s">
        <v>1325</v>
      </c>
      <c r="AC136" s="20"/>
    </row>
    <row r="137" spans="1:29" ht="15.75" customHeight="1">
      <c r="A137" s="8">
        <v>136</v>
      </c>
      <c r="B137" s="20" t="s">
        <v>371</v>
      </c>
      <c r="C137" s="20" t="s">
        <v>1327</v>
      </c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67">
        <v>50</v>
      </c>
      <c r="O137" s="167"/>
      <c r="P137" s="169">
        <v>44153</v>
      </c>
      <c r="Q137" s="169">
        <v>44154</v>
      </c>
      <c r="R137" s="169">
        <v>44154</v>
      </c>
      <c r="S137" s="8" t="s">
        <v>170</v>
      </c>
      <c r="T137" s="167" t="s">
        <v>1328</v>
      </c>
      <c r="U137" s="167" t="s">
        <v>1329</v>
      </c>
      <c r="V137" s="167">
        <v>607516664</v>
      </c>
      <c r="W137" s="20"/>
      <c r="X137" s="20" t="s">
        <v>1330</v>
      </c>
      <c r="Y137" s="20"/>
      <c r="Z137" s="20">
        <v>254</v>
      </c>
      <c r="AA137" s="20"/>
      <c r="AB137" s="20"/>
      <c r="AC137" s="20"/>
    </row>
    <row r="138" spans="1:29" ht="15.75" customHeight="1">
      <c r="A138" s="8">
        <v>137</v>
      </c>
      <c r="B138" s="20" t="s">
        <v>1048</v>
      </c>
      <c r="C138" s="20" t="s">
        <v>1049</v>
      </c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67">
        <v>50</v>
      </c>
      <c r="O138" s="167"/>
      <c r="P138" s="169">
        <v>44155</v>
      </c>
      <c r="Q138" s="169">
        <v>44155</v>
      </c>
      <c r="R138" s="169">
        <v>44155</v>
      </c>
      <c r="S138" s="8" t="s">
        <v>170</v>
      </c>
      <c r="T138" s="167" t="s">
        <v>1331</v>
      </c>
      <c r="U138" s="167" t="s">
        <v>1051</v>
      </c>
      <c r="V138" s="167">
        <v>607758544</v>
      </c>
      <c r="W138" s="20"/>
      <c r="X138" s="20" t="s">
        <v>1052</v>
      </c>
      <c r="Y138" s="20"/>
      <c r="Z138" s="20">
        <v>255</v>
      </c>
      <c r="AA138" s="20"/>
      <c r="AB138" s="20" t="s">
        <v>1332</v>
      </c>
      <c r="AC138" s="20"/>
    </row>
    <row r="139" spans="1:29" ht="15.75" customHeight="1">
      <c r="A139" s="8">
        <v>138</v>
      </c>
      <c r="B139" s="20" t="s">
        <v>1333</v>
      </c>
      <c r="C139" s="20" t="s">
        <v>1334</v>
      </c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67">
        <v>50</v>
      </c>
      <c r="O139" s="167"/>
      <c r="P139" s="169">
        <v>44160</v>
      </c>
      <c r="Q139" s="169">
        <v>44160</v>
      </c>
      <c r="R139" s="169">
        <v>44160</v>
      </c>
      <c r="S139" s="8" t="s">
        <v>170</v>
      </c>
      <c r="T139" s="167" t="s">
        <v>1335</v>
      </c>
      <c r="U139" s="167" t="s">
        <v>815</v>
      </c>
      <c r="V139" s="167">
        <v>690490873</v>
      </c>
      <c r="W139" s="20"/>
      <c r="X139" s="20" t="s">
        <v>1336</v>
      </c>
      <c r="Y139" s="20"/>
      <c r="Z139" s="20">
        <v>256</v>
      </c>
      <c r="AA139" s="20"/>
      <c r="AB139" s="20"/>
      <c r="AC139" s="20"/>
    </row>
    <row r="140" spans="1:29" ht="15.75" customHeight="1">
      <c r="A140" s="8">
        <v>139</v>
      </c>
      <c r="B140" s="20" t="s">
        <v>481</v>
      </c>
      <c r="C140" s="20" t="s">
        <v>1337</v>
      </c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67">
        <v>50</v>
      </c>
      <c r="O140" s="167"/>
      <c r="P140" s="169">
        <v>44163</v>
      </c>
      <c r="Q140" s="169">
        <v>44165</v>
      </c>
      <c r="R140" s="169">
        <v>44165</v>
      </c>
      <c r="S140" s="8" t="s">
        <v>170</v>
      </c>
      <c r="T140" s="167" t="s">
        <v>1338</v>
      </c>
      <c r="U140" s="167" t="s">
        <v>1339</v>
      </c>
      <c r="V140" s="167">
        <v>783872327</v>
      </c>
      <c r="W140" s="20" t="s">
        <v>1340</v>
      </c>
      <c r="X140" s="20" t="s">
        <v>1341</v>
      </c>
      <c r="Y140" s="20"/>
      <c r="Z140" s="20">
        <v>257</v>
      </c>
      <c r="AA140" s="20"/>
      <c r="AB140" s="20" t="s">
        <v>1342</v>
      </c>
      <c r="AC140" s="20"/>
    </row>
    <row r="141" spans="1:29" ht="15.75" customHeight="1">
      <c r="A141" s="8">
        <v>140</v>
      </c>
      <c r="B141" s="20" t="s">
        <v>481</v>
      </c>
      <c r="C141" s="20" t="s">
        <v>1351</v>
      </c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227">
        <v>50</v>
      </c>
      <c r="O141" s="87"/>
      <c r="P141" s="169">
        <v>44194</v>
      </c>
      <c r="Q141" s="169">
        <v>44195</v>
      </c>
      <c r="R141" s="169">
        <v>44195</v>
      </c>
      <c r="S141" s="8" t="s">
        <v>170</v>
      </c>
      <c r="T141" s="167" t="s">
        <v>1352</v>
      </c>
      <c r="U141" s="167" t="s">
        <v>1353</v>
      </c>
      <c r="V141" s="167">
        <v>696201822</v>
      </c>
      <c r="W141" s="20"/>
      <c r="X141" s="20" t="s">
        <v>1354</v>
      </c>
      <c r="Y141" s="20"/>
      <c r="Z141" s="20">
        <v>258</v>
      </c>
      <c r="AA141" s="20"/>
      <c r="AB141" s="20"/>
      <c r="AC141" s="20"/>
    </row>
    <row r="142" spans="1:29" ht="15.75" customHeight="1">
      <c r="A142" s="8">
        <v>141</v>
      </c>
      <c r="B142" s="20" t="s">
        <v>429</v>
      </c>
      <c r="C142" s="20" t="s">
        <v>1366</v>
      </c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227">
        <v>50</v>
      </c>
      <c r="P142" s="169">
        <v>44197</v>
      </c>
      <c r="Q142" s="169">
        <v>44200</v>
      </c>
      <c r="R142" s="169">
        <v>44200</v>
      </c>
      <c r="S142" s="8" t="s">
        <v>170</v>
      </c>
      <c r="T142" s="167" t="s">
        <v>1367</v>
      </c>
      <c r="U142" s="167" t="s">
        <v>1368</v>
      </c>
      <c r="V142" s="167">
        <v>662125852</v>
      </c>
      <c r="W142" s="20"/>
      <c r="X142" s="20" t="s">
        <v>1369</v>
      </c>
      <c r="Y142" s="20"/>
      <c r="Z142" s="20">
        <v>259</v>
      </c>
      <c r="AA142" s="20"/>
      <c r="AB142" s="20" t="s">
        <v>1370</v>
      </c>
      <c r="AC142" s="20"/>
    </row>
    <row r="143" spans="1:29" ht="15.75" customHeight="1">
      <c r="A143" s="8">
        <v>142</v>
      </c>
      <c r="B143" s="20" t="s">
        <v>300</v>
      </c>
      <c r="C143" s="20" t="s">
        <v>1371</v>
      </c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227">
        <v>50</v>
      </c>
      <c r="P143" s="169">
        <v>44198</v>
      </c>
      <c r="Q143" s="169">
        <v>44200</v>
      </c>
      <c r="R143" s="169">
        <v>44200</v>
      </c>
      <c r="S143" s="8" t="s">
        <v>170</v>
      </c>
      <c r="T143" s="167" t="s">
        <v>1372</v>
      </c>
      <c r="U143" s="167" t="s">
        <v>522</v>
      </c>
      <c r="V143" s="167">
        <v>663126167</v>
      </c>
      <c r="W143" s="20"/>
      <c r="X143" s="20" t="s">
        <v>1373</v>
      </c>
      <c r="Y143" s="20"/>
      <c r="Z143" s="20">
        <v>260</v>
      </c>
      <c r="AA143" s="20"/>
      <c r="AB143" s="20" t="s">
        <v>1374</v>
      </c>
      <c r="AC143" s="20"/>
    </row>
    <row r="144" spans="1:29" ht="15.75" customHeight="1">
      <c r="A144" s="8">
        <v>143</v>
      </c>
      <c r="B144" s="20" t="s">
        <v>228</v>
      </c>
      <c r="C144" s="20" t="s">
        <v>1375</v>
      </c>
      <c r="D144" s="159"/>
      <c r="E144" s="159"/>
      <c r="F144" s="159"/>
      <c r="G144" s="159"/>
      <c r="H144" s="159"/>
      <c r="I144" s="159"/>
      <c r="J144" s="159"/>
      <c r="K144" s="159"/>
      <c r="L144" s="159"/>
      <c r="M144" s="159"/>
      <c r="N144" s="159"/>
      <c r="O144" s="227">
        <v>50</v>
      </c>
      <c r="P144" s="169">
        <v>44201</v>
      </c>
      <c r="Q144" s="169">
        <v>44204</v>
      </c>
      <c r="R144" s="169">
        <v>44204</v>
      </c>
      <c r="S144" s="8" t="s">
        <v>170</v>
      </c>
      <c r="T144" s="167" t="s">
        <v>1376</v>
      </c>
      <c r="U144" s="167" t="s">
        <v>1377</v>
      </c>
      <c r="V144" s="167" t="s">
        <v>1378</v>
      </c>
      <c r="W144" s="20"/>
      <c r="X144" s="20" t="s">
        <v>1379</v>
      </c>
      <c r="Y144" s="20"/>
      <c r="Z144" s="20">
        <v>261</v>
      </c>
      <c r="AA144" s="20"/>
      <c r="AB144" s="20" t="s">
        <v>1380</v>
      </c>
      <c r="AC144" s="20"/>
    </row>
    <row r="145" spans="1:29" ht="15.75" customHeight="1">
      <c r="A145" s="8">
        <v>144</v>
      </c>
      <c r="B145" s="20" t="s">
        <v>515</v>
      </c>
      <c r="C145" s="20" t="s">
        <v>455</v>
      </c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227">
        <v>50</v>
      </c>
      <c r="P145" s="169">
        <v>44203</v>
      </c>
      <c r="Q145" s="169">
        <v>44203</v>
      </c>
      <c r="R145" s="169">
        <v>44203</v>
      </c>
      <c r="S145" s="8" t="s">
        <v>170</v>
      </c>
      <c r="T145" s="167" t="s">
        <v>1381</v>
      </c>
      <c r="U145" s="167" t="s">
        <v>1382</v>
      </c>
      <c r="V145" s="167">
        <v>887096323</v>
      </c>
      <c r="W145" s="20" t="s">
        <v>1383</v>
      </c>
      <c r="X145" s="20" t="s">
        <v>1384</v>
      </c>
      <c r="Y145" s="20"/>
      <c r="Z145" s="20">
        <v>262</v>
      </c>
      <c r="AA145" s="20"/>
      <c r="AB145" s="20" t="s">
        <v>1385</v>
      </c>
      <c r="AC145" s="20"/>
    </row>
    <row r="146" spans="1:29" ht="15.75" customHeight="1">
      <c r="A146" s="8">
        <v>145</v>
      </c>
      <c r="B146" s="20" t="s">
        <v>325</v>
      </c>
      <c r="C146" s="20" t="s">
        <v>544</v>
      </c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227">
        <v>50</v>
      </c>
      <c r="P146" s="169">
        <v>44203</v>
      </c>
      <c r="Q146" s="169">
        <v>44204</v>
      </c>
      <c r="R146" s="169">
        <v>44204</v>
      </c>
      <c r="S146" s="8" t="s">
        <v>170</v>
      </c>
      <c r="T146" s="167" t="s">
        <v>1386</v>
      </c>
      <c r="U146" s="167" t="s">
        <v>606</v>
      </c>
      <c r="V146" s="167">
        <v>604254331</v>
      </c>
      <c r="W146" s="20" t="s">
        <v>607</v>
      </c>
      <c r="X146" s="20" t="s">
        <v>547</v>
      </c>
      <c r="Y146" s="20"/>
      <c r="Z146" s="20">
        <v>263</v>
      </c>
      <c r="AA146" s="20"/>
      <c r="AB146" s="20" t="s">
        <v>743</v>
      </c>
      <c r="AC146" s="20"/>
    </row>
    <row r="147" spans="1:29" ht="15.75" customHeight="1">
      <c r="A147" s="8">
        <v>146</v>
      </c>
      <c r="B147" s="20" t="s">
        <v>300</v>
      </c>
      <c r="C147" s="20" t="s">
        <v>1387</v>
      </c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227">
        <v>50</v>
      </c>
      <c r="P147" s="169">
        <v>44207</v>
      </c>
      <c r="Q147" s="169">
        <v>44207</v>
      </c>
      <c r="R147" s="169">
        <v>44207</v>
      </c>
      <c r="S147" s="8" t="s">
        <v>170</v>
      </c>
      <c r="T147" s="167" t="s">
        <v>1388</v>
      </c>
      <c r="U147" s="167" t="s">
        <v>1364</v>
      </c>
      <c r="V147" s="167">
        <v>508805091</v>
      </c>
      <c r="W147" s="20"/>
      <c r="X147" s="20" t="s">
        <v>1389</v>
      </c>
      <c r="Y147" s="20"/>
      <c r="Z147" s="20">
        <v>264</v>
      </c>
      <c r="AA147" s="20"/>
      <c r="AB147" s="20" t="s">
        <v>1390</v>
      </c>
      <c r="AC147" s="20"/>
    </row>
    <row r="148" spans="1:29" ht="15.75" customHeight="1">
      <c r="A148" s="8">
        <v>147</v>
      </c>
      <c r="B148" s="20" t="s">
        <v>515</v>
      </c>
      <c r="C148" s="20" t="s">
        <v>1391</v>
      </c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O148" s="227">
        <v>50</v>
      </c>
      <c r="P148" s="169">
        <v>44210</v>
      </c>
      <c r="Q148" s="169">
        <v>44210</v>
      </c>
      <c r="R148" s="169">
        <v>44210</v>
      </c>
      <c r="S148" s="8" t="s">
        <v>170</v>
      </c>
      <c r="T148" s="167" t="s">
        <v>1392</v>
      </c>
      <c r="U148" s="167" t="s">
        <v>1393</v>
      </c>
      <c r="V148" s="167">
        <v>506966421</v>
      </c>
      <c r="W148" s="20"/>
      <c r="X148" s="20" t="s">
        <v>1394</v>
      </c>
      <c r="Y148" s="20"/>
      <c r="Z148" s="20">
        <v>265</v>
      </c>
      <c r="AA148" s="20"/>
      <c r="AB148" s="20" t="s">
        <v>1395</v>
      </c>
      <c r="AC148" s="20"/>
    </row>
    <row r="149" spans="1:29" ht="15.75" customHeight="1">
      <c r="A149" s="8">
        <v>148</v>
      </c>
      <c r="B149" s="20" t="s">
        <v>1396</v>
      </c>
      <c r="C149" s="20" t="s">
        <v>638</v>
      </c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O149" s="227">
        <v>50</v>
      </c>
      <c r="P149" s="169">
        <v>44197</v>
      </c>
      <c r="Q149" s="169">
        <v>44211</v>
      </c>
      <c r="R149" s="169">
        <v>44211</v>
      </c>
      <c r="S149" s="18" t="s">
        <v>689</v>
      </c>
      <c r="T149" s="167" t="s">
        <v>995</v>
      </c>
      <c r="U149" s="167" t="s">
        <v>640</v>
      </c>
      <c r="V149" s="20"/>
      <c r="W149" s="20"/>
      <c r="X149" s="20" t="s">
        <v>1397</v>
      </c>
      <c r="Y149" s="20"/>
      <c r="Z149" s="20">
        <v>266</v>
      </c>
      <c r="AA149" s="20"/>
      <c r="AB149" s="20"/>
      <c r="AC149" s="20"/>
    </row>
    <row r="150" spans="1:29" ht="15.75" customHeight="1">
      <c r="A150" s="8">
        <v>149</v>
      </c>
      <c r="B150" s="20" t="s">
        <v>696</v>
      </c>
      <c r="C150" s="20" t="s">
        <v>1398</v>
      </c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167">
        <v>50</v>
      </c>
      <c r="P150" s="169">
        <v>44234</v>
      </c>
      <c r="Q150" s="169">
        <v>44235</v>
      </c>
      <c r="R150" s="169">
        <v>44235</v>
      </c>
      <c r="S150" s="8" t="s">
        <v>170</v>
      </c>
      <c r="T150" s="167" t="s">
        <v>1399</v>
      </c>
      <c r="U150" s="167" t="s">
        <v>1400</v>
      </c>
      <c r="V150" s="167">
        <v>506179464</v>
      </c>
      <c r="W150" s="20" t="s">
        <v>1401</v>
      </c>
      <c r="X150" s="20" t="s">
        <v>1401</v>
      </c>
      <c r="Y150" s="20"/>
      <c r="Z150" s="20">
        <v>267</v>
      </c>
      <c r="AA150" s="20"/>
      <c r="AB150" s="20" t="s">
        <v>1402</v>
      </c>
      <c r="AC150" s="20"/>
    </row>
    <row r="151" spans="1:29" ht="15.75" customHeight="1">
      <c r="A151" s="8">
        <v>150</v>
      </c>
      <c r="B151" s="20" t="s">
        <v>1018</v>
      </c>
      <c r="C151" s="20" t="s">
        <v>1403</v>
      </c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167">
        <v>50</v>
      </c>
      <c r="P151" s="169">
        <v>44234</v>
      </c>
      <c r="Q151" s="169">
        <v>44235</v>
      </c>
      <c r="R151" s="169">
        <v>44235</v>
      </c>
      <c r="S151" s="8" t="s">
        <v>170</v>
      </c>
      <c r="T151" s="167" t="s">
        <v>1404</v>
      </c>
      <c r="U151" s="167" t="s">
        <v>1405</v>
      </c>
      <c r="V151" s="167">
        <v>780113716</v>
      </c>
      <c r="W151" s="20"/>
      <c r="X151" s="20" t="s">
        <v>1406</v>
      </c>
      <c r="Y151" s="20"/>
      <c r="Z151" s="20">
        <v>268</v>
      </c>
      <c r="AA151" s="20"/>
      <c r="AB151" s="20"/>
      <c r="AC151" s="20"/>
    </row>
    <row r="152" spans="1:29" ht="15.75" customHeight="1">
      <c r="A152" s="8">
        <v>151</v>
      </c>
      <c r="B152" s="20" t="s">
        <v>296</v>
      </c>
      <c r="C152" s="20" t="s">
        <v>1303</v>
      </c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67">
        <v>50</v>
      </c>
      <c r="P152" s="169">
        <v>44237</v>
      </c>
      <c r="Q152" s="169">
        <v>44238</v>
      </c>
      <c r="R152" s="169">
        <v>44238</v>
      </c>
      <c r="S152" s="8" t="s">
        <v>170</v>
      </c>
      <c r="T152" s="167" t="s">
        <v>1407</v>
      </c>
      <c r="U152" s="167" t="s">
        <v>1408</v>
      </c>
      <c r="V152" s="167">
        <v>533988025</v>
      </c>
      <c r="W152" s="20"/>
      <c r="X152" s="20" t="s">
        <v>1409</v>
      </c>
      <c r="Y152" s="20"/>
      <c r="Z152" s="20">
        <v>269</v>
      </c>
      <c r="AA152" s="20"/>
      <c r="AB152" s="20"/>
      <c r="AC152" s="20"/>
    </row>
    <row r="153" spans="1:29" ht="15.75" customHeight="1">
      <c r="A153" s="8">
        <v>152</v>
      </c>
      <c r="B153" s="20" t="s">
        <v>194</v>
      </c>
      <c r="C153" s="20" t="s">
        <v>1410</v>
      </c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67">
        <v>50</v>
      </c>
      <c r="P153" s="169">
        <v>44243</v>
      </c>
      <c r="Q153" s="169">
        <v>44244</v>
      </c>
      <c r="R153" s="169">
        <v>44244</v>
      </c>
      <c r="S153" s="8" t="s">
        <v>170</v>
      </c>
      <c r="T153" s="167" t="s">
        <v>1411</v>
      </c>
      <c r="U153" s="167" t="s">
        <v>499</v>
      </c>
      <c r="V153" s="167">
        <v>502835333</v>
      </c>
      <c r="W153" s="20"/>
      <c r="X153" s="20" t="s">
        <v>1412</v>
      </c>
      <c r="Y153" s="20"/>
      <c r="Z153" s="20">
        <v>270</v>
      </c>
      <c r="AA153" s="20"/>
      <c r="AB153" s="20" t="s">
        <v>1413</v>
      </c>
      <c r="AC153" s="20"/>
    </row>
    <row r="154" spans="1:29" ht="15.75" customHeight="1">
      <c r="A154" s="8">
        <v>153</v>
      </c>
      <c r="B154" s="20" t="s">
        <v>194</v>
      </c>
      <c r="C154" s="20" t="s">
        <v>1414</v>
      </c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67">
        <v>50</v>
      </c>
      <c r="P154" s="169">
        <v>44256</v>
      </c>
      <c r="Q154" s="169">
        <v>44257</v>
      </c>
      <c r="R154" s="169">
        <v>44257</v>
      </c>
      <c r="S154" s="8" t="s">
        <v>170</v>
      </c>
      <c r="T154" s="167" t="s">
        <v>1415</v>
      </c>
      <c r="U154" s="167" t="s">
        <v>1416</v>
      </c>
      <c r="V154" s="167">
        <v>793703355</v>
      </c>
      <c r="W154" s="20"/>
      <c r="X154" s="20" t="s">
        <v>1417</v>
      </c>
      <c r="Y154" s="20"/>
      <c r="Z154" s="20">
        <v>271</v>
      </c>
      <c r="AA154" s="20"/>
      <c r="AB154" s="20"/>
      <c r="AC154" s="20"/>
    </row>
    <row r="155" spans="1:29" ht="15.75" customHeight="1">
      <c r="A155" s="8">
        <v>154</v>
      </c>
      <c r="B155" s="20" t="s">
        <v>88</v>
      </c>
      <c r="C155" s="20" t="s">
        <v>1418</v>
      </c>
      <c r="D155" s="159"/>
      <c r="E155" s="159"/>
      <c r="F155" s="159"/>
      <c r="G155" s="159"/>
      <c r="H155" s="159"/>
      <c r="I155" s="159"/>
      <c r="J155" s="159"/>
      <c r="K155" s="159"/>
      <c r="L155" s="159"/>
      <c r="M155" s="159"/>
      <c r="N155" s="159"/>
      <c r="O155" s="167">
        <v>50</v>
      </c>
      <c r="P155" s="169">
        <v>44268</v>
      </c>
      <c r="Q155" s="169">
        <v>44265</v>
      </c>
      <c r="R155" s="169">
        <v>44265</v>
      </c>
      <c r="S155" s="18" t="s">
        <v>689</v>
      </c>
      <c r="T155" s="167" t="s">
        <v>1419</v>
      </c>
      <c r="U155" s="167" t="s">
        <v>1420</v>
      </c>
      <c r="V155" s="167">
        <v>510486423</v>
      </c>
      <c r="W155" s="20"/>
      <c r="X155" s="20" t="s">
        <v>1421</v>
      </c>
      <c r="Y155" s="20"/>
      <c r="Z155" s="20">
        <v>272</v>
      </c>
      <c r="AA155" s="20"/>
      <c r="AB155" s="20"/>
      <c r="AC155" s="20"/>
    </row>
    <row r="156" spans="1:29" ht="15.75" customHeight="1">
      <c r="A156" s="8">
        <v>155</v>
      </c>
      <c r="B156" s="20" t="s">
        <v>1422</v>
      </c>
      <c r="C156" s="20" t="s">
        <v>1423</v>
      </c>
      <c r="D156" s="159"/>
      <c r="E156" s="159"/>
      <c r="F156" s="159"/>
      <c r="G156" s="159"/>
      <c r="H156" s="159"/>
      <c r="I156" s="159"/>
      <c r="J156" s="159"/>
      <c r="K156" s="159"/>
      <c r="L156" s="159"/>
      <c r="M156" s="159"/>
      <c r="N156" s="159"/>
      <c r="O156" s="167">
        <v>50</v>
      </c>
      <c r="P156" s="169">
        <v>44268</v>
      </c>
      <c r="Q156" s="169">
        <v>44270</v>
      </c>
      <c r="R156" s="169">
        <v>44270</v>
      </c>
      <c r="S156" s="8" t="s">
        <v>170</v>
      </c>
      <c r="T156" s="167" t="s">
        <v>1424</v>
      </c>
      <c r="U156" s="167" t="s">
        <v>1425</v>
      </c>
      <c r="V156" s="167">
        <v>532789141</v>
      </c>
      <c r="W156" s="20"/>
      <c r="X156" s="20" t="s">
        <v>1426</v>
      </c>
      <c r="Y156" s="20"/>
      <c r="Z156" s="20">
        <v>273</v>
      </c>
      <c r="AA156" s="20"/>
      <c r="AB156" s="20"/>
      <c r="AC156" s="20"/>
    </row>
    <row r="157" spans="1:29" ht="15.75" customHeight="1">
      <c r="A157" s="8">
        <v>156</v>
      </c>
      <c r="B157" s="20" t="s">
        <v>1427</v>
      </c>
      <c r="C157" s="20" t="s">
        <v>1428</v>
      </c>
      <c r="D157" s="159"/>
      <c r="E157" s="159"/>
      <c r="F157" s="159"/>
      <c r="G157" s="159"/>
      <c r="H157" s="159"/>
      <c r="I157" s="159"/>
      <c r="J157" s="159"/>
      <c r="K157" s="159"/>
      <c r="L157" s="159"/>
      <c r="M157" s="159"/>
      <c r="N157" s="159"/>
      <c r="O157" s="167">
        <v>50</v>
      </c>
      <c r="P157" s="169">
        <v>44269</v>
      </c>
      <c r="Q157" s="169">
        <v>44270</v>
      </c>
      <c r="R157" s="169">
        <v>44270</v>
      </c>
      <c r="S157" s="8" t="s">
        <v>170</v>
      </c>
      <c r="T157" s="167" t="s">
        <v>1429</v>
      </c>
      <c r="U157" s="167" t="s">
        <v>1430</v>
      </c>
      <c r="V157" s="167">
        <v>530853223</v>
      </c>
      <c r="W157" s="20"/>
      <c r="X157" s="20" t="s">
        <v>1431</v>
      </c>
      <c r="Y157" s="20"/>
      <c r="Z157" s="20">
        <v>274</v>
      </c>
      <c r="AA157" s="20"/>
      <c r="AB157" s="20"/>
      <c r="AC157" s="20"/>
    </row>
    <row r="158" spans="1:29" ht="15.75" customHeight="1">
      <c r="A158" s="8">
        <v>157</v>
      </c>
      <c r="B158" s="20" t="s">
        <v>1432</v>
      </c>
      <c r="C158" s="20" t="s">
        <v>1433</v>
      </c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67">
        <v>50</v>
      </c>
      <c r="P158" s="169">
        <v>44273</v>
      </c>
      <c r="Q158" s="169">
        <v>44273</v>
      </c>
      <c r="R158" s="169">
        <v>44273</v>
      </c>
      <c r="S158" s="8" t="s">
        <v>170</v>
      </c>
      <c r="T158" s="39" t="s">
        <v>1434</v>
      </c>
      <c r="U158" s="39" t="s">
        <v>1435</v>
      </c>
      <c r="V158" s="39">
        <v>500060631</v>
      </c>
      <c r="W158" s="20"/>
      <c r="X158" s="141" t="s">
        <v>1436</v>
      </c>
      <c r="Y158" s="20"/>
      <c r="Z158" s="20">
        <v>275</v>
      </c>
      <c r="AA158" s="20"/>
      <c r="AB158" s="20"/>
      <c r="AC158" s="141" t="s">
        <v>1437</v>
      </c>
    </row>
    <row r="159" spans="1:29" ht="15.75" customHeight="1">
      <c r="A159" s="8">
        <v>158</v>
      </c>
      <c r="B159" s="20" t="s">
        <v>905</v>
      </c>
      <c r="C159" s="20" t="s">
        <v>1438</v>
      </c>
      <c r="D159" s="159"/>
      <c r="E159" s="159"/>
      <c r="F159" s="159"/>
      <c r="G159" s="159"/>
      <c r="H159" s="159"/>
      <c r="I159" s="159"/>
      <c r="J159" s="159"/>
      <c r="K159" s="159"/>
      <c r="L159" s="159"/>
      <c r="M159" s="159"/>
      <c r="N159" s="159"/>
      <c r="O159" s="167">
        <v>50</v>
      </c>
      <c r="P159" s="169">
        <v>44277</v>
      </c>
      <c r="Q159" s="169">
        <v>44277</v>
      </c>
      <c r="R159" s="169">
        <v>44277</v>
      </c>
      <c r="S159" s="8" t="s">
        <v>170</v>
      </c>
      <c r="T159" s="167" t="s">
        <v>1439</v>
      </c>
      <c r="U159" s="167" t="s">
        <v>1440</v>
      </c>
      <c r="V159" s="167">
        <v>781173972</v>
      </c>
      <c r="W159" s="20"/>
      <c r="X159" s="20" t="s">
        <v>1441</v>
      </c>
      <c r="Y159" s="20"/>
      <c r="Z159" s="20">
        <v>276</v>
      </c>
      <c r="AA159" s="20"/>
      <c r="AB159" s="20" t="s">
        <v>1442</v>
      </c>
      <c r="AC159" s="20"/>
    </row>
    <row r="160" spans="1:29" ht="15.75" customHeight="1">
      <c r="A160" s="8">
        <v>159</v>
      </c>
      <c r="B160" s="183" t="s">
        <v>13</v>
      </c>
      <c r="C160" s="183" t="s">
        <v>1186</v>
      </c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97">
        <v>50</v>
      </c>
      <c r="P160" s="182">
        <v>44288</v>
      </c>
      <c r="Q160" s="182">
        <v>44292</v>
      </c>
      <c r="R160" s="182">
        <v>44292</v>
      </c>
      <c r="S160" s="47" t="s">
        <v>170</v>
      </c>
      <c r="T160" s="197" t="s">
        <v>1443</v>
      </c>
      <c r="U160" s="197" t="s">
        <v>1444</v>
      </c>
      <c r="V160" s="197">
        <v>693718421</v>
      </c>
      <c r="W160" s="183"/>
      <c r="X160" s="183" t="s">
        <v>1445</v>
      </c>
      <c r="Y160" s="183"/>
      <c r="Z160" s="183">
        <v>277</v>
      </c>
      <c r="AA160" s="183"/>
      <c r="AB160" s="141" t="s">
        <v>1446</v>
      </c>
      <c r="AC160" s="183"/>
    </row>
    <row r="161" spans="1:29" ht="15.75" customHeight="1">
      <c r="A161" s="8">
        <v>160</v>
      </c>
      <c r="B161" s="20" t="s">
        <v>340</v>
      </c>
      <c r="C161" s="20" t="s">
        <v>1447</v>
      </c>
      <c r="D161" s="159"/>
      <c r="E161" s="159"/>
      <c r="F161" s="159"/>
      <c r="G161" s="159"/>
      <c r="H161" s="159"/>
      <c r="I161" s="159"/>
      <c r="J161" s="159"/>
      <c r="K161" s="159"/>
      <c r="L161" s="159"/>
      <c r="M161" s="159"/>
      <c r="N161" s="159"/>
      <c r="O161" s="197">
        <v>50</v>
      </c>
      <c r="P161" s="169">
        <v>44318</v>
      </c>
      <c r="Q161" s="169">
        <v>44320</v>
      </c>
      <c r="R161" s="169">
        <v>44320</v>
      </c>
      <c r="S161" s="47" t="s">
        <v>170</v>
      </c>
      <c r="T161" s="167">
        <v>34</v>
      </c>
      <c r="U161" s="167" t="s">
        <v>1448</v>
      </c>
      <c r="V161" s="167">
        <v>533400194</v>
      </c>
      <c r="W161" s="20" t="s">
        <v>1449</v>
      </c>
      <c r="X161" s="179" t="s">
        <v>1450</v>
      </c>
      <c r="Y161" s="20"/>
      <c r="Z161" s="183">
        <v>278</v>
      </c>
      <c r="AA161" s="40" t="s">
        <v>200</v>
      </c>
      <c r="AB161" s="20"/>
      <c r="AC161" s="20"/>
    </row>
    <row r="162" spans="1:29" ht="15.75" customHeight="1">
      <c r="A162" s="8">
        <v>161</v>
      </c>
      <c r="B162" s="20" t="s">
        <v>1451</v>
      </c>
      <c r="C162" s="20" t="s">
        <v>1452</v>
      </c>
      <c r="D162" s="159"/>
      <c r="E162" s="159"/>
      <c r="F162" s="159"/>
      <c r="G162" s="159"/>
      <c r="H162" s="159"/>
      <c r="I162" s="159"/>
      <c r="J162" s="159"/>
      <c r="K162" s="159"/>
      <c r="L162" s="159"/>
      <c r="M162" s="159"/>
      <c r="N162" s="159"/>
      <c r="O162" s="197">
        <v>50</v>
      </c>
      <c r="P162" s="169">
        <v>44321</v>
      </c>
      <c r="Q162" s="169">
        <v>44321</v>
      </c>
      <c r="R162" s="169">
        <v>44321</v>
      </c>
      <c r="S162" s="47" t="s">
        <v>170</v>
      </c>
      <c r="T162" s="167" t="s">
        <v>1453</v>
      </c>
      <c r="U162" s="167" t="s">
        <v>1454</v>
      </c>
      <c r="V162" s="167">
        <v>797624548</v>
      </c>
      <c r="W162" s="20" t="s">
        <v>1455</v>
      </c>
      <c r="X162" s="20" t="s">
        <v>1456</v>
      </c>
      <c r="Y162" s="20"/>
      <c r="Z162" s="183">
        <v>279</v>
      </c>
      <c r="AA162" s="20"/>
      <c r="AB162" s="20" t="s">
        <v>1457</v>
      </c>
      <c r="AC162" s="20" t="s">
        <v>1458</v>
      </c>
    </row>
    <row r="163" spans="1:29" ht="15.75" customHeight="1">
      <c r="A163" s="8">
        <v>162</v>
      </c>
      <c r="B163" s="183" t="s">
        <v>1459</v>
      </c>
      <c r="C163" s="183" t="s">
        <v>1460</v>
      </c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97">
        <v>50</v>
      </c>
      <c r="P163" s="182">
        <v>44323</v>
      </c>
      <c r="Q163" s="182">
        <v>44324</v>
      </c>
      <c r="R163" s="182">
        <v>44324</v>
      </c>
      <c r="S163" s="47" t="s">
        <v>170</v>
      </c>
      <c r="T163" s="197" t="s">
        <v>1461</v>
      </c>
      <c r="U163" s="197" t="s">
        <v>1462</v>
      </c>
      <c r="V163" s="197">
        <v>512425202</v>
      </c>
      <c r="W163" s="183"/>
      <c r="X163" s="183" t="s">
        <v>1463</v>
      </c>
      <c r="Y163" s="183"/>
      <c r="Z163" s="183">
        <v>280</v>
      </c>
      <c r="AA163" s="183"/>
      <c r="AB163" s="183"/>
      <c r="AC163" s="183"/>
    </row>
    <row r="164" spans="1:29" ht="15.75" customHeight="1">
      <c r="A164" s="8">
        <v>163</v>
      </c>
      <c r="B164" s="20" t="s">
        <v>1191</v>
      </c>
      <c r="C164" s="20" t="s">
        <v>1464</v>
      </c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20">
        <v>50</v>
      </c>
      <c r="P164" s="169">
        <v>44330</v>
      </c>
      <c r="Q164" s="169">
        <v>44333</v>
      </c>
      <c r="R164" s="169">
        <v>44333</v>
      </c>
      <c r="S164" s="47" t="s">
        <v>170</v>
      </c>
      <c r="T164" s="167" t="s">
        <v>1465</v>
      </c>
      <c r="U164" s="167" t="s">
        <v>1466</v>
      </c>
      <c r="V164" s="167">
        <v>609445399</v>
      </c>
      <c r="W164" s="20"/>
      <c r="X164" s="20" t="s">
        <v>1467</v>
      </c>
      <c r="Y164" s="20"/>
      <c r="Z164" s="183">
        <v>281</v>
      </c>
      <c r="AA164" s="20"/>
      <c r="AB164" s="20" t="s">
        <v>1468</v>
      </c>
      <c r="AC164" s="20"/>
    </row>
    <row r="165" spans="1:29" ht="15.75" customHeight="1">
      <c r="A165" s="8">
        <v>164</v>
      </c>
      <c r="B165" s="20" t="s">
        <v>212</v>
      </c>
      <c r="C165" s="20" t="s">
        <v>1469</v>
      </c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20">
        <v>50</v>
      </c>
      <c r="P165" s="169">
        <v>44336</v>
      </c>
      <c r="Q165" s="169">
        <v>44337</v>
      </c>
      <c r="R165" s="169">
        <v>44337</v>
      </c>
      <c r="S165" s="47" t="s">
        <v>170</v>
      </c>
      <c r="T165" s="167" t="s">
        <v>1470</v>
      </c>
      <c r="U165" s="167" t="s">
        <v>1471</v>
      </c>
      <c r="V165" s="167">
        <v>609471885</v>
      </c>
      <c r="W165" s="20"/>
      <c r="X165" s="20" t="s">
        <v>1472</v>
      </c>
      <c r="Y165" s="20"/>
      <c r="Z165" s="183">
        <v>282</v>
      </c>
      <c r="AA165" s="20"/>
      <c r="AB165" s="20"/>
      <c r="AC165" s="20"/>
    </row>
    <row r="166" spans="1:29" ht="15.75" customHeight="1">
      <c r="A166" s="8">
        <v>165</v>
      </c>
      <c r="B166" s="20" t="s">
        <v>1473</v>
      </c>
      <c r="C166" s="20" t="s">
        <v>1474</v>
      </c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20">
        <v>50</v>
      </c>
      <c r="P166" s="169">
        <v>44340</v>
      </c>
      <c r="Q166" s="169">
        <v>44340</v>
      </c>
      <c r="R166" s="169">
        <v>44340</v>
      </c>
      <c r="S166" s="47" t="s">
        <v>170</v>
      </c>
      <c r="T166" s="167" t="s">
        <v>1475</v>
      </c>
      <c r="U166" s="167" t="s">
        <v>1476</v>
      </c>
      <c r="V166" s="167">
        <v>511969860</v>
      </c>
      <c r="W166" s="20"/>
      <c r="X166" s="20" t="s">
        <v>1477</v>
      </c>
      <c r="Y166" s="20"/>
      <c r="Z166" s="183">
        <v>283</v>
      </c>
      <c r="AA166" s="20"/>
      <c r="AB166" s="20" t="s">
        <v>1478</v>
      </c>
      <c r="AC166" s="20"/>
    </row>
    <row r="167" spans="1:29" ht="15.75" customHeight="1">
      <c r="A167" s="8">
        <v>166</v>
      </c>
      <c r="B167" s="141" t="s">
        <v>980</v>
      </c>
      <c r="C167" s="20" t="s">
        <v>1479</v>
      </c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20">
        <v>50</v>
      </c>
      <c r="P167" s="169">
        <v>44358</v>
      </c>
      <c r="Q167" s="169">
        <v>44361</v>
      </c>
      <c r="R167" s="169">
        <v>44361</v>
      </c>
      <c r="S167" s="47" t="s">
        <v>170</v>
      </c>
      <c r="T167" s="39" t="s">
        <v>1480</v>
      </c>
      <c r="U167" s="39" t="s">
        <v>693</v>
      </c>
      <c r="V167" s="39">
        <v>504990446</v>
      </c>
      <c r="W167" s="20"/>
      <c r="X167" s="141" t="s">
        <v>1481</v>
      </c>
      <c r="Y167" s="20"/>
      <c r="Z167" s="183">
        <v>284</v>
      </c>
      <c r="AA167" s="20"/>
      <c r="AB167" s="141" t="s">
        <v>1482</v>
      </c>
      <c r="AC167" s="20"/>
    </row>
    <row r="168" spans="1:29" ht="15.75" customHeight="1">
      <c r="A168" s="8">
        <v>167</v>
      </c>
      <c r="B168" s="20" t="s">
        <v>905</v>
      </c>
      <c r="C168" s="20" t="s">
        <v>1483</v>
      </c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20">
        <v>50</v>
      </c>
      <c r="P168" s="169">
        <v>44378</v>
      </c>
      <c r="Q168" s="169">
        <v>44323</v>
      </c>
      <c r="R168" s="169">
        <v>44323</v>
      </c>
      <c r="S168" s="47" t="s">
        <v>170</v>
      </c>
      <c r="T168" s="167" t="s">
        <v>1484</v>
      </c>
      <c r="U168" s="167" t="s">
        <v>1485</v>
      </c>
      <c r="V168" s="167">
        <v>501591264</v>
      </c>
      <c r="W168" s="20"/>
      <c r="X168" s="20" t="s">
        <v>1486</v>
      </c>
      <c r="Y168" s="20"/>
      <c r="Z168" s="183">
        <v>285</v>
      </c>
      <c r="AA168" s="20"/>
      <c r="AB168" s="20"/>
      <c r="AC168" s="20"/>
    </row>
    <row r="169" spans="1:29" ht="15.75" customHeight="1">
      <c r="A169" s="8">
        <v>168</v>
      </c>
      <c r="B169" s="20" t="s">
        <v>1422</v>
      </c>
      <c r="C169" s="20" t="s">
        <v>1487</v>
      </c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20">
        <v>50</v>
      </c>
      <c r="P169" s="169">
        <v>44381</v>
      </c>
      <c r="Q169" s="169">
        <v>44323</v>
      </c>
      <c r="R169" s="169">
        <v>44323</v>
      </c>
      <c r="S169" s="47" t="s">
        <v>170</v>
      </c>
      <c r="T169" s="167" t="s">
        <v>1488</v>
      </c>
      <c r="U169" s="167" t="s">
        <v>1489</v>
      </c>
      <c r="V169" s="167">
        <v>533044550</v>
      </c>
      <c r="W169" s="20"/>
      <c r="X169" s="20" t="s">
        <v>1490</v>
      </c>
      <c r="Y169" s="20"/>
      <c r="Z169" s="183">
        <v>286</v>
      </c>
      <c r="AA169" s="20"/>
      <c r="AB169" s="20" t="s">
        <v>511</v>
      </c>
      <c r="AC169" s="20"/>
    </row>
    <row r="170" spans="1:29" ht="15.75" customHeight="1">
      <c r="A170" s="8">
        <v>169</v>
      </c>
      <c r="B170" s="20" t="s">
        <v>559</v>
      </c>
      <c r="C170" s="20" t="s">
        <v>1491</v>
      </c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20">
        <v>50</v>
      </c>
      <c r="P170" s="169">
        <v>44397</v>
      </c>
      <c r="Q170" s="169">
        <v>44397</v>
      </c>
      <c r="R170" s="169">
        <v>44397</v>
      </c>
      <c r="S170" s="47" t="s">
        <v>170</v>
      </c>
      <c r="T170" s="167" t="s">
        <v>1492</v>
      </c>
      <c r="U170" s="167" t="s">
        <v>1493</v>
      </c>
      <c r="V170" s="167">
        <v>574536978</v>
      </c>
      <c r="W170" s="20"/>
      <c r="X170" s="20" t="s">
        <v>1494</v>
      </c>
      <c r="Y170" s="20"/>
      <c r="Z170" s="183">
        <v>287</v>
      </c>
      <c r="AA170" s="20"/>
      <c r="AB170" s="20"/>
      <c r="AC170" s="20"/>
    </row>
    <row r="171" spans="1:29" ht="15.75" customHeight="1">
      <c r="A171" s="8">
        <v>170</v>
      </c>
      <c r="B171" s="20" t="s">
        <v>122</v>
      </c>
      <c r="C171" s="20" t="s">
        <v>1495</v>
      </c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20">
        <v>50</v>
      </c>
      <c r="P171" s="169">
        <v>44399</v>
      </c>
      <c r="Q171" s="169">
        <v>44334</v>
      </c>
      <c r="R171" s="169">
        <v>44334</v>
      </c>
      <c r="S171" s="130" t="s">
        <v>1322</v>
      </c>
      <c r="T171" s="167" t="s">
        <v>1496</v>
      </c>
      <c r="U171" s="167" t="s">
        <v>1497</v>
      </c>
      <c r="V171" s="167">
        <v>516771381</v>
      </c>
      <c r="W171" s="20"/>
      <c r="X171" s="20" t="s">
        <v>1498</v>
      </c>
      <c r="Y171" s="20"/>
      <c r="Z171" s="20">
        <v>288</v>
      </c>
      <c r="AA171" s="20"/>
      <c r="AB171" s="20" t="s">
        <v>1499</v>
      </c>
      <c r="AC171" s="20"/>
    </row>
    <row r="172" spans="1:29" ht="15.75" customHeight="1">
      <c r="A172" s="8">
        <v>171</v>
      </c>
      <c r="B172" s="20" t="s">
        <v>895</v>
      </c>
      <c r="C172" s="20" t="s">
        <v>1500</v>
      </c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234">
        <v>50</v>
      </c>
      <c r="P172" s="169">
        <v>44408</v>
      </c>
      <c r="Q172" s="169">
        <v>44445</v>
      </c>
      <c r="R172" s="169">
        <v>44445</v>
      </c>
      <c r="S172" s="47" t="s">
        <v>170</v>
      </c>
      <c r="T172" s="167" t="s">
        <v>1501</v>
      </c>
      <c r="U172" s="167" t="s">
        <v>1502</v>
      </c>
      <c r="V172" s="167">
        <v>516966302</v>
      </c>
      <c r="W172" s="20" t="s">
        <v>1503</v>
      </c>
      <c r="X172" s="20" t="s">
        <v>1504</v>
      </c>
      <c r="Y172" s="20"/>
      <c r="Z172" s="20">
        <v>289</v>
      </c>
      <c r="AA172" s="20"/>
      <c r="AB172" s="20" t="s">
        <v>1505</v>
      </c>
      <c r="AC172" s="20"/>
    </row>
    <row r="173" spans="1:29" ht="15.75" customHeight="1">
      <c r="A173" s="8">
        <v>172</v>
      </c>
      <c r="B173" s="20" t="s">
        <v>1506</v>
      </c>
      <c r="C173" s="20" t="s">
        <v>1507</v>
      </c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234">
        <v>50</v>
      </c>
      <c r="P173" s="169">
        <v>44411</v>
      </c>
      <c r="Q173" s="169">
        <v>44446</v>
      </c>
      <c r="R173" s="169">
        <v>44446</v>
      </c>
      <c r="S173" s="47" t="s">
        <v>170</v>
      </c>
      <c r="T173" s="167" t="s">
        <v>1508</v>
      </c>
      <c r="U173" s="167" t="s">
        <v>1509</v>
      </c>
      <c r="V173" s="186">
        <v>421940903552</v>
      </c>
      <c r="W173" s="20"/>
      <c r="X173" s="20" t="s">
        <v>1510</v>
      </c>
      <c r="Y173" s="20"/>
      <c r="Z173" s="20">
        <v>290</v>
      </c>
      <c r="AA173" s="20"/>
      <c r="AB173" s="20"/>
      <c r="AC173" s="20"/>
    </row>
    <row r="174" spans="1:29" ht="15.75" customHeight="1">
      <c r="A174" s="8">
        <v>173</v>
      </c>
      <c r="B174" s="20" t="s">
        <v>1511</v>
      </c>
      <c r="C174" s="20" t="s">
        <v>1512</v>
      </c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234">
        <v>50</v>
      </c>
      <c r="P174" s="169">
        <v>44414</v>
      </c>
      <c r="Q174" s="169">
        <v>44417</v>
      </c>
      <c r="R174" s="169">
        <v>44417</v>
      </c>
      <c r="S174" s="18" t="s">
        <v>689</v>
      </c>
      <c r="T174" s="167" t="s">
        <v>1513</v>
      </c>
      <c r="U174" s="167" t="s">
        <v>1514</v>
      </c>
      <c r="V174" s="167">
        <v>513987641</v>
      </c>
      <c r="W174" s="20"/>
      <c r="X174" s="20" t="s">
        <v>1515</v>
      </c>
      <c r="Y174" s="20"/>
      <c r="Z174" s="20">
        <v>291</v>
      </c>
      <c r="AA174" s="40" t="s">
        <v>200</v>
      </c>
      <c r="AB174" s="20" t="s">
        <v>1516</v>
      </c>
      <c r="AC174" s="20"/>
    </row>
    <row r="175" spans="1:29" ht="15.75" customHeight="1">
      <c r="A175" s="8">
        <v>174</v>
      </c>
      <c r="B175" s="20" t="s">
        <v>325</v>
      </c>
      <c r="C175" s="20" t="s">
        <v>1517</v>
      </c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234">
        <v>50</v>
      </c>
      <c r="P175" s="169">
        <v>44415</v>
      </c>
      <c r="Q175" s="169">
        <v>44417</v>
      </c>
      <c r="R175" s="169">
        <v>44417</v>
      </c>
      <c r="S175" s="47" t="s">
        <v>170</v>
      </c>
      <c r="T175" s="167" t="s">
        <v>1518</v>
      </c>
      <c r="U175" s="167" t="s">
        <v>1519</v>
      </c>
      <c r="V175" s="167">
        <v>692524728</v>
      </c>
      <c r="W175" s="20"/>
      <c r="X175" s="20" t="s">
        <v>1520</v>
      </c>
      <c r="Y175" s="20"/>
      <c r="Z175" s="20">
        <v>292</v>
      </c>
      <c r="AA175" s="20"/>
      <c r="AB175" s="20"/>
      <c r="AC175" s="20" t="s">
        <v>1521</v>
      </c>
    </row>
    <row r="176" spans="1:29" ht="15.75" customHeight="1">
      <c r="A176" s="8">
        <v>175</v>
      </c>
      <c r="B176" s="20" t="s">
        <v>1522</v>
      </c>
      <c r="C176" s="20" t="s">
        <v>1523</v>
      </c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234">
        <v>50</v>
      </c>
      <c r="P176" s="169">
        <v>44415</v>
      </c>
      <c r="Q176" s="169">
        <v>44417</v>
      </c>
      <c r="R176" s="169">
        <v>44417</v>
      </c>
      <c r="S176" s="47" t="s">
        <v>170</v>
      </c>
      <c r="T176" s="167" t="s">
        <v>1524</v>
      </c>
      <c r="U176" s="167" t="s">
        <v>1525</v>
      </c>
      <c r="V176" s="167">
        <v>504154737</v>
      </c>
      <c r="W176" s="20"/>
      <c r="X176" s="20" t="s">
        <v>1526</v>
      </c>
      <c r="Y176" s="20"/>
      <c r="Z176" s="20">
        <v>293</v>
      </c>
      <c r="AA176" s="20"/>
      <c r="AB176" s="20"/>
      <c r="AC176" s="20"/>
    </row>
    <row r="177" spans="1:29" ht="15.75" customHeight="1">
      <c r="A177" s="8">
        <v>176</v>
      </c>
      <c r="B177" s="20" t="s">
        <v>1427</v>
      </c>
      <c r="C177" s="20" t="s">
        <v>1527</v>
      </c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234">
        <v>50</v>
      </c>
      <c r="P177" s="169">
        <v>44415</v>
      </c>
      <c r="Q177" s="169">
        <v>44417</v>
      </c>
      <c r="R177" s="169">
        <v>44417</v>
      </c>
      <c r="S177" s="47" t="s">
        <v>170</v>
      </c>
      <c r="T177" s="167" t="s">
        <v>1528</v>
      </c>
      <c r="U177" s="167" t="s">
        <v>1529</v>
      </c>
      <c r="V177" s="167">
        <v>728869402</v>
      </c>
      <c r="W177" s="20"/>
      <c r="X177" s="20" t="s">
        <v>1530</v>
      </c>
      <c r="Y177" s="20"/>
      <c r="Z177" s="20">
        <v>294</v>
      </c>
      <c r="AA177" s="40" t="s">
        <v>200</v>
      </c>
      <c r="AB177" s="20"/>
      <c r="AC177" s="20"/>
    </row>
    <row r="178" spans="1:29" ht="15.75" customHeight="1">
      <c r="A178" s="8">
        <v>177</v>
      </c>
      <c r="B178" s="20" t="s">
        <v>1531</v>
      </c>
      <c r="C178" s="20" t="s">
        <v>1532</v>
      </c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234">
        <v>50</v>
      </c>
      <c r="P178" s="169">
        <v>44425</v>
      </c>
      <c r="Q178" s="169">
        <v>44426</v>
      </c>
      <c r="R178" s="169">
        <v>44426</v>
      </c>
      <c r="S178" s="47" t="s">
        <v>170</v>
      </c>
      <c r="T178" s="167" t="s">
        <v>1533</v>
      </c>
      <c r="U178" s="167" t="s">
        <v>1534</v>
      </c>
      <c r="V178" s="167">
        <v>537857286</v>
      </c>
      <c r="W178" s="20"/>
      <c r="X178" s="20" t="s">
        <v>1535</v>
      </c>
      <c r="Y178" s="20"/>
      <c r="Z178" s="20">
        <v>295</v>
      </c>
      <c r="AA178" s="20"/>
      <c r="AB178" s="20"/>
      <c r="AC178" s="20"/>
    </row>
    <row r="179" spans="1:29" ht="15.75" customHeight="1">
      <c r="A179" s="8">
        <v>178</v>
      </c>
      <c r="B179" s="20" t="s">
        <v>568</v>
      </c>
      <c r="C179" s="20" t="s">
        <v>1536</v>
      </c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234">
        <v>50</v>
      </c>
      <c r="P179" s="169">
        <v>44428</v>
      </c>
      <c r="Q179" s="169">
        <v>44428</v>
      </c>
      <c r="R179" s="169">
        <v>44428</v>
      </c>
      <c r="S179" s="18" t="s">
        <v>689</v>
      </c>
      <c r="T179" s="167" t="s">
        <v>1537</v>
      </c>
      <c r="U179" s="167" t="s">
        <v>1538</v>
      </c>
      <c r="V179" s="167">
        <v>512611925</v>
      </c>
      <c r="W179" s="20"/>
      <c r="X179" s="20" t="s">
        <v>1539</v>
      </c>
      <c r="Y179" s="20"/>
      <c r="Z179" s="20">
        <v>296</v>
      </c>
      <c r="AA179" s="20"/>
      <c r="AB179" s="20"/>
      <c r="AC179" s="20"/>
    </row>
    <row r="180" spans="1:29" ht="15.75" customHeight="1">
      <c r="A180" s="8">
        <v>179</v>
      </c>
      <c r="B180" s="20" t="s">
        <v>1540</v>
      </c>
      <c r="C180" s="20" t="s">
        <v>1541</v>
      </c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234">
        <v>50</v>
      </c>
      <c r="P180" s="169">
        <v>44428</v>
      </c>
      <c r="Q180" s="169">
        <v>44431</v>
      </c>
      <c r="R180" s="169">
        <v>44431</v>
      </c>
      <c r="S180" s="47" t="s">
        <v>170</v>
      </c>
      <c r="T180" s="167" t="s">
        <v>1542</v>
      </c>
      <c r="U180" s="167" t="s">
        <v>1543</v>
      </c>
      <c r="V180" s="167">
        <v>780177407</v>
      </c>
      <c r="W180" s="20"/>
      <c r="X180" s="20" t="s">
        <v>1544</v>
      </c>
      <c r="Y180" s="20"/>
      <c r="Z180" s="20">
        <v>297</v>
      </c>
      <c r="AA180" s="40" t="s">
        <v>200</v>
      </c>
      <c r="AB180" s="20" t="s">
        <v>1545</v>
      </c>
      <c r="AC180" s="20"/>
    </row>
    <row r="181" spans="1:29" ht="15.75" customHeight="1">
      <c r="A181" s="8">
        <v>180</v>
      </c>
      <c r="B181" s="20" t="s">
        <v>1546</v>
      </c>
      <c r="C181" s="20" t="s">
        <v>1547</v>
      </c>
      <c r="D181" s="163"/>
      <c r="E181" s="163"/>
      <c r="F181" s="163"/>
      <c r="G181" s="163"/>
      <c r="H181" s="163"/>
      <c r="I181" s="163"/>
      <c r="J181" s="163"/>
      <c r="K181" s="163"/>
      <c r="L181" s="163"/>
      <c r="M181" s="163"/>
      <c r="N181" s="163"/>
      <c r="O181" s="234">
        <v>50</v>
      </c>
      <c r="P181" s="169">
        <v>44437</v>
      </c>
      <c r="Q181" s="169">
        <v>44438</v>
      </c>
      <c r="R181" s="169">
        <v>44438</v>
      </c>
      <c r="S181" s="47" t="s">
        <v>170</v>
      </c>
      <c r="T181" s="167" t="s">
        <v>1548</v>
      </c>
      <c r="U181" s="167" t="s">
        <v>1549</v>
      </c>
      <c r="V181" s="167">
        <v>660351547</v>
      </c>
      <c r="W181" s="20"/>
      <c r="X181" s="20" t="s">
        <v>1550</v>
      </c>
      <c r="Y181" s="20"/>
      <c r="Z181" s="20">
        <v>298</v>
      </c>
      <c r="AA181" s="20"/>
      <c r="AB181" s="20" t="s">
        <v>1551</v>
      </c>
      <c r="AC181" s="20"/>
    </row>
    <row r="182" spans="1:29" ht="15.75" customHeight="1">
      <c r="A182" s="8">
        <v>181</v>
      </c>
      <c r="B182" s="20" t="s">
        <v>481</v>
      </c>
      <c r="C182" s="20" t="s">
        <v>1552</v>
      </c>
      <c r="D182" s="163"/>
      <c r="E182" s="163"/>
      <c r="F182" s="163"/>
      <c r="G182" s="163"/>
      <c r="H182" s="163"/>
      <c r="I182" s="163"/>
      <c r="J182" s="163"/>
      <c r="K182" s="163"/>
      <c r="L182" s="163"/>
      <c r="M182" s="163"/>
      <c r="N182" s="163"/>
      <c r="O182" s="234">
        <v>50</v>
      </c>
      <c r="P182" s="169">
        <v>44440</v>
      </c>
      <c r="Q182" s="169">
        <v>44440</v>
      </c>
      <c r="R182" s="169">
        <v>44440</v>
      </c>
      <c r="S182" s="47" t="s">
        <v>170</v>
      </c>
      <c r="T182" s="167" t="s">
        <v>1553</v>
      </c>
      <c r="U182" s="167" t="s">
        <v>1554</v>
      </c>
      <c r="V182" s="186">
        <v>883396083</v>
      </c>
      <c r="W182" s="20" t="s">
        <v>1555</v>
      </c>
      <c r="X182" s="20" t="s">
        <v>1556</v>
      </c>
      <c r="Y182" s="20"/>
      <c r="Z182" s="20">
        <v>299</v>
      </c>
      <c r="AA182" s="20"/>
      <c r="AB182" s="20" t="s">
        <v>1557</v>
      </c>
      <c r="AC182" s="20"/>
    </row>
    <row r="183" spans="1:29" ht="15.75" customHeight="1">
      <c r="A183" s="8">
        <v>182</v>
      </c>
      <c r="B183" s="20" t="s">
        <v>1130</v>
      </c>
      <c r="C183" s="20" t="s">
        <v>1558</v>
      </c>
      <c r="D183" s="163"/>
      <c r="E183" s="163"/>
      <c r="F183" s="163"/>
      <c r="G183" s="163"/>
      <c r="H183" s="163"/>
      <c r="I183" s="163"/>
      <c r="J183" s="163"/>
      <c r="K183" s="163"/>
      <c r="L183" s="163"/>
      <c r="M183" s="163"/>
      <c r="N183" s="163"/>
      <c r="O183" s="234">
        <v>50</v>
      </c>
      <c r="P183" s="169">
        <v>44440</v>
      </c>
      <c r="Q183" s="169">
        <v>44440</v>
      </c>
      <c r="R183" s="169">
        <v>44440</v>
      </c>
      <c r="S183" s="47" t="s">
        <v>170</v>
      </c>
      <c r="T183" s="167" t="s">
        <v>1559</v>
      </c>
      <c r="U183" s="167" t="s">
        <v>1560</v>
      </c>
      <c r="V183" s="167">
        <v>692193826</v>
      </c>
      <c r="W183" s="20" t="s">
        <v>1561</v>
      </c>
      <c r="X183" s="20" t="s">
        <v>1562</v>
      </c>
      <c r="Y183" s="20"/>
      <c r="Z183" s="20">
        <v>300</v>
      </c>
      <c r="AA183" s="20"/>
      <c r="AB183" s="20" t="s">
        <v>1563</v>
      </c>
      <c r="AC183" s="20"/>
    </row>
    <row r="184" spans="1:29" ht="15.75" customHeight="1">
      <c r="A184" s="8">
        <v>183</v>
      </c>
      <c r="B184" s="20" t="s">
        <v>300</v>
      </c>
      <c r="C184" s="20" t="s">
        <v>1564</v>
      </c>
      <c r="D184" s="163"/>
      <c r="E184" s="163"/>
      <c r="F184" s="163"/>
      <c r="G184" s="163"/>
      <c r="H184" s="163"/>
      <c r="I184" s="163"/>
      <c r="J184" s="163"/>
      <c r="K184" s="163"/>
      <c r="L184" s="163"/>
      <c r="M184" s="163"/>
      <c r="N184" s="163"/>
      <c r="O184" s="234">
        <v>50</v>
      </c>
      <c r="P184" s="169">
        <v>44440</v>
      </c>
      <c r="Q184" s="169">
        <v>44441</v>
      </c>
      <c r="R184" s="169">
        <v>44441</v>
      </c>
      <c r="S184" s="18" t="s">
        <v>689</v>
      </c>
      <c r="T184" s="167" t="s">
        <v>1565</v>
      </c>
      <c r="U184" s="167" t="s">
        <v>1566</v>
      </c>
      <c r="V184" s="186">
        <v>533537471</v>
      </c>
      <c r="W184" s="20"/>
      <c r="X184" s="20" t="s">
        <v>1567</v>
      </c>
      <c r="Y184" s="20"/>
      <c r="Z184" s="20">
        <v>301</v>
      </c>
      <c r="AA184" s="40" t="s">
        <v>200</v>
      </c>
      <c r="AB184" s="20" t="s">
        <v>1568</v>
      </c>
      <c r="AC184" s="20"/>
    </row>
    <row r="185" spans="1:29" ht="15.75" customHeight="1">
      <c r="A185" s="8">
        <v>184</v>
      </c>
      <c r="B185" s="20" t="s">
        <v>759</v>
      </c>
      <c r="C185" s="20" t="s">
        <v>1569</v>
      </c>
      <c r="D185" s="163"/>
      <c r="E185" s="163"/>
      <c r="F185" s="163"/>
      <c r="G185" s="163"/>
      <c r="H185" s="163"/>
      <c r="I185" s="163"/>
      <c r="J185" s="163"/>
      <c r="K185" s="163"/>
      <c r="L185" s="163"/>
      <c r="M185" s="163"/>
      <c r="N185" s="163"/>
      <c r="O185" s="234">
        <v>50</v>
      </c>
      <c r="P185" s="169">
        <v>44444</v>
      </c>
      <c r="Q185" s="169">
        <v>44445</v>
      </c>
      <c r="R185" s="169">
        <v>44445</v>
      </c>
      <c r="S185" s="47" t="s">
        <v>170</v>
      </c>
      <c r="T185" s="167" t="s">
        <v>1570</v>
      </c>
      <c r="U185" s="167" t="s">
        <v>1571</v>
      </c>
      <c r="V185" s="167">
        <v>693406910</v>
      </c>
      <c r="W185" s="20"/>
      <c r="X185" s="20" t="s">
        <v>1572</v>
      </c>
      <c r="Y185" s="20"/>
      <c r="Z185" s="20">
        <v>302</v>
      </c>
      <c r="AA185" s="40" t="s">
        <v>200</v>
      </c>
      <c r="AB185" s="20"/>
      <c r="AC185" s="20"/>
    </row>
    <row r="186" spans="1:29" ht="15.75" customHeight="1">
      <c r="A186" s="8">
        <v>185</v>
      </c>
      <c r="B186" s="20" t="s">
        <v>1573</v>
      </c>
      <c r="C186" s="20" t="s">
        <v>1574</v>
      </c>
      <c r="D186" s="163"/>
      <c r="E186" s="163"/>
      <c r="F186" s="163"/>
      <c r="G186" s="163"/>
      <c r="H186" s="163"/>
      <c r="I186" s="163"/>
      <c r="J186" s="163"/>
      <c r="K186" s="163"/>
      <c r="L186" s="163"/>
      <c r="M186" s="163"/>
      <c r="N186" s="163"/>
      <c r="O186" s="234">
        <v>50</v>
      </c>
      <c r="P186" s="169">
        <v>44445</v>
      </c>
      <c r="Q186" s="169">
        <v>44446</v>
      </c>
      <c r="R186" s="169">
        <v>44446</v>
      </c>
      <c r="S186" s="47" t="s">
        <v>170</v>
      </c>
      <c r="T186" s="167" t="s">
        <v>1575</v>
      </c>
      <c r="U186" s="167" t="s">
        <v>1576</v>
      </c>
      <c r="V186" s="186">
        <v>421903160030</v>
      </c>
      <c r="W186" s="20"/>
      <c r="X186" s="20" t="s">
        <v>1577</v>
      </c>
      <c r="Y186" s="20"/>
      <c r="Z186" s="20">
        <v>303</v>
      </c>
      <c r="AA186" s="20"/>
      <c r="AB186" s="20"/>
      <c r="AC186" s="20"/>
    </row>
    <row r="187" spans="1:29" ht="15.75" customHeight="1">
      <c r="A187" s="8">
        <v>186</v>
      </c>
      <c r="B187" s="20" t="s">
        <v>296</v>
      </c>
      <c r="C187" s="20" t="s">
        <v>1578</v>
      </c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234">
        <v>50</v>
      </c>
      <c r="P187" s="169">
        <v>44445</v>
      </c>
      <c r="Q187" s="169">
        <v>44445</v>
      </c>
      <c r="R187" s="169">
        <v>44445</v>
      </c>
      <c r="S187" s="47" t="s">
        <v>170</v>
      </c>
      <c r="T187" s="167" t="s">
        <v>1579</v>
      </c>
      <c r="U187" s="167" t="s">
        <v>1580</v>
      </c>
      <c r="V187" s="167">
        <v>793977513</v>
      </c>
      <c r="W187" s="20"/>
      <c r="X187" s="20" t="s">
        <v>1581</v>
      </c>
      <c r="Y187" s="20"/>
      <c r="Z187" s="20">
        <v>304</v>
      </c>
      <c r="AA187" s="20"/>
      <c r="AB187" s="20" t="s">
        <v>1582</v>
      </c>
      <c r="AC187" s="20"/>
    </row>
    <row r="188" spans="1:29" ht="15.75" customHeight="1">
      <c r="A188" s="8">
        <v>187</v>
      </c>
      <c r="B188" s="20" t="s">
        <v>1583</v>
      </c>
      <c r="C188" s="20" t="s">
        <v>1584</v>
      </c>
      <c r="D188" s="163"/>
      <c r="E188" s="163"/>
      <c r="F188" s="163"/>
      <c r="G188" s="163"/>
      <c r="H188" s="163"/>
      <c r="I188" s="163"/>
      <c r="J188" s="163"/>
      <c r="K188" s="163"/>
      <c r="L188" s="163"/>
      <c r="M188" s="163"/>
      <c r="N188" s="163"/>
      <c r="O188" s="234">
        <v>50</v>
      </c>
      <c r="P188" s="169">
        <v>44445</v>
      </c>
      <c r="Q188" s="169">
        <v>44446</v>
      </c>
      <c r="R188" s="169">
        <v>44446</v>
      </c>
      <c r="S188" s="47" t="s">
        <v>170</v>
      </c>
      <c r="T188" s="167" t="s">
        <v>1585</v>
      </c>
      <c r="U188" s="167" t="s">
        <v>1586</v>
      </c>
      <c r="V188" s="167">
        <v>905430767</v>
      </c>
      <c r="W188" s="20"/>
      <c r="X188" s="20" t="s">
        <v>1587</v>
      </c>
      <c r="Y188" s="20"/>
      <c r="Z188" s="20">
        <v>305</v>
      </c>
      <c r="AA188" s="20"/>
      <c r="AB188" s="20"/>
      <c r="AC188" s="20"/>
    </row>
    <row r="189" spans="1:29" ht="15.75" customHeight="1">
      <c r="A189" s="8">
        <v>188</v>
      </c>
      <c r="B189" s="20" t="s">
        <v>1588</v>
      </c>
      <c r="C189" s="20" t="s">
        <v>1589</v>
      </c>
      <c r="D189" s="163"/>
      <c r="E189" s="163"/>
      <c r="F189" s="163"/>
      <c r="G189" s="163"/>
      <c r="H189" s="163"/>
      <c r="I189" s="163"/>
      <c r="J189" s="163"/>
      <c r="K189" s="163"/>
      <c r="L189" s="163"/>
      <c r="M189" s="163"/>
      <c r="N189" s="163"/>
      <c r="O189" s="234">
        <v>50</v>
      </c>
      <c r="P189" s="169">
        <v>44446</v>
      </c>
      <c r="Q189" s="169">
        <v>44447</v>
      </c>
      <c r="R189" s="169">
        <v>44447</v>
      </c>
      <c r="S189" s="47" t="s">
        <v>170</v>
      </c>
      <c r="T189" s="167" t="s">
        <v>1590</v>
      </c>
      <c r="U189" s="167" t="s">
        <v>1591</v>
      </c>
      <c r="V189" s="167">
        <v>725199901</v>
      </c>
      <c r="W189" s="20"/>
      <c r="X189" s="20" t="s">
        <v>1592</v>
      </c>
      <c r="Y189" s="20"/>
      <c r="Z189" s="20">
        <v>306</v>
      </c>
      <c r="AA189" s="20"/>
      <c r="AB189" s="20"/>
      <c r="AC189" s="20"/>
    </row>
    <row r="190" spans="1:29" ht="15.75" customHeight="1">
      <c r="A190" s="8">
        <v>189</v>
      </c>
      <c r="B190" s="20" t="s">
        <v>1593</v>
      </c>
      <c r="C190" s="20" t="s">
        <v>1594</v>
      </c>
      <c r="D190" s="163"/>
      <c r="E190" s="163"/>
      <c r="F190" s="163"/>
      <c r="G190" s="163"/>
      <c r="H190" s="163"/>
      <c r="I190" s="163"/>
      <c r="J190" s="163"/>
      <c r="K190" s="163"/>
      <c r="L190" s="163"/>
      <c r="M190" s="163"/>
      <c r="N190" s="163"/>
      <c r="O190" s="234">
        <v>50</v>
      </c>
      <c r="P190" s="169">
        <v>44451</v>
      </c>
      <c r="Q190" s="169">
        <v>44451</v>
      </c>
      <c r="R190" s="169">
        <v>44451</v>
      </c>
      <c r="S190" s="18" t="s">
        <v>689</v>
      </c>
      <c r="T190" s="167" t="s">
        <v>1595</v>
      </c>
      <c r="U190" s="167" t="s">
        <v>1596</v>
      </c>
      <c r="V190" s="167">
        <v>693892734</v>
      </c>
      <c r="W190" s="20" t="s">
        <v>1597</v>
      </c>
      <c r="X190" s="20" t="s">
        <v>1598</v>
      </c>
      <c r="Y190" s="20"/>
      <c r="Z190" s="20">
        <v>307</v>
      </c>
      <c r="AA190" s="20"/>
      <c r="AB190" s="20" t="s">
        <v>1599</v>
      </c>
      <c r="AC190" s="20"/>
    </row>
    <row r="191" spans="1:29" ht="15.75" customHeight="1">
      <c r="A191" s="8">
        <v>190</v>
      </c>
      <c r="B191" s="20" t="s">
        <v>1600</v>
      </c>
      <c r="C191" s="20" t="s">
        <v>1594</v>
      </c>
      <c r="D191" s="163"/>
      <c r="E191" s="163"/>
      <c r="F191" s="163"/>
      <c r="G191" s="163"/>
      <c r="H191" s="163"/>
      <c r="I191" s="163"/>
      <c r="J191" s="163"/>
      <c r="K191" s="163"/>
      <c r="L191" s="163"/>
      <c r="M191" s="163"/>
      <c r="N191" s="163"/>
      <c r="O191" s="234">
        <v>50</v>
      </c>
      <c r="P191" s="169">
        <v>44451</v>
      </c>
      <c r="Q191" s="169">
        <v>44451</v>
      </c>
      <c r="R191" s="169">
        <v>44451</v>
      </c>
      <c r="S191" s="47" t="s">
        <v>170</v>
      </c>
      <c r="T191" s="167" t="s">
        <v>1595</v>
      </c>
      <c r="U191" s="167" t="s">
        <v>1596</v>
      </c>
      <c r="V191" s="167">
        <v>501281567</v>
      </c>
      <c r="W191" s="20" t="s">
        <v>1597</v>
      </c>
      <c r="X191" s="20" t="s">
        <v>1601</v>
      </c>
      <c r="Y191" s="20"/>
      <c r="Z191" s="20">
        <v>308</v>
      </c>
      <c r="AA191" s="20"/>
      <c r="AB191" s="20" t="s">
        <v>1599</v>
      </c>
      <c r="AC191" s="20"/>
    </row>
    <row r="192" spans="1:29" ht="15.75" customHeight="1">
      <c r="A192" s="8">
        <v>191</v>
      </c>
      <c r="B192" s="20" t="s">
        <v>913</v>
      </c>
      <c r="C192" s="20" t="s">
        <v>1602</v>
      </c>
      <c r="D192" s="163"/>
      <c r="E192" s="163"/>
      <c r="F192" s="163"/>
      <c r="G192" s="163"/>
      <c r="H192" s="163"/>
      <c r="I192" s="163"/>
      <c r="J192" s="163"/>
      <c r="K192" s="163"/>
      <c r="L192" s="163"/>
      <c r="M192" s="163"/>
      <c r="N192" s="163"/>
      <c r="O192" s="234">
        <v>50</v>
      </c>
      <c r="P192" s="169">
        <v>44452</v>
      </c>
      <c r="Q192" s="169">
        <v>44452</v>
      </c>
      <c r="R192" s="169">
        <v>44452</v>
      </c>
      <c r="S192" s="47" t="s">
        <v>170</v>
      </c>
      <c r="T192" s="167" t="s">
        <v>1603</v>
      </c>
      <c r="U192" s="167" t="s">
        <v>1604</v>
      </c>
      <c r="V192" s="167">
        <v>502254552</v>
      </c>
      <c r="W192" s="20" t="s">
        <v>1605</v>
      </c>
      <c r="X192" s="20" t="s">
        <v>1606</v>
      </c>
      <c r="Y192" s="20"/>
      <c r="Z192" s="20">
        <v>309</v>
      </c>
      <c r="AA192" s="20"/>
      <c r="AB192" s="20" t="s">
        <v>1607</v>
      </c>
      <c r="AC192" s="20"/>
    </row>
    <row r="193" spans="1:29" ht="15.75" customHeight="1">
      <c r="A193" s="8">
        <v>192</v>
      </c>
      <c r="B193" s="20" t="s">
        <v>315</v>
      </c>
      <c r="C193" s="20" t="s">
        <v>1608</v>
      </c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234">
        <v>50</v>
      </c>
      <c r="P193" s="169">
        <v>44453</v>
      </c>
      <c r="Q193" s="169">
        <v>44454</v>
      </c>
      <c r="R193" s="169">
        <v>44454</v>
      </c>
      <c r="S193" s="47" t="s">
        <v>170</v>
      </c>
      <c r="T193" s="167" t="s">
        <v>1609</v>
      </c>
      <c r="U193" s="167" t="s">
        <v>1610</v>
      </c>
      <c r="V193" s="167">
        <v>515567577</v>
      </c>
      <c r="W193" s="20" t="s">
        <v>1611</v>
      </c>
      <c r="X193" s="20" t="s">
        <v>1612</v>
      </c>
      <c r="Y193" s="20"/>
      <c r="Z193" s="20">
        <v>310</v>
      </c>
      <c r="AA193" s="20"/>
      <c r="AB193" s="20" t="s">
        <v>1611</v>
      </c>
      <c r="AC193" s="20"/>
    </row>
    <row r="194" spans="1:29" ht="15.75" customHeight="1">
      <c r="A194" s="8">
        <v>193</v>
      </c>
      <c r="B194" s="20" t="s">
        <v>325</v>
      </c>
      <c r="C194" s="20" t="s">
        <v>1613</v>
      </c>
      <c r="D194" s="163"/>
      <c r="E194" s="163"/>
      <c r="F194" s="163"/>
      <c r="G194" s="163"/>
      <c r="H194" s="163"/>
      <c r="I194" s="163"/>
      <c r="J194" s="163"/>
      <c r="K194" s="163"/>
      <c r="L194" s="163"/>
      <c r="M194" s="163"/>
      <c r="N194" s="163"/>
      <c r="O194" s="238">
        <v>50</v>
      </c>
      <c r="P194" s="169">
        <v>44500</v>
      </c>
      <c r="Q194" s="169">
        <v>44502</v>
      </c>
      <c r="R194" s="169">
        <v>44502</v>
      </c>
      <c r="S194" s="47" t="s">
        <v>170</v>
      </c>
      <c r="T194" s="167" t="s">
        <v>1614</v>
      </c>
      <c r="U194" s="167" t="s">
        <v>1615</v>
      </c>
      <c r="V194" s="167">
        <v>517458893</v>
      </c>
      <c r="W194" s="20"/>
      <c r="X194" s="20" t="s">
        <v>1616</v>
      </c>
      <c r="Y194" s="20"/>
      <c r="Z194" s="20">
        <v>312</v>
      </c>
      <c r="AA194" s="20"/>
      <c r="AB194" s="20"/>
      <c r="AC194" s="20"/>
    </row>
    <row r="195" spans="1:29" ht="15.75" customHeight="1">
      <c r="A195" s="8">
        <v>194</v>
      </c>
      <c r="B195" s="183" t="s">
        <v>905</v>
      </c>
      <c r="C195" s="183" t="s">
        <v>1617</v>
      </c>
      <c r="D195" s="163"/>
      <c r="E195" s="163"/>
      <c r="F195" s="163"/>
      <c r="G195" s="163"/>
      <c r="H195" s="163"/>
      <c r="I195" s="163"/>
      <c r="J195" s="163"/>
      <c r="K195" s="163"/>
      <c r="L195" s="163"/>
      <c r="M195" s="163"/>
      <c r="N195" s="163"/>
      <c r="O195" s="238">
        <v>50</v>
      </c>
      <c r="P195" s="182">
        <v>44458</v>
      </c>
      <c r="Q195" s="182">
        <v>44459</v>
      </c>
      <c r="R195" s="182">
        <v>44459</v>
      </c>
      <c r="S195" s="47" t="s">
        <v>170</v>
      </c>
      <c r="T195" s="197" t="s">
        <v>1618</v>
      </c>
      <c r="U195" s="197" t="s">
        <v>1619</v>
      </c>
      <c r="V195" s="197">
        <v>509336202</v>
      </c>
      <c r="W195" s="183" t="s">
        <v>1620</v>
      </c>
      <c r="X195" s="183" t="s">
        <v>1621</v>
      </c>
      <c r="Y195" s="183"/>
      <c r="Z195" s="183">
        <v>311</v>
      </c>
      <c r="AA195" s="183"/>
      <c r="AB195" s="183"/>
      <c r="AC195" s="183"/>
    </row>
    <row r="196" spans="1:29" ht="15.75" customHeight="1">
      <c r="A196" s="8">
        <v>195</v>
      </c>
      <c r="B196" s="20" t="s">
        <v>1622</v>
      </c>
      <c r="C196" s="20" t="s">
        <v>1623</v>
      </c>
      <c r="D196" s="163"/>
      <c r="E196" s="163"/>
      <c r="F196" s="163"/>
      <c r="G196" s="163"/>
      <c r="H196" s="163"/>
      <c r="I196" s="163"/>
      <c r="J196" s="163"/>
      <c r="K196" s="163"/>
      <c r="L196" s="163"/>
      <c r="M196" s="163"/>
      <c r="N196" s="163"/>
      <c r="O196" s="238">
        <v>50</v>
      </c>
      <c r="P196" s="169">
        <v>44472</v>
      </c>
      <c r="Q196" s="169">
        <v>44473</v>
      </c>
      <c r="R196" s="169">
        <v>44473</v>
      </c>
      <c r="S196" s="47" t="s">
        <v>170</v>
      </c>
      <c r="T196" s="167" t="s">
        <v>1624</v>
      </c>
      <c r="U196" s="167" t="s">
        <v>1625</v>
      </c>
      <c r="V196" s="167">
        <v>533814872</v>
      </c>
      <c r="W196" s="20" t="s">
        <v>1626</v>
      </c>
      <c r="X196" s="20" t="s">
        <v>1627</v>
      </c>
      <c r="Y196" s="20"/>
      <c r="Z196" s="20">
        <v>313</v>
      </c>
      <c r="AA196" s="20"/>
      <c r="AB196" s="20" t="s">
        <v>1628</v>
      </c>
      <c r="AC196" s="20"/>
    </row>
    <row r="197" spans="1:29" ht="15.75" customHeight="1">
      <c r="A197" s="8">
        <v>196</v>
      </c>
      <c r="B197" s="20" t="s">
        <v>212</v>
      </c>
      <c r="C197" s="20" t="s">
        <v>1629</v>
      </c>
      <c r="D197" s="163"/>
      <c r="E197" s="163"/>
      <c r="F197" s="163"/>
      <c r="G197" s="163"/>
      <c r="H197" s="163"/>
      <c r="I197" s="163"/>
      <c r="J197" s="163"/>
      <c r="K197" s="163"/>
      <c r="L197" s="163"/>
      <c r="M197" s="163"/>
      <c r="N197" s="163"/>
      <c r="O197" s="238">
        <v>50</v>
      </c>
      <c r="P197" s="169">
        <v>44474</v>
      </c>
      <c r="Q197" s="169">
        <v>44474</v>
      </c>
      <c r="R197" s="169">
        <v>44474</v>
      </c>
      <c r="S197" s="47" t="s">
        <v>170</v>
      </c>
      <c r="T197" s="167" t="s">
        <v>1630</v>
      </c>
      <c r="U197" s="167" t="s">
        <v>1631</v>
      </c>
      <c r="V197" s="167">
        <v>517958484</v>
      </c>
      <c r="W197" s="20"/>
      <c r="X197" s="20" t="s">
        <v>1632</v>
      </c>
      <c r="Y197" s="20"/>
      <c r="Z197" s="20">
        <v>314</v>
      </c>
      <c r="AA197" s="20"/>
      <c r="AB197" s="20"/>
      <c r="AC197" s="20"/>
    </row>
    <row r="198" spans="1:29" ht="15.75" customHeight="1">
      <c r="A198" s="8">
        <v>197</v>
      </c>
      <c r="B198" s="20" t="s">
        <v>895</v>
      </c>
      <c r="C198" s="20" t="s">
        <v>1633</v>
      </c>
      <c r="D198" s="163"/>
      <c r="E198" s="163"/>
      <c r="F198" s="163"/>
      <c r="G198" s="163"/>
      <c r="H198" s="163"/>
      <c r="I198" s="163"/>
      <c r="J198" s="163"/>
      <c r="K198" s="163"/>
      <c r="L198" s="163"/>
      <c r="M198" s="163"/>
      <c r="N198" s="163"/>
      <c r="O198" s="238">
        <v>50</v>
      </c>
      <c r="P198" s="169">
        <v>44474</v>
      </c>
      <c r="Q198" s="169">
        <v>44475</v>
      </c>
      <c r="R198" s="169">
        <v>44475</v>
      </c>
      <c r="S198" s="47" t="s">
        <v>170</v>
      </c>
      <c r="T198" s="167" t="s">
        <v>1634</v>
      </c>
      <c r="U198" s="167" t="s">
        <v>933</v>
      </c>
      <c r="V198" s="167">
        <v>781964432</v>
      </c>
      <c r="W198" s="20"/>
      <c r="X198" s="20" t="s">
        <v>1635</v>
      </c>
      <c r="Y198" s="20"/>
      <c r="Z198" s="20">
        <v>315</v>
      </c>
      <c r="AA198" s="20"/>
      <c r="AB198" s="20"/>
      <c r="AC198" s="20"/>
    </row>
    <row r="199" spans="1:29" ht="15.75" customHeight="1">
      <c r="A199" s="8">
        <v>198</v>
      </c>
      <c r="B199" s="20" t="s">
        <v>1636</v>
      </c>
      <c r="C199" s="20" t="s">
        <v>1637</v>
      </c>
      <c r="D199" s="163"/>
      <c r="E199" s="163"/>
      <c r="F199" s="163"/>
      <c r="G199" s="163"/>
      <c r="H199" s="163"/>
      <c r="I199" s="163"/>
      <c r="J199" s="163"/>
      <c r="K199" s="163"/>
      <c r="L199" s="163"/>
      <c r="M199" s="163"/>
      <c r="N199" s="163"/>
      <c r="O199" s="238">
        <v>50</v>
      </c>
      <c r="P199" s="169">
        <v>44474</v>
      </c>
      <c r="Q199" s="169">
        <v>44475</v>
      </c>
      <c r="R199" s="169">
        <v>44475</v>
      </c>
      <c r="S199" s="47" t="s">
        <v>170</v>
      </c>
      <c r="T199" s="167" t="s">
        <v>1638</v>
      </c>
      <c r="U199" s="167" t="s">
        <v>1639</v>
      </c>
      <c r="V199" s="167">
        <v>696661351</v>
      </c>
      <c r="W199" s="20"/>
      <c r="X199" s="20" t="s">
        <v>1640</v>
      </c>
      <c r="Y199" s="20"/>
      <c r="Z199" s="20">
        <v>316</v>
      </c>
      <c r="AA199" s="20"/>
      <c r="AB199" s="20"/>
      <c r="AC199" s="20"/>
    </row>
    <row r="200" spans="1:29" ht="15.75" customHeight="1">
      <c r="A200" s="8">
        <v>199</v>
      </c>
      <c r="B200" s="20" t="s">
        <v>1641</v>
      </c>
      <c r="C200" s="20" t="s">
        <v>1642</v>
      </c>
      <c r="D200" s="163"/>
      <c r="E200" s="163"/>
      <c r="F200" s="163"/>
      <c r="G200" s="163"/>
      <c r="H200" s="163"/>
      <c r="I200" s="163"/>
      <c r="J200" s="163"/>
      <c r="K200" s="163"/>
      <c r="L200" s="163"/>
      <c r="M200" s="163"/>
      <c r="N200" s="163"/>
      <c r="O200" s="238">
        <v>50</v>
      </c>
      <c r="P200" s="169">
        <v>44474</v>
      </c>
      <c r="Q200" s="169">
        <v>44475</v>
      </c>
      <c r="R200" s="169">
        <v>44475</v>
      </c>
      <c r="S200" s="47" t="s">
        <v>170</v>
      </c>
      <c r="T200" s="167" t="s">
        <v>1643</v>
      </c>
      <c r="U200" s="167" t="s">
        <v>1644</v>
      </c>
      <c r="V200" s="167">
        <v>883720662</v>
      </c>
      <c r="W200" s="20"/>
      <c r="X200" s="20" t="s">
        <v>1645</v>
      </c>
      <c r="Y200" s="20"/>
      <c r="Z200" s="20">
        <v>317</v>
      </c>
      <c r="AA200" s="20"/>
      <c r="AB200" s="20"/>
      <c r="AC200" s="20"/>
    </row>
    <row r="201" spans="1:29" ht="15.75" customHeight="1">
      <c r="A201" s="8"/>
      <c r="B201" s="239" t="s">
        <v>300</v>
      </c>
      <c r="C201" s="239" t="s">
        <v>1646</v>
      </c>
      <c r="D201" s="239"/>
      <c r="E201" s="239"/>
      <c r="F201" s="239"/>
      <c r="G201" s="239"/>
      <c r="H201" s="239"/>
      <c r="I201" s="239"/>
      <c r="J201" s="239"/>
      <c r="K201" s="239"/>
      <c r="L201" s="239"/>
      <c r="M201" s="239"/>
      <c r="N201" s="239"/>
      <c r="O201" s="239"/>
      <c r="P201" s="240">
        <v>44492</v>
      </c>
      <c r="Q201" s="239"/>
      <c r="R201" s="239"/>
      <c r="S201" s="239"/>
      <c r="T201" s="208" t="s">
        <v>1647</v>
      </c>
      <c r="U201" s="208" t="s">
        <v>1648</v>
      </c>
      <c r="V201" s="208">
        <v>531216226</v>
      </c>
      <c r="W201" s="239"/>
      <c r="X201" s="239" t="s">
        <v>1649</v>
      </c>
      <c r="Y201" s="239"/>
      <c r="Z201" s="239"/>
      <c r="AA201" s="239"/>
      <c r="AB201" s="239"/>
      <c r="AC201" s="239"/>
    </row>
    <row r="202" spans="1:29" ht="15.75" customHeight="1">
      <c r="A202" s="8"/>
      <c r="B202" s="239" t="s">
        <v>481</v>
      </c>
      <c r="C202" s="239" t="s">
        <v>1650</v>
      </c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39"/>
      <c r="P202" s="240">
        <v>44456</v>
      </c>
      <c r="Q202" s="208"/>
      <c r="R202" s="208"/>
      <c r="S202" s="239"/>
      <c r="T202" s="208" t="s">
        <v>1651</v>
      </c>
      <c r="U202" s="208" t="s">
        <v>1652</v>
      </c>
      <c r="V202" s="208">
        <v>515303989</v>
      </c>
      <c r="W202" s="239"/>
      <c r="X202" s="239" t="s">
        <v>1653</v>
      </c>
      <c r="Y202" s="239"/>
      <c r="Z202" s="239"/>
      <c r="AA202" s="239"/>
      <c r="AB202" s="239"/>
      <c r="AC202" s="239"/>
    </row>
    <row r="203" spans="1:29" ht="15.75" customHeight="1">
      <c r="A203" s="8"/>
      <c r="B203" s="239" t="s">
        <v>1295</v>
      </c>
      <c r="C203" s="239" t="s">
        <v>1296</v>
      </c>
      <c r="D203" s="242"/>
      <c r="E203" s="242"/>
      <c r="F203" s="242"/>
      <c r="G203" s="242"/>
      <c r="H203" s="242"/>
      <c r="I203" s="242"/>
      <c r="J203" s="242"/>
      <c r="K203" s="242"/>
      <c r="L203" s="242"/>
      <c r="M203" s="242"/>
      <c r="N203" s="208"/>
      <c r="O203" s="208"/>
      <c r="P203" s="240">
        <v>44086</v>
      </c>
      <c r="Q203" s="208"/>
      <c r="R203" s="208"/>
      <c r="S203" s="239"/>
      <c r="T203" s="208" t="s">
        <v>1297</v>
      </c>
      <c r="U203" s="208" t="s">
        <v>191</v>
      </c>
      <c r="V203" s="208">
        <v>609352723</v>
      </c>
      <c r="W203" s="243"/>
      <c r="X203" s="239" t="s">
        <v>1298</v>
      </c>
      <c r="Y203" s="239"/>
      <c r="Z203" s="239"/>
      <c r="AA203" s="239"/>
      <c r="AB203" s="239"/>
      <c r="AC203" s="239"/>
    </row>
    <row r="204" spans="1:29" ht="15.75" customHeight="1">
      <c r="A204" s="8"/>
      <c r="B204" s="239" t="s">
        <v>194</v>
      </c>
      <c r="C204" s="239" t="s">
        <v>1303</v>
      </c>
      <c r="D204" s="242"/>
      <c r="E204" s="242"/>
      <c r="F204" s="242"/>
      <c r="G204" s="242"/>
      <c r="H204" s="242"/>
      <c r="I204" s="242"/>
      <c r="J204" s="242"/>
      <c r="K204" s="242"/>
      <c r="L204" s="242"/>
      <c r="M204" s="242"/>
      <c r="N204" s="208"/>
      <c r="O204" s="208"/>
      <c r="P204" s="240">
        <v>44089</v>
      </c>
      <c r="Q204" s="208"/>
      <c r="R204" s="208"/>
      <c r="S204" s="239"/>
      <c r="T204" s="208" t="s">
        <v>1304</v>
      </c>
      <c r="U204" s="208" t="s">
        <v>1305</v>
      </c>
      <c r="V204" s="208">
        <v>663348466</v>
      </c>
      <c r="W204" s="243"/>
      <c r="X204" s="239" t="s">
        <v>1306</v>
      </c>
      <c r="Y204" s="239"/>
      <c r="Z204" s="239"/>
      <c r="AA204" s="239"/>
      <c r="AB204" s="244" t="s">
        <v>1307</v>
      </c>
      <c r="AC204" s="239"/>
    </row>
    <row r="205" spans="1:29" ht="15.75" customHeight="1">
      <c r="A205" s="8"/>
      <c r="B205" s="239" t="s">
        <v>1343</v>
      </c>
      <c r="C205" s="239" t="s">
        <v>1344</v>
      </c>
      <c r="D205" s="242"/>
      <c r="E205" s="242"/>
      <c r="F205" s="242"/>
      <c r="G205" s="242"/>
      <c r="H205" s="242"/>
      <c r="I205" s="242"/>
      <c r="J205" s="242"/>
      <c r="K205" s="242"/>
      <c r="L205" s="242"/>
      <c r="M205" s="242"/>
      <c r="N205" s="208"/>
      <c r="O205" s="208"/>
      <c r="P205" s="240">
        <v>44185</v>
      </c>
      <c r="Q205" s="239"/>
      <c r="R205" s="239"/>
      <c r="S205" s="245" t="s">
        <v>1345</v>
      </c>
      <c r="T205" s="208" t="s">
        <v>1346</v>
      </c>
      <c r="U205" s="208" t="s">
        <v>1347</v>
      </c>
      <c r="V205" s="208">
        <v>501022051</v>
      </c>
      <c r="W205" s="239" t="s">
        <v>1348</v>
      </c>
      <c r="X205" s="239" t="s">
        <v>1349</v>
      </c>
      <c r="Y205" s="239"/>
      <c r="Z205" s="239"/>
      <c r="AA205" s="239"/>
      <c r="AB205" s="239" t="s">
        <v>1350</v>
      </c>
      <c r="AC205" s="239"/>
    </row>
    <row r="206" spans="1:29" ht="15.75" customHeight="1">
      <c r="A206" s="8"/>
      <c r="B206" s="239" t="s">
        <v>188</v>
      </c>
      <c r="C206" s="239" t="s">
        <v>1654</v>
      </c>
      <c r="D206" s="239"/>
      <c r="E206" s="239"/>
      <c r="F206" s="239"/>
      <c r="G206" s="239"/>
      <c r="H206" s="239"/>
      <c r="I206" s="239"/>
      <c r="J206" s="239"/>
      <c r="K206" s="239"/>
      <c r="L206" s="239"/>
      <c r="M206" s="239"/>
      <c r="N206" s="239"/>
      <c r="O206" s="239"/>
      <c r="P206" s="240">
        <v>44273</v>
      </c>
      <c r="Q206" s="208"/>
      <c r="R206" s="208"/>
      <c r="S206" s="208"/>
      <c r="T206" s="208" t="s">
        <v>1655</v>
      </c>
      <c r="U206" s="208" t="s">
        <v>1656</v>
      </c>
      <c r="V206" s="208">
        <v>502330571</v>
      </c>
      <c r="W206" s="239"/>
      <c r="X206" s="239" t="s">
        <v>1657</v>
      </c>
      <c r="Y206" s="239"/>
      <c r="Z206" s="239"/>
      <c r="AA206" s="239"/>
      <c r="AB206" s="239"/>
      <c r="AC206" s="239" t="s">
        <v>1658</v>
      </c>
    </row>
    <row r="207" spans="1:29" ht="15.75" customHeight="1"/>
    <row r="208" spans="1:29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usz13"/>
  <dimension ref="A1:AD1000"/>
  <sheetViews>
    <sheetView workbookViewId="0"/>
  </sheetViews>
  <sheetFormatPr defaultColWidth="14.44140625" defaultRowHeight="15" customHeight="1"/>
  <cols>
    <col min="1" max="1" width="9.44140625" customWidth="1"/>
    <col min="2" max="2" width="14.44140625" customWidth="1"/>
    <col min="3" max="3" width="14" customWidth="1"/>
    <col min="4" max="4" width="5.109375" customWidth="1"/>
    <col min="5" max="5" width="5" customWidth="1"/>
    <col min="6" max="6" width="4.6640625" customWidth="1"/>
    <col min="7" max="8" width="4.88671875" customWidth="1"/>
    <col min="9" max="9" width="4.6640625" customWidth="1"/>
    <col min="10" max="10" width="5" customWidth="1"/>
    <col min="11" max="16" width="4.88671875" customWidth="1"/>
    <col min="17" max="17" width="12.88671875" customWidth="1"/>
    <col min="18" max="18" width="13.33203125" customWidth="1"/>
    <col min="19" max="19" width="15.6640625" customWidth="1"/>
    <col min="20" max="20" width="21.6640625" customWidth="1"/>
    <col min="21" max="21" width="34.44140625" customWidth="1"/>
    <col min="22" max="22" width="27.5546875" customWidth="1"/>
    <col min="23" max="23" width="16.44140625" customWidth="1"/>
    <col min="24" max="24" width="21.5546875" customWidth="1"/>
    <col min="25" max="25" width="30.6640625" customWidth="1"/>
    <col min="26" max="26" width="16.109375" customWidth="1"/>
    <col min="27" max="28" width="8.6640625" customWidth="1"/>
    <col min="29" max="29" width="17" customWidth="1"/>
    <col min="30" max="30" width="47.5546875" customWidth="1"/>
  </cols>
  <sheetData>
    <row r="1" spans="1:30" ht="14.4">
      <c r="A1" s="1" t="s">
        <v>0</v>
      </c>
      <c r="B1" s="2" t="s">
        <v>1</v>
      </c>
      <c r="C1" s="2" t="s">
        <v>2</v>
      </c>
      <c r="D1" s="1">
        <v>2010</v>
      </c>
      <c r="E1" s="1">
        <v>2011</v>
      </c>
      <c r="F1" s="1">
        <v>2012</v>
      </c>
      <c r="G1" s="1">
        <v>2013</v>
      </c>
      <c r="H1" s="1">
        <v>2014</v>
      </c>
      <c r="I1" s="1">
        <v>2015</v>
      </c>
      <c r="J1" s="1">
        <v>2016</v>
      </c>
      <c r="K1" s="1">
        <v>2017</v>
      </c>
      <c r="L1" s="1">
        <v>2018</v>
      </c>
      <c r="M1" s="1">
        <v>2019</v>
      </c>
      <c r="N1" s="229">
        <v>2020</v>
      </c>
      <c r="O1" s="229">
        <v>2021</v>
      </c>
      <c r="P1" s="229">
        <v>2022</v>
      </c>
      <c r="Q1" s="116" t="s">
        <v>3</v>
      </c>
      <c r="R1" s="116" t="s">
        <v>199</v>
      </c>
      <c r="S1" s="116" t="s">
        <v>573</v>
      </c>
      <c r="T1" s="85" t="s">
        <v>5</v>
      </c>
      <c r="U1" s="1" t="s">
        <v>6</v>
      </c>
      <c r="V1" s="1" t="s">
        <v>574</v>
      </c>
      <c r="W1" s="1" t="s">
        <v>7</v>
      </c>
      <c r="X1" s="1" t="s">
        <v>8</v>
      </c>
      <c r="Y1" s="1" t="s">
        <v>9</v>
      </c>
      <c r="Z1" s="1" t="s">
        <v>10</v>
      </c>
      <c r="AA1" s="85" t="s">
        <v>11</v>
      </c>
      <c r="AB1" s="117" t="s">
        <v>12</v>
      </c>
      <c r="AC1" s="189" t="s">
        <v>740</v>
      </c>
      <c r="AD1" s="189" t="s">
        <v>741</v>
      </c>
    </row>
    <row r="2" spans="1:30" ht="14.4">
      <c r="A2" s="8">
        <v>1</v>
      </c>
      <c r="B2" s="9" t="s">
        <v>13</v>
      </c>
      <c r="C2" s="9" t="s">
        <v>14</v>
      </c>
      <c r="D2" s="10">
        <v>120</v>
      </c>
      <c r="E2" s="10">
        <v>120</v>
      </c>
      <c r="F2" s="10">
        <v>120</v>
      </c>
      <c r="G2" s="10">
        <v>50</v>
      </c>
      <c r="H2" s="10">
        <v>50</v>
      </c>
      <c r="I2" s="10">
        <v>50</v>
      </c>
      <c r="J2" s="10">
        <v>50</v>
      </c>
      <c r="K2" s="10"/>
      <c r="L2" s="25"/>
      <c r="M2" s="214">
        <v>50</v>
      </c>
      <c r="N2" s="18">
        <v>50</v>
      </c>
      <c r="O2" s="10">
        <v>50</v>
      </c>
      <c r="P2" s="56"/>
      <c r="Q2" s="190">
        <v>40316</v>
      </c>
      <c r="R2" s="11">
        <v>40229</v>
      </c>
      <c r="S2" s="11">
        <v>44305</v>
      </c>
      <c r="T2" s="8" t="s">
        <v>575</v>
      </c>
      <c r="U2" s="12" t="s">
        <v>16</v>
      </c>
      <c r="V2" s="12" t="s">
        <v>17</v>
      </c>
      <c r="W2" s="10">
        <v>502534510</v>
      </c>
      <c r="X2" s="10" t="s">
        <v>18</v>
      </c>
      <c r="Y2" s="43" t="s">
        <v>19</v>
      </c>
      <c r="Z2" s="10" t="s">
        <v>20</v>
      </c>
      <c r="AA2" s="45">
        <v>2</v>
      </c>
      <c r="AB2" s="201" t="s">
        <v>412</v>
      </c>
      <c r="AC2" s="22"/>
      <c r="AD2" s="22"/>
    </row>
    <row r="3" spans="1:30" ht="14.4">
      <c r="A3" s="8">
        <v>2</v>
      </c>
      <c r="B3" s="23" t="s">
        <v>21</v>
      </c>
      <c r="C3" s="23" t="s">
        <v>22</v>
      </c>
      <c r="D3" s="136">
        <v>120</v>
      </c>
      <c r="E3" s="136">
        <v>120</v>
      </c>
      <c r="F3" s="136">
        <v>120</v>
      </c>
      <c r="G3" s="136">
        <v>50</v>
      </c>
      <c r="H3" s="136">
        <v>50</v>
      </c>
      <c r="I3" s="136">
        <v>50</v>
      </c>
      <c r="J3" s="136">
        <v>50</v>
      </c>
      <c r="K3" s="136">
        <v>50</v>
      </c>
      <c r="L3" s="136">
        <v>50</v>
      </c>
      <c r="M3" s="215">
        <v>50</v>
      </c>
      <c r="N3" s="10">
        <v>50</v>
      </c>
      <c r="O3" s="58"/>
      <c r="P3" s="10"/>
      <c r="Q3" s="216">
        <v>40316</v>
      </c>
      <c r="R3" s="137">
        <v>40229</v>
      </c>
      <c r="S3" s="137">
        <v>44043</v>
      </c>
      <c r="T3" s="8" t="s">
        <v>590</v>
      </c>
      <c r="U3" s="27" t="s">
        <v>1165</v>
      </c>
      <c r="V3" s="27" t="s">
        <v>1166</v>
      </c>
      <c r="W3" s="25">
        <v>605230859</v>
      </c>
      <c r="X3" s="25" t="s">
        <v>26</v>
      </c>
      <c r="Y3" s="138" t="s">
        <v>27</v>
      </c>
      <c r="Z3" s="136" t="s">
        <v>28</v>
      </c>
      <c r="AA3" s="139">
        <v>3</v>
      </c>
      <c r="AB3" s="201" t="s">
        <v>412</v>
      </c>
      <c r="AC3" s="20"/>
      <c r="AD3" s="20"/>
    </row>
    <row r="4" spans="1:30" ht="14.4">
      <c r="A4" s="8">
        <v>3</v>
      </c>
      <c r="B4" s="9" t="s">
        <v>35</v>
      </c>
      <c r="C4" s="9" t="s">
        <v>36</v>
      </c>
      <c r="D4" s="10">
        <v>120</v>
      </c>
      <c r="E4" s="10">
        <v>120</v>
      </c>
      <c r="F4" s="10">
        <v>120</v>
      </c>
      <c r="G4" s="10">
        <v>50</v>
      </c>
      <c r="H4" s="10">
        <v>100</v>
      </c>
      <c r="I4" s="10">
        <v>50</v>
      </c>
      <c r="J4" s="10">
        <v>50</v>
      </c>
      <c r="K4" s="10"/>
      <c r="L4" s="10">
        <v>50</v>
      </c>
      <c r="M4" s="215">
        <v>50</v>
      </c>
      <c r="N4" s="10">
        <v>50</v>
      </c>
      <c r="O4" s="58"/>
      <c r="P4" s="10"/>
      <c r="Q4" s="190">
        <v>40316</v>
      </c>
      <c r="R4" s="11">
        <v>40229</v>
      </c>
      <c r="S4" s="11">
        <v>44006</v>
      </c>
      <c r="T4" s="8" t="s">
        <v>57</v>
      </c>
      <c r="U4" s="12" t="s">
        <v>37</v>
      </c>
      <c r="V4" s="12" t="s">
        <v>38</v>
      </c>
      <c r="W4" s="10">
        <v>608666164</v>
      </c>
      <c r="X4" s="10" t="s">
        <v>39</v>
      </c>
      <c r="Y4" s="141" t="s">
        <v>577</v>
      </c>
      <c r="Z4" s="10" t="s">
        <v>41</v>
      </c>
      <c r="AA4" s="45">
        <v>4</v>
      </c>
      <c r="AB4" s="201" t="s">
        <v>200</v>
      </c>
      <c r="AC4" s="20"/>
      <c r="AD4" s="20"/>
    </row>
    <row r="5" spans="1:30" ht="14.4">
      <c r="A5" s="8">
        <v>4</v>
      </c>
      <c r="B5" s="9" t="s">
        <v>42</v>
      </c>
      <c r="C5" s="9" t="s">
        <v>36</v>
      </c>
      <c r="D5" s="10">
        <v>120</v>
      </c>
      <c r="E5" s="10">
        <v>120</v>
      </c>
      <c r="F5" s="10">
        <v>120</v>
      </c>
      <c r="G5" s="10">
        <v>50</v>
      </c>
      <c r="H5" s="10">
        <v>50</v>
      </c>
      <c r="I5" s="10">
        <v>100</v>
      </c>
      <c r="J5" s="10">
        <v>50</v>
      </c>
      <c r="K5" s="10">
        <v>50</v>
      </c>
      <c r="L5" s="10">
        <v>50</v>
      </c>
      <c r="M5" s="215">
        <v>50</v>
      </c>
      <c r="N5" s="10">
        <v>50</v>
      </c>
      <c r="O5" s="58"/>
      <c r="P5" s="40">
        <v>50</v>
      </c>
      <c r="Q5" s="190">
        <v>40316</v>
      </c>
      <c r="R5" s="11">
        <v>40229</v>
      </c>
      <c r="S5" s="11">
        <v>44581</v>
      </c>
      <c r="T5" s="8" t="s">
        <v>136</v>
      </c>
      <c r="U5" s="12" t="s">
        <v>44</v>
      </c>
      <c r="V5" s="12" t="s">
        <v>45</v>
      </c>
      <c r="W5" s="8">
        <v>608666170</v>
      </c>
      <c r="X5" s="71" t="s">
        <v>46</v>
      </c>
      <c r="Y5" s="20" t="s">
        <v>742</v>
      </c>
      <c r="Z5" s="56" t="s">
        <v>32</v>
      </c>
      <c r="AA5" s="45">
        <v>6</v>
      </c>
      <c r="AB5" s="201" t="s">
        <v>412</v>
      </c>
      <c r="AC5" s="20"/>
      <c r="AD5" s="20"/>
    </row>
    <row r="6" spans="1:30" ht="14.4">
      <c r="A6" s="8">
        <v>5</v>
      </c>
      <c r="B6" s="9" t="s">
        <v>55</v>
      </c>
      <c r="C6" s="9" t="s">
        <v>63</v>
      </c>
      <c r="D6" s="10">
        <v>120</v>
      </c>
      <c r="E6" s="10">
        <v>120</v>
      </c>
      <c r="F6" s="10">
        <v>120</v>
      </c>
      <c r="G6" s="10">
        <v>50</v>
      </c>
      <c r="H6" s="10">
        <v>100</v>
      </c>
      <c r="I6" s="10">
        <v>100</v>
      </c>
      <c r="J6" s="10">
        <v>100</v>
      </c>
      <c r="K6" s="10">
        <v>100</v>
      </c>
      <c r="L6" s="10">
        <v>50</v>
      </c>
      <c r="M6" s="58"/>
      <c r="N6" s="18">
        <v>50</v>
      </c>
      <c r="O6" s="209">
        <v>50</v>
      </c>
      <c r="P6" s="20"/>
      <c r="Q6" s="190">
        <v>40316</v>
      </c>
      <c r="R6" s="11">
        <v>40229</v>
      </c>
      <c r="S6" s="19">
        <v>44337</v>
      </c>
      <c r="T6" s="8" t="s">
        <v>43</v>
      </c>
      <c r="U6" s="18" t="s">
        <v>991</v>
      </c>
      <c r="V6" s="108" t="s">
        <v>992</v>
      </c>
      <c r="W6" s="8">
        <v>600118375</v>
      </c>
      <c r="X6" s="8" t="s">
        <v>67</v>
      </c>
      <c r="Y6" s="138" t="s">
        <v>68</v>
      </c>
      <c r="Z6" s="10" t="s">
        <v>32</v>
      </c>
      <c r="AA6" s="45">
        <v>8</v>
      </c>
      <c r="AB6" s="201" t="s">
        <v>412</v>
      </c>
      <c r="AC6" s="20"/>
      <c r="AD6" s="20"/>
    </row>
    <row r="7" spans="1:30" ht="14.4">
      <c r="A7" s="8">
        <v>6</v>
      </c>
      <c r="B7" s="9" t="s">
        <v>42</v>
      </c>
      <c r="C7" s="9" t="s">
        <v>69</v>
      </c>
      <c r="D7" s="10">
        <v>120</v>
      </c>
      <c r="E7" s="10">
        <v>150</v>
      </c>
      <c r="F7" s="10">
        <v>120</v>
      </c>
      <c r="G7" s="10">
        <v>50</v>
      </c>
      <c r="H7" s="10">
        <v>50</v>
      </c>
      <c r="I7" s="10">
        <v>50</v>
      </c>
      <c r="J7" s="10">
        <v>50</v>
      </c>
      <c r="K7" s="10">
        <v>50</v>
      </c>
      <c r="L7" s="10">
        <v>50</v>
      </c>
      <c r="M7" s="58">
        <v>50</v>
      </c>
      <c r="N7" s="18">
        <v>50</v>
      </c>
      <c r="O7" s="209">
        <v>50</v>
      </c>
      <c r="P7" s="167"/>
      <c r="Q7" s="190">
        <v>40316</v>
      </c>
      <c r="R7" s="11">
        <v>40229</v>
      </c>
      <c r="S7" s="11">
        <v>44253</v>
      </c>
      <c r="T7" s="8" t="s">
        <v>150</v>
      </c>
      <c r="U7" s="25" t="s">
        <v>71</v>
      </c>
      <c r="V7" s="12" t="s">
        <v>72</v>
      </c>
      <c r="W7" s="10">
        <v>603628256</v>
      </c>
      <c r="X7" s="10" t="s">
        <v>73</v>
      </c>
      <c r="Y7" s="45" t="s">
        <v>74</v>
      </c>
      <c r="Z7" s="10" t="s">
        <v>75</v>
      </c>
      <c r="AA7" s="45">
        <v>7</v>
      </c>
      <c r="AB7" s="201" t="s">
        <v>200</v>
      </c>
      <c r="AC7" s="20"/>
      <c r="AD7" s="20"/>
    </row>
    <row r="8" spans="1:30" ht="14.4">
      <c r="A8" s="8">
        <v>7</v>
      </c>
      <c r="B8" s="9" t="s">
        <v>88</v>
      </c>
      <c r="C8" s="9" t="s">
        <v>89</v>
      </c>
      <c r="D8" s="10">
        <v>120</v>
      </c>
      <c r="E8" s="10">
        <v>120</v>
      </c>
      <c r="F8" s="10">
        <v>120</v>
      </c>
      <c r="G8" s="10">
        <v>50</v>
      </c>
      <c r="H8" s="10">
        <v>200</v>
      </c>
      <c r="I8" s="10">
        <v>100</v>
      </c>
      <c r="J8" s="10">
        <v>100</v>
      </c>
      <c r="K8" s="10">
        <v>200</v>
      </c>
      <c r="L8" s="10">
        <v>200</v>
      </c>
      <c r="M8" s="58">
        <v>200</v>
      </c>
      <c r="N8" s="10">
        <v>200</v>
      </c>
      <c r="O8" s="58">
        <v>50</v>
      </c>
      <c r="P8" s="10"/>
      <c r="Q8" s="190">
        <v>40316</v>
      </c>
      <c r="R8" s="11">
        <v>40229</v>
      </c>
      <c r="S8" s="67">
        <v>44284</v>
      </c>
      <c r="T8" s="71" t="s">
        <v>43</v>
      </c>
      <c r="U8" s="10" t="s">
        <v>90</v>
      </c>
      <c r="V8" s="57" t="s">
        <v>91</v>
      </c>
      <c r="W8" s="10" t="s">
        <v>584</v>
      </c>
      <c r="X8" s="10" t="s">
        <v>92</v>
      </c>
      <c r="Y8" s="141" t="s">
        <v>585</v>
      </c>
      <c r="Z8" s="10">
        <v>48223783633</v>
      </c>
      <c r="AA8" s="45">
        <v>10</v>
      </c>
      <c r="AB8" s="202"/>
      <c r="AC8" s="20"/>
      <c r="AD8" s="20"/>
    </row>
    <row r="9" spans="1:30" ht="14.4">
      <c r="A9" s="8">
        <v>8</v>
      </c>
      <c r="B9" s="9" t="s">
        <v>94</v>
      </c>
      <c r="C9" s="9" t="s">
        <v>95</v>
      </c>
      <c r="D9" s="10">
        <v>60</v>
      </c>
      <c r="E9" s="10">
        <v>60</v>
      </c>
      <c r="F9" s="10">
        <v>120</v>
      </c>
      <c r="G9" s="10">
        <v>50</v>
      </c>
      <c r="H9" s="10">
        <v>50</v>
      </c>
      <c r="I9" s="10">
        <v>50</v>
      </c>
      <c r="J9" s="10">
        <v>50</v>
      </c>
      <c r="K9" s="10">
        <v>50</v>
      </c>
      <c r="L9" s="10">
        <v>50</v>
      </c>
      <c r="M9" s="63">
        <v>50</v>
      </c>
      <c r="N9" s="91">
        <v>50</v>
      </c>
      <c r="O9" s="246">
        <v>50</v>
      </c>
      <c r="P9" s="20"/>
      <c r="Q9" s="190">
        <v>40316</v>
      </c>
      <c r="R9" s="11">
        <v>40229</v>
      </c>
      <c r="S9" s="19">
        <v>44337</v>
      </c>
      <c r="T9" s="8" t="s">
        <v>578</v>
      </c>
      <c r="U9" s="39" t="s">
        <v>1355</v>
      </c>
      <c r="V9" s="167" t="s">
        <v>1356</v>
      </c>
      <c r="W9" s="10">
        <v>514474608</v>
      </c>
      <c r="X9" s="10" t="s">
        <v>98</v>
      </c>
      <c r="Y9" s="45" t="s">
        <v>99</v>
      </c>
      <c r="Z9" s="10" t="s">
        <v>100</v>
      </c>
      <c r="AA9" s="45">
        <v>9</v>
      </c>
      <c r="AB9" s="201" t="s">
        <v>686</v>
      </c>
      <c r="AC9" s="20"/>
      <c r="AD9" s="20"/>
    </row>
    <row r="10" spans="1:30" ht="14.4">
      <c r="A10" s="8">
        <v>9</v>
      </c>
      <c r="B10" s="9" t="s">
        <v>55</v>
      </c>
      <c r="C10" s="9" t="s">
        <v>56</v>
      </c>
      <c r="D10" s="10">
        <v>60</v>
      </c>
      <c r="E10" s="10">
        <v>60</v>
      </c>
      <c r="F10" s="10">
        <v>60</v>
      </c>
      <c r="G10" s="10">
        <v>50</v>
      </c>
      <c r="H10" s="10">
        <v>50</v>
      </c>
      <c r="I10" s="10">
        <v>50</v>
      </c>
      <c r="J10" s="10">
        <v>50</v>
      </c>
      <c r="K10" s="10">
        <v>50</v>
      </c>
      <c r="L10" s="58"/>
      <c r="M10" s="20"/>
      <c r="N10" s="20"/>
      <c r="O10" s="209">
        <v>50</v>
      </c>
      <c r="P10" s="20"/>
      <c r="Q10" s="190">
        <v>40316</v>
      </c>
      <c r="R10" s="11">
        <v>40229</v>
      </c>
      <c r="S10" s="19">
        <v>44334</v>
      </c>
      <c r="T10" s="71" t="s">
        <v>43</v>
      </c>
      <c r="U10" s="12" t="s">
        <v>581</v>
      </c>
      <c r="V10" s="36" t="s">
        <v>59</v>
      </c>
      <c r="W10" s="10">
        <v>508373904</v>
      </c>
      <c r="X10" s="58" t="s">
        <v>60</v>
      </c>
      <c r="Y10" s="104" t="s">
        <v>61</v>
      </c>
      <c r="Z10" s="56" t="s">
        <v>62</v>
      </c>
      <c r="AA10" s="45">
        <v>19</v>
      </c>
    </row>
    <row r="11" spans="1:30" ht="14.4">
      <c r="A11" s="8">
        <v>10</v>
      </c>
      <c r="B11" s="9" t="s">
        <v>108</v>
      </c>
      <c r="C11" s="9" t="s">
        <v>109</v>
      </c>
      <c r="D11" s="10">
        <v>120</v>
      </c>
      <c r="E11" s="10">
        <v>120</v>
      </c>
      <c r="F11" s="10">
        <v>120</v>
      </c>
      <c r="G11" s="10"/>
      <c r="H11" s="10">
        <v>50</v>
      </c>
      <c r="I11" s="10"/>
      <c r="J11" s="10"/>
      <c r="K11" s="10"/>
      <c r="L11" s="10"/>
      <c r="M11" s="232">
        <v>50</v>
      </c>
      <c r="N11" s="233">
        <v>50</v>
      </c>
      <c r="O11" s="247"/>
      <c r="P11" s="167"/>
      <c r="Q11" s="190">
        <v>40316</v>
      </c>
      <c r="R11" s="11">
        <v>40229</v>
      </c>
      <c r="S11" s="11">
        <v>44077</v>
      </c>
      <c r="T11" s="71" t="s">
        <v>43</v>
      </c>
      <c r="U11" s="12" t="s">
        <v>111</v>
      </c>
      <c r="V11" s="36" t="s">
        <v>112</v>
      </c>
      <c r="W11" s="10">
        <v>721696982</v>
      </c>
      <c r="X11" s="10" t="s">
        <v>113</v>
      </c>
      <c r="Y11" s="45" t="s">
        <v>587</v>
      </c>
      <c r="Z11" s="10" t="s">
        <v>115</v>
      </c>
      <c r="AA11" s="45">
        <v>26</v>
      </c>
      <c r="AB11" s="58"/>
      <c r="AC11" s="20"/>
      <c r="AD11" s="20"/>
    </row>
    <row r="12" spans="1:30" ht="14.4">
      <c r="A12" s="8">
        <v>11</v>
      </c>
      <c r="B12" s="9" t="s">
        <v>101</v>
      </c>
      <c r="C12" s="9" t="s">
        <v>102</v>
      </c>
      <c r="D12" s="10">
        <v>120</v>
      </c>
      <c r="E12" s="10">
        <v>120</v>
      </c>
      <c r="F12" s="10">
        <v>120</v>
      </c>
      <c r="G12" s="10">
        <v>120</v>
      </c>
      <c r="H12" s="10">
        <v>100</v>
      </c>
      <c r="I12" s="10">
        <v>100</v>
      </c>
      <c r="J12" s="10">
        <v>100</v>
      </c>
      <c r="K12" s="10">
        <v>100</v>
      </c>
      <c r="L12" s="10">
        <v>100</v>
      </c>
      <c r="M12" s="63">
        <v>100</v>
      </c>
      <c r="N12" s="10">
        <v>100</v>
      </c>
      <c r="O12" s="58">
        <v>100</v>
      </c>
      <c r="P12" s="170">
        <v>100</v>
      </c>
      <c r="Q12" s="190">
        <v>40316</v>
      </c>
      <c r="R12" s="11">
        <v>40229</v>
      </c>
      <c r="S12" s="67">
        <v>44562</v>
      </c>
      <c r="T12" s="8" t="s">
        <v>64</v>
      </c>
      <c r="U12" s="27" t="s">
        <v>103</v>
      </c>
      <c r="V12" s="12" t="s">
        <v>104</v>
      </c>
      <c r="W12" s="10">
        <v>501228703</v>
      </c>
      <c r="X12" s="10" t="s">
        <v>105</v>
      </c>
      <c r="Y12" s="43" t="s">
        <v>106</v>
      </c>
      <c r="Z12" s="10" t="s">
        <v>107</v>
      </c>
      <c r="AA12" s="45">
        <v>21</v>
      </c>
      <c r="AB12" s="201" t="s">
        <v>412</v>
      </c>
      <c r="AC12" s="20"/>
      <c r="AD12" s="20"/>
    </row>
    <row r="13" spans="1:30" ht="14.4">
      <c r="A13" s="8">
        <v>12</v>
      </c>
      <c r="B13" s="9" t="s">
        <v>194</v>
      </c>
      <c r="C13" s="9" t="s">
        <v>234</v>
      </c>
      <c r="D13" s="149"/>
      <c r="E13" s="10">
        <v>30</v>
      </c>
      <c r="F13" s="10">
        <v>60</v>
      </c>
      <c r="G13" s="10">
        <v>50</v>
      </c>
      <c r="H13" s="10">
        <v>50</v>
      </c>
      <c r="I13" s="10"/>
      <c r="J13" s="136">
        <v>50</v>
      </c>
      <c r="K13" s="136"/>
      <c r="L13" s="215">
        <v>50</v>
      </c>
      <c r="M13" s="58"/>
      <c r="N13" s="10"/>
      <c r="O13" s="55">
        <v>50</v>
      </c>
      <c r="P13" s="10"/>
      <c r="Q13" s="190">
        <v>40698</v>
      </c>
      <c r="R13" s="11">
        <v>40707</v>
      </c>
      <c r="S13" s="11">
        <v>44441</v>
      </c>
      <c r="T13" s="8" t="s">
        <v>575</v>
      </c>
      <c r="U13" s="8" t="s">
        <v>1357</v>
      </c>
      <c r="V13" s="8" t="s">
        <v>1358</v>
      </c>
      <c r="W13" s="191">
        <v>519386163</v>
      </c>
      <c r="X13" s="10"/>
      <c r="Y13" s="45" t="s">
        <v>238</v>
      </c>
      <c r="Z13" s="10"/>
      <c r="AA13" s="45">
        <v>45</v>
      </c>
      <c r="AB13" s="201" t="s">
        <v>412</v>
      </c>
      <c r="AC13" s="141" t="s">
        <v>1359</v>
      </c>
      <c r="AD13" s="20"/>
    </row>
    <row r="14" spans="1:30" ht="14.4">
      <c r="A14" s="8">
        <v>13</v>
      </c>
      <c r="B14" s="9" t="s">
        <v>217</v>
      </c>
      <c r="C14" s="9" t="s">
        <v>116</v>
      </c>
      <c r="D14" s="149"/>
      <c r="E14" s="10">
        <v>20</v>
      </c>
      <c r="F14" s="10">
        <v>100</v>
      </c>
      <c r="G14" s="10">
        <v>150</v>
      </c>
      <c r="H14" s="10">
        <v>50</v>
      </c>
      <c r="I14" s="10">
        <v>50</v>
      </c>
      <c r="J14" s="10">
        <v>150</v>
      </c>
      <c r="K14" s="10"/>
      <c r="L14" s="63"/>
      <c r="M14" s="58">
        <v>150</v>
      </c>
      <c r="N14" s="10"/>
      <c r="O14" s="58">
        <v>100</v>
      </c>
      <c r="P14" s="10"/>
      <c r="Q14" s="190">
        <v>40847</v>
      </c>
      <c r="R14" s="11" t="s">
        <v>331</v>
      </c>
      <c r="S14" s="11">
        <v>44445</v>
      </c>
      <c r="T14" s="8" t="s">
        <v>170</v>
      </c>
      <c r="U14" s="8" t="s">
        <v>332</v>
      </c>
      <c r="V14" s="12" t="s">
        <v>333</v>
      </c>
      <c r="W14" s="10">
        <v>504377500</v>
      </c>
      <c r="X14" s="10"/>
      <c r="Y14" s="45" t="s">
        <v>334</v>
      </c>
      <c r="Z14" s="10"/>
      <c r="AA14" s="45">
        <v>61</v>
      </c>
      <c r="AB14" s="202"/>
      <c r="AC14" s="20"/>
      <c r="AD14" s="20"/>
    </row>
    <row r="15" spans="1:30" ht="14.4">
      <c r="A15" s="8">
        <v>14</v>
      </c>
      <c r="B15" s="9" t="s">
        <v>315</v>
      </c>
      <c r="C15" s="9" t="s">
        <v>316</v>
      </c>
      <c r="D15" s="149"/>
      <c r="E15" s="10">
        <v>40</v>
      </c>
      <c r="F15" s="10">
        <v>120</v>
      </c>
      <c r="G15" s="10"/>
      <c r="H15" s="10">
        <v>50</v>
      </c>
      <c r="I15" s="10">
        <v>50</v>
      </c>
      <c r="J15" s="10"/>
      <c r="K15" s="57"/>
      <c r="L15" s="10"/>
      <c r="M15" s="58"/>
      <c r="N15" s="10"/>
      <c r="O15" s="58">
        <v>50</v>
      </c>
      <c r="P15" s="10"/>
      <c r="Q15" s="190">
        <v>40812</v>
      </c>
      <c r="R15" s="11">
        <v>40812</v>
      </c>
      <c r="S15" s="11">
        <v>44295</v>
      </c>
      <c r="T15" s="8" t="s">
        <v>170</v>
      </c>
      <c r="U15" s="8" t="s">
        <v>317</v>
      </c>
      <c r="V15" s="12" t="s">
        <v>191</v>
      </c>
      <c r="W15" s="10">
        <v>886820739</v>
      </c>
      <c r="X15" s="10"/>
      <c r="Y15" s="45" t="s">
        <v>318</v>
      </c>
      <c r="Z15" s="10"/>
      <c r="AA15" s="45">
        <v>63</v>
      </c>
      <c r="AB15" s="40" t="s">
        <v>200</v>
      </c>
      <c r="AC15" s="20"/>
      <c r="AD15" s="20"/>
    </row>
    <row r="16" spans="1:30" ht="14.4">
      <c r="A16" s="8">
        <v>15</v>
      </c>
      <c r="B16" s="104" t="s">
        <v>401</v>
      </c>
      <c r="C16" s="95" t="s">
        <v>402</v>
      </c>
      <c r="D16" s="149"/>
      <c r="E16" s="149"/>
      <c r="F16" s="18">
        <v>25</v>
      </c>
      <c r="G16" s="18">
        <v>50</v>
      </c>
      <c r="H16" s="18">
        <v>50</v>
      </c>
      <c r="I16" s="10">
        <v>50</v>
      </c>
      <c r="J16" s="63">
        <v>50</v>
      </c>
      <c r="K16" s="10">
        <v>50</v>
      </c>
      <c r="L16" s="58">
        <v>50</v>
      </c>
      <c r="M16" s="58"/>
      <c r="N16" s="10"/>
      <c r="O16" s="58">
        <v>100</v>
      </c>
      <c r="P16" s="10"/>
      <c r="Q16" s="176">
        <v>41137</v>
      </c>
      <c r="R16" s="99">
        <v>41137</v>
      </c>
      <c r="S16" s="99">
        <v>44336</v>
      </c>
      <c r="T16" s="8" t="s">
        <v>110</v>
      </c>
      <c r="U16" s="91" t="s">
        <v>403</v>
      </c>
      <c r="V16" s="91" t="s">
        <v>404</v>
      </c>
      <c r="W16" s="18">
        <v>784918776</v>
      </c>
      <c r="X16" s="101" t="s">
        <v>405</v>
      </c>
      <c r="Y16" s="104" t="s">
        <v>406</v>
      </c>
      <c r="Z16" s="152"/>
      <c r="AA16" s="104">
        <v>73</v>
      </c>
      <c r="AB16" s="201" t="s">
        <v>200</v>
      </c>
      <c r="AC16" s="20"/>
      <c r="AD16" s="20"/>
    </row>
    <row r="17" spans="1:30" ht="14.4">
      <c r="A17" s="8">
        <v>16</v>
      </c>
      <c r="B17" s="104" t="s">
        <v>438</v>
      </c>
      <c r="C17" s="104" t="s">
        <v>95</v>
      </c>
      <c r="D17" s="154"/>
      <c r="E17" s="154"/>
      <c r="F17" s="154"/>
      <c r="G17" s="18">
        <v>50</v>
      </c>
      <c r="H17" s="18">
        <v>50</v>
      </c>
      <c r="I17" s="101">
        <v>50</v>
      </c>
      <c r="J17" s="18">
        <v>50</v>
      </c>
      <c r="K17" s="152">
        <v>50</v>
      </c>
      <c r="L17" s="218">
        <v>50</v>
      </c>
      <c r="M17" s="101">
        <v>50</v>
      </c>
      <c r="N17" s="18">
        <v>50</v>
      </c>
      <c r="O17" s="55">
        <v>50</v>
      </c>
      <c r="P17" s="10"/>
      <c r="Q17" s="177">
        <v>41352</v>
      </c>
      <c r="R17" s="99">
        <v>41358</v>
      </c>
      <c r="S17" s="11">
        <v>44474</v>
      </c>
      <c r="T17" s="8" t="s">
        <v>170</v>
      </c>
      <c r="U17" s="18" t="s">
        <v>439</v>
      </c>
      <c r="V17" s="18" t="s">
        <v>97</v>
      </c>
      <c r="W17" s="18">
        <v>510639087</v>
      </c>
      <c r="X17" s="105"/>
      <c r="Y17" s="104" t="s">
        <v>440</v>
      </c>
      <c r="Z17" s="102"/>
      <c r="AA17" s="156">
        <v>82</v>
      </c>
      <c r="AB17" s="40" t="s">
        <v>200</v>
      </c>
      <c r="AC17" s="20"/>
      <c r="AD17" s="20"/>
    </row>
    <row r="18" spans="1:30" ht="14.4">
      <c r="A18" s="8">
        <v>17</v>
      </c>
      <c r="B18" s="104" t="s">
        <v>441</v>
      </c>
      <c r="C18" s="104" t="s">
        <v>442</v>
      </c>
      <c r="D18" s="154"/>
      <c r="E18" s="154"/>
      <c r="F18" s="154"/>
      <c r="G18" s="18">
        <v>50</v>
      </c>
      <c r="H18" s="18">
        <v>50</v>
      </c>
      <c r="I18" s="101">
        <v>50</v>
      </c>
      <c r="J18" s="18">
        <v>100</v>
      </c>
      <c r="K18" s="152">
        <v>100</v>
      </c>
      <c r="L18" s="218">
        <v>50</v>
      </c>
      <c r="M18" s="101">
        <v>100</v>
      </c>
      <c r="N18" s="18">
        <v>100</v>
      </c>
      <c r="O18" s="218">
        <v>100</v>
      </c>
      <c r="P18" s="170">
        <v>100</v>
      </c>
      <c r="Q18" s="177">
        <v>41354</v>
      </c>
      <c r="R18" s="99">
        <v>41354</v>
      </c>
      <c r="S18" s="11">
        <v>44562</v>
      </c>
      <c r="T18" s="8" t="s">
        <v>170</v>
      </c>
      <c r="U18" s="18" t="s">
        <v>443</v>
      </c>
      <c r="V18" s="18" t="s">
        <v>444</v>
      </c>
      <c r="W18" s="18">
        <v>607777011</v>
      </c>
      <c r="X18" s="105"/>
      <c r="Y18" s="104" t="s">
        <v>445</v>
      </c>
      <c r="Z18" s="102"/>
      <c r="AA18" s="156">
        <v>83</v>
      </c>
      <c r="AB18" s="201" t="s">
        <v>412</v>
      </c>
      <c r="AC18" s="20"/>
      <c r="AD18" s="20"/>
    </row>
    <row r="19" spans="1:30" ht="14.4">
      <c r="A19" s="8">
        <v>18</v>
      </c>
      <c r="B19" s="104" t="s">
        <v>134</v>
      </c>
      <c r="C19" s="104" t="s">
        <v>461</v>
      </c>
      <c r="D19" s="159"/>
      <c r="E19" s="159"/>
      <c r="F19" s="159"/>
      <c r="G19" s="18">
        <v>50</v>
      </c>
      <c r="H19" s="18">
        <v>50</v>
      </c>
      <c r="I19" s="101">
        <v>50</v>
      </c>
      <c r="J19" s="18">
        <v>50</v>
      </c>
      <c r="K19" s="152">
        <v>50</v>
      </c>
      <c r="L19" s="218">
        <v>50</v>
      </c>
      <c r="M19" s="101">
        <v>50</v>
      </c>
      <c r="N19" s="18">
        <v>50</v>
      </c>
      <c r="O19" s="58">
        <v>50</v>
      </c>
      <c r="P19" s="10"/>
      <c r="Q19" s="176">
        <v>41407</v>
      </c>
      <c r="R19" s="99">
        <v>41404</v>
      </c>
      <c r="S19" s="99">
        <v>44284</v>
      </c>
      <c r="T19" s="8" t="s">
        <v>50</v>
      </c>
      <c r="U19" s="18" t="s">
        <v>462</v>
      </c>
      <c r="V19" s="18" t="s">
        <v>463</v>
      </c>
      <c r="W19" s="104"/>
      <c r="X19" s="105"/>
      <c r="Y19" s="104" t="s">
        <v>464</v>
      </c>
      <c r="Z19" s="102"/>
      <c r="AA19" s="156">
        <v>88</v>
      </c>
      <c r="AB19" s="201" t="s">
        <v>412</v>
      </c>
      <c r="AC19" s="20"/>
      <c r="AD19" s="20"/>
    </row>
    <row r="20" spans="1:30" ht="14.4">
      <c r="A20" s="8">
        <v>19</v>
      </c>
      <c r="B20" s="104" t="s">
        <v>492</v>
      </c>
      <c r="C20" s="104" t="s">
        <v>493</v>
      </c>
      <c r="D20" s="159"/>
      <c r="E20" s="159"/>
      <c r="F20" s="159"/>
      <c r="G20" s="18">
        <v>50</v>
      </c>
      <c r="H20" s="18">
        <v>50</v>
      </c>
      <c r="I20" s="219">
        <v>50</v>
      </c>
      <c r="J20" s="151">
        <v>50</v>
      </c>
      <c r="K20" s="220">
        <v>50</v>
      </c>
      <c r="L20" s="221">
        <v>50</v>
      </c>
      <c r="M20" s="219">
        <v>50</v>
      </c>
      <c r="N20" s="18">
        <v>50</v>
      </c>
      <c r="O20" s="218"/>
      <c r="P20" s="18"/>
      <c r="Q20" s="176">
        <v>41598</v>
      </c>
      <c r="R20" s="99">
        <v>41599</v>
      </c>
      <c r="S20" s="99">
        <v>43864</v>
      </c>
      <c r="T20" s="18" t="s">
        <v>170</v>
      </c>
      <c r="U20" s="222" t="s">
        <v>494</v>
      </c>
      <c r="V20" s="222" t="s">
        <v>495</v>
      </c>
      <c r="W20" s="222">
        <v>692434393</v>
      </c>
      <c r="X20" s="105"/>
      <c r="Y20" s="104" t="s">
        <v>496</v>
      </c>
      <c r="Z20" s="102"/>
      <c r="AA20" s="160">
        <v>95</v>
      </c>
      <c r="AB20" s="203"/>
      <c r="AC20" s="20"/>
      <c r="AD20" s="20"/>
    </row>
    <row r="21" spans="1:30" ht="15.75" customHeight="1">
      <c r="A21" s="8">
        <v>20</v>
      </c>
      <c r="B21" s="97" t="s">
        <v>188</v>
      </c>
      <c r="C21" s="97" t="s">
        <v>14</v>
      </c>
      <c r="D21" s="163"/>
      <c r="E21" s="163"/>
      <c r="F21" s="163"/>
      <c r="G21" s="91">
        <v>50</v>
      </c>
      <c r="H21" s="91">
        <v>50</v>
      </c>
      <c r="I21" s="101">
        <v>50</v>
      </c>
      <c r="J21" s="18">
        <v>50</v>
      </c>
      <c r="K21" s="21"/>
      <c r="L21" s="20"/>
      <c r="M21" s="209">
        <v>50</v>
      </c>
      <c r="N21" s="18">
        <v>50</v>
      </c>
      <c r="O21" s="58">
        <v>50</v>
      </c>
      <c r="P21" s="10"/>
      <c r="Q21" s="175">
        <v>41517</v>
      </c>
      <c r="R21" s="92">
        <v>41738</v>
      </c>
      <c r="S21" s="11">
        <v>44305</v>
      </c>
      <c r="T21" s="18" t="s">
        <v>575</v>
      </c>
      <c r="U21" s="223" t="s">
        <v>16</v>
      </c>
      <c r="V21" s="223" t="s">
        <v>17</v>
      </c>
      <c r="W21" s="94">
        <v>514575915</v>
      </c>
      <c r="X21" s="104"/>
      <c r="Y21" s="87" t="s">
        <v>600</v>
      </c>
      <c r="Z21" s="97"/>
      <c r="AA21" s="97">
        <v>102</v>
      </c>
      <c r="AB21" s="224" t="s">
        <v>200</v>
      </c>
      <c r="AC21" s="20"/>
      <c r="AD21" s="20"/>
    </row>
    <row r="22" spans="1:30" ht="15.75" customHeight="1">
      <c r="A22" s="8">
        <v>21</v>
      </c>
      <c r="B22" s="104" t="s">
        <v>429</v>
      </c>
      <c r="C22" s="104" t="s">
        <v>564</v>
      </c>
      <c r="D22" s="159"/>
      <c r="E22" s="159"/>
      <c r="F22" s="159"/>
      <c r="G22" s="159"/>
      <c r="H22" s="18">
        <v>50</v>
      </c>
      <c r="I22" s="101">
        <v>50</v>
      </c>
      <c r="J22" s="18">
        <v>50</v>
      </c>
      <c r="K22" s="152"/>
      <c r="L22" s="55"/>
      <c r="M22" s="58">
        <v>50</v>
      </c>
      <c r="N22" s="10">
        <v>50</v>
      </c>
      <c r="O22" s="55">
        <v>50</v>
      </c>
      <c r="P22" s="40">
        <v>50</v>
      </c>
      <c r="Q22" s="177">
        <v>41984</v>
      </c>
      <c r="R22" s="106">
        <v>41984</v>
      </c>
      <c r="S22" s="106">
        <v>44571</v>
      </c>
      <c r="T22" s="8" t="s">
        <v>170</v>
      </c>
      <c r="U22" s="18" t="s">
        <v>565</v>
      </c>
      <c r="V22" s="18" t="s">
        <v>566</v>
      </c>
      <c r="W22" s="39">
        <v>604434095</v>
      </c>
      <c r="X22" s="167" t="s">
        <v>993</v>
      </c>
      <c r="Y22" s="104" t="s">
        <v>567</v>
      </c>
      <c r="Z22" s="104"/>
      <c r="AA22" s="104">
        <v>112</v>
      </c>
      <c r="AB22" s="103"/>
      <c r="AC22" s="20"/>
      <c r="AD22" s="20"/>
    </row>
    <row r="23" spans="1:30" ht="15.75" customHeight="1">
      <c r="A23" s="8">
        <v>22</v>
      </c>
      <c r="B23" s="104" t="s">
        <v>481</v>
      </c>
      <c r="C23" s="104" t="s">
        <v>613</v>
      </c>
      <c r="D23" s="159"/>
      <c r="E23" s="159"/>
      <c r="F23" s="159"/>
      <c r="G23" s="159"/>
      <c r="H23" s="159"/>
      <c r="I23" s="101">
        <v>50</v>
      </c>
      <c r="J23" s="18">
        <v>100</v>
      </c>
      <c r="K23" s="152"/>
      <c r="L23" s="218">
        <v>50</v>
      </c>
      <c r="M23" s="101">
        <v>50</v>
      </c>
      <c r="N23" s="10">
        <v>50</v>
      </c>
      <c r="O23" s="55"/>
      <c r="P23" s="10"/>
      <c r="Q23" s="176">
        <v>42024</v>
      </c>
      <c r="R23" s="99">
        <v>42024</v>
      </c>
      <c r="S23" s="99">
        <v>44057</v>
      </c>
      <c r="T23" s="8" t="s">
        <v>170</v>
      </c>
      <c r="U23" s="167" t="s">
        <v>614</v>
      </c>
      <c r="V23" s="18" t="s">
        <v>615</v>
      </c>
      <c r="W23" s="18">
        <v>698088272</v>
      </c>
      <c r="X23" s="104" t="s">
        <v>616</v>
      </c>
      <c r="Y23" s="104" t="s">
        <v>617</v>
      </c>
      <c r="Z23" s="104"/>
      <c r="AA23" s="104">
        <v>115</v>
      </c>
      <c r="AB23" s="203"/>
      <c r="AC23" s="20"/>
      <c r="AD23" s="20"/>
    </row>
    <row r="24" spans="1:30" ht="15.75" customHeight="1">
      <c r="A24" s="8">
        <v>23</v>
      </c>
      <c r="B24" s="104" t="s">
        <v>108</v>
      </c>
      <c r="C24" s="104" t="s">
        <v>544</v>
      </c>
      <c r="D24" s="159"/>
      <c r="E24" s="159"/>
      <c r="F24" s="159"/>
      <c r="G24" s="159"/>
      <c r="H24" s="159"/>
      <c r="I24" s="101">
        <v>50</v>
      </c>
      <c r="J24" s="18">
        <v>50</v>
      </c>
      <c r="K24" s="152">
        <v>50</v>
      </c>
      <c r="L24" s="218">
        <v>50</v>
      </c>
      <c r="M24" s="58">
        <v>50</v>
      </c>
      <c r="N24" s="10">
        <v>50</v>
      </c>
      <c r="O24" s="55">
        <v>50</v>
      </c>
      <c r="P24" s="10"/>
      <c r="Q24" s="179"/>
      <c r="R24" s="169">
        <v>42165</v>
      </c>
      <c r="S24" s="99">
        <v>44438</v>
      </c>
      <c r="T24" s="8" t="s">
        <v>170</v>
      </c>
      <c r="U24" s="167" t="s">
        <v>1360</v>
      </c>
      <c r="V24" s="18" t="s">
        <v>1361</v>
      </c>
      <c r="W24" s="20"/>
      <c r="X24" s="20"/>
      <c r="Y24" s="20" t="s">
        <v>1362</v>
      </c>
      <c r="Z24" s="20"/>
      <c r="AA24" s="20">
        <v>119</v>
      </c>
      <c r="AB24" s="204"/>
      <c r="AC24" s="20"/>
      <c r="AD24" s="20"/>
    </row>
    <row r="25" spans="1:30" ht="15.75" customHeight="1">
      <c r="A25" s="8">
        <v>24</v>
      </c>
      <c r="B25" s="104" t="s">
        <v>688</v>
      </c>
      <c r="C25" s="104" t="s">
        <v>569</v>
      </c>
      <c r="D25" s="159"/>
      <c r="E25" s="159"/>
      <c r="F25" s="159"/>
      <c r="G25" s="159"/>
      <c r="H25" s="101">
        <v>50</v>
      </c>
      <c r="I25" s="101">
        <v>50</v>
      </c>
      <c r="J25" s="101">
        <v>50</v>
      </c>
      <c r="K25" s="101">
        <v>50</v>
      </c>
      <c r="L25" s="18"/>
      <c r="M25" s="152"/>
      <c r="N25" s="10">
        <v>50</v>
      </c>
      <c r="O25" s="55">
        <v>50</v>
      </c>
      <c r="P25" s="10"/>
      <c r="Q25" s="176">
        <v>41982</v>
      </c>
      <c r="R25" s="99">
        <v>41997</v>
      </c>
      <c r="S25" s="99">
        <v>44438</v>
      </c>
      <c r="T25" s="8" t="s">
        <v>170</v>
      </c>
      <c r="U25" s="169" t="s">
        <v>570</v>
      </c>
      <c r="V25" s="8" t="s">
        <v>571</v>
      </c>
      <c r="W25" s="39">
        <v>539683501</v>
      </c>
      <c r="X25" s="18"/>
      <c r="Y25" s="20" t="s">
        <v>572</v>
      </c>
      <c r="Z25" s="20"/>
      <c r="AA25" s="20">
        <v>113</v>
      </c>
      <c r="AB25" s="40" t="s">
        <v>200</v>
      </c>
      <c r="AC25" s="20"/>
      <c r="AD25" s="20"/>
    </row>
    <row r="26" spans="1:30" ht="15.75" customHeight="1">
      <c r="A26" s="8">
        <v>25</v>
      </c>
      <c r="B26" s="104" t="s">
        <v>637</v>
      </c>
      <c r="C26" s="104" t="s">
        <v>638</v>
      </c>
      <c r="D26" s="159"/>
      <c r="E26" s="159"/>
      <c r="F26" s="159"/>
      <c r="G26" s="159"/>
      <c r="H26" s="159"/>
      <c r="I26" s="101">
        <v>50</v>
      </c>
      <c r="J26" s="18"/>
      <c r="K26" s="20"/>
      <c r="L26" s="20"/>
      <c r="M26" s="209">
        <v>50</v>
      </c>
      <c r="N26" s="167"/>
      <c r="O26" s="55">
        <v>50</v>
      </c>
      <c r="P26" s="10"/>
      <c r="Q26" s="178">
        <v>42144</v>
      </c>
      <c r="R26" s="169">
        <v>42144</v>
      </c>
      <c r="S26" s="169">
        <v>44211</v>
      </c>
      <c r="T26" s="8" t="s">
        <v>170</v>
      </c>
      <c r="U26" s="167" t="s">
        <v>995</v>
      </c>
      <c r="V26" s="167" t="s">
        <v>640</v>
      </c>
      <c r="W26" s="167">
        <v>794751415</v>
      </c>
      <c r="X26" s="20" t="s">
        <v>641</v>
      </c>
      <c r="Y26" s="20" t="s">
        <v>642</v>
      </c>
      <c r="Z26" s="20"/>
      <c r="AA26" s="20">
        <v>118</v>
      </c>
      <c r="AB26" s="20"/>
      <c r="AC26" s="20"/>
      <c r="AD26" s="20"/>
    </row>
    <row r="27" spans="1:30" ht="15.75" customHeight="1">
      <c r="A27" s="8">
        <v>26</v>
      </c>
      <c r="B27" s="104" t="s">
        <v>701</v>
      </c>
      <c r="C27" s="104" t="s">
        <v>702</v>
      </c>
      <c r="D27" s="159"/>
      <c r="E27" s="159"/>
      <c r="F27" s="159"/>
      <c r="G27" s="159"/>
      <c r="H27" s="159"/>
      <c r="I27" s="159"/>
      <c r="J27" s="18">
        <v>50</v>
      </c>
      <c r="K27" s="18">
        <v>50</v>
      </c>
      <c r="L27" s="101">
        <v>50</v>
      </c>
      <c r="M27" s="101"/>
      <c r="N27" s="18">
        <v>50</v>
      </c>
      <c r="O27" s="248">
        <v>50</v>
      </c>
      <c r="P27" s="167"/>
      <c r="Q27" s="178">
        <v>42429</v>
      </c>
      <c r="R27" s="169">
        <v>42429</v>
      </c>
      <c r="S27" s="169">
        <v>44329</v>
      </c>
      <c r="T27" s="167" t="s">
        <v>170</v>
      </c>
      <c r="U27" s="167" t="s">
        <v>1363</v>
      </c>
      <c r="V27" s="167" t="s">
        <v>1364</v>
      </c>
      <c r="W27" s="181">
        <v>600294958</v>
      </c>
      <c r="X27" s="20"/>
      <c r="Y27" s="20" t="s">
        <v>705</v>
      </c>
      <c r="Z27" s="20"/>
      <c r="AA27" s="20">
        <v>130</v>
      </c>
      <c r="AB27" s="204"/>
      <c r="AC27" s="20"/>
      <c r="AD27" s="20"/>
    </row>
    <row r="28" spans="1:30" ht="15.75" customHeight="1">
      <c r="A28" s="8">
        <v>27</v>
      </c>
      <c r="B28" s="97" t="s">
        <v>754</v>
      </c>
      <c r="C28" s="183" t="s">
        <v>755</v>
      </c>
      <c r="D28" s="163"/>
      <c r="E28" s="163"/>
      <c r="F28" s="163"/>
      <c r="G28" s="163"/>
      <c r="H28" s="163"/>
      <c r="I28" s="163"/>
      <c r="J28" s="163"/>
      <c r="K28" s="183">
        <v>50</v>
      </c>
      <c r="L28" s="205"/>
      <c r="M28" s="167">
        <v>50</v>
      </c>
      <c r="N28" s="167">
        <v>50</v>
      </c>
      <c r="O28" s="209">
        <v>50</v>
      </c>
      <c r="P28" s="167"/>
      <c r="Q28" s="225">
        <v>42769</v>
      </c>
      <c r="R28" s="182">
        <v>42769</v>
      </c>
      <c r="S28" s="182">
        <v>44242</v>
      </c>
      <c r="T28" s="47" t="s">
        <v>170</v>
      </c>
      <c r="U28" s="197" t="s">
        <v>756</v>
      </c>
      <c r="V28" s="197" t="s">
        <v>757</v>
      </c>
      <c r="W28" s="198">
        <v>696453314</v>
      </c>
      <c r="X28" s="183"/>
      <c r="Y28" s="141" t="s">
        <v>996</v>
      </c>
      <c r="Z28" s="183"/>
      <c r="AA28" s="183">
        <v>141</v>
      </c>
      <c r="AB28" s="205"/>
      <c r="AC28" s="20"/>
      <c r="AD28" s="20"/>
    </row>
    <row r="29" spans="1:30" ht="15.75" customHeight="1">
      <c r="A29" s="8">
        <v>28</v>
      </c>
      <c r="B29" s="104" t="s">
        <v>818</v>
      </c>
      <c r="C29" s="20" t="s">
        <v>819</v>
      </c>
      <c r="D29" s="159"/>
      <c r="E29" s="159"/>
      <c r="F29" s="159"/>
      <c r="G29" s="159"/>
      <c r="H29" s="159"/>
      <c r="I29" s="159"/>
      <c r="J29" s="159"/>
      <c r="K29" s="20">
        <v>50</v>
      </c>
      <c r="L29" s="204"/>
      <c r="M29" s="204">
        <v>50</v>
      </c>
      <c r="N29" s="167">
        <v>50</v>
      </c>
      <c r="O29" s="248"/>
      <c r="P29" s="167"/>
      <c r="Q29" s="178">
        <v>43087</v>
      </c>
      <c r="R29" s="169">
        <v>43087</v>
      </c>
      <c r="S29" s="169">
        <v>43969</v>
      </c>
      <c r="T29" s="8" t="s">
        <v>170</v>
      </c>
      <c r="U29" s="167" t="s">
        <v>820</v>
      </c>
      <c r="V29" s="167" t="s">
        <v>821</v>
      </c>
      <c r="W29" s="167">
        <v>696545836</v>
      </c>
      <c r="X29" s="20"/>
      <c r="Y29" s="20" t="s">
        <v>822</v>
      </c>
      <c r="Z29" s="20"/>
      <c r="AA29" s="20">
        <v>153</v>
      </c>
      <c r="AB29" s="204"/>
      <c r="AC29" s="20"/>
      <c r="AD29" s="20"/>
    </row>
    <row r="30" spans="1:30" ht="15.75" customHeight="1">
      <c r="A30" s="8">
        <v>29</v>
      </c>
      <c r="B30" s="20" t="s">
        <v>21</v>
      </c>
      <c r="C30" s="20" t="s">
        <v>1167</v>
      </c>
      <c r="D30" s="159"/>
      <c r="E30" s="159"/>
      <c r="F30" s="159"/>
      <c r="G30" s="159"/>
      <c r="H30" s="159"/>
      <c r="I30" s="159"/>
      <c r="J30" s="159"/>
      <c r="K30" s="159"/>
      <c r="L30" s="204">
        <v>50</v>
      </c>
      <c r="M30" s="204">
        <v>50</v>
      </c>
      <c r="N30" s="167">
        <v>50</v>
      </c>
      <c r="O30" s="55">
        <v>50</v>
      </c>
      <c r="P30" s="10"/>
      <c r="Q30" s="178">
        <v>43153</v>
      </c>
      <c r="R30" s="169">
        <v>43153</v>
      </c>
      <c r="S30" s="169">
        <v>44475</v>
      </c>
      <c r="T30" s="8" t="s">
        <v>15</v>
      </c>
      <c r="U30" s="208" t="s">
        <v>859</v>
      </c>
      <c r="V30" s="208" t="s">
        <v>860</v>
      </c>
      <c r="W30" s="167">
        <v>510180652</v>
      </c>
      <c r="X30" s="20" t="s">
        <v>861</v>
      </c>
      <c r="Y30" s="20" t="s">
        <v>862</v>
      </c>
      <c r="Z30" s="20"/>
      <c r="AA30" s="20">
        <v>161</v>
      </c>
      <c r="AB30" s="204"/>
      <c r="AC30" s="20" t="s">
        <v>863</v>
      </c>
      <c r="AD30" s="20" t="s">
        <v>997</v>
      </c>
    </row>
    <row r="31" spans="1:30" ht="15.75" customHeight="1">
      <c r="A31" s="8">
        <v>30</v>
      </c>
      <c r="B31" s="20" t="s">
        <v>239</v>
      </c>
      <c r="C31" s="20" t="s">
        <v>864</v>
      </c>
      <c r="D31" s="159"/>
      <c r="E31" s="159"/>
      <c r="F31" s="159"/>
      <c r="G31" s="159"/>
      <c r="H31" s="159"/>
      <c r="I31" s="159"/>
      <c r="J31" s="159"/>
      <c r="K31" s="159"/>
      <c r="L31" s="204">
        <v>50</v>
      </c>
      <c r="M31" s="204">
        <v>50</v>
      </c>
      <c r="N31" s="167"/>
      <c r="O31" s="248">
        <v>50</v>
      </c>
      <c r="P31" s="167"/>
      <c r="Q31" s="178">
        <v>43156</v>
      </c>
      <c r="R31" s="169">
        <v>43157</v>
      </c>
      <c r="S31" s="169">
        <v>44337</v>
      </c>
      <c r="T31" s="8" t="s">
        <v>170</v>
      </c>
      <c r="U31" s="167" t="s">
        <v>865</v>
      </c>
      <c r="V31" s="167" t="s">
        <v>866</v>
      </c>
      <c r="W31" s="167">
        <v>884952721</v>
      </c>
      <c r="X31" s="20"/>
      <c r="Y31" s="20" t="s">
        <v>867</v>
      </c>
      <c r="Z31" s="20"/>
      <c r="AA31" s="20">
        <v>162</v>
      </c>
      <c r="AB31" s="204"/>
      <c r="AC31" s="20" t="s">
        <v>868</v>
      </c>
      <c r="AD31" s="20"/>
    </row>
    <row r="32" spans="1:30" ht="15.75" customHeight="1">
      <c r="A32" s="8">
        <v>31</v>
      </c>
      <c r="B32" s="20" t="s">
        <v>476</v>
      </c>
      <c r="C32" s="20" t="s">
        <v>891</v>
      </c>
      <c r="D32" s="159"/>
      <c r="E32" s="159"/>
      <c r="F32" s="159"/>
      <c r="G32" s="159"/>
      <c r="H32" s="159"/>
      <c r="I32" s="159"/>
      <c r="J32" s="159"/>
      <c r="K32" s="159"/>
      <c r="L32" s="204">
        <v>50</v>
      </c>
      <c r="M32" s="204"/>
      <c r="N32" s="10">
        <v>50</v>
      </c>
      <c r="O32" s="55">
        <v>50</v>
      </c>
      <c r="P32" s="10"/>
      <c r="Q32" s="178">
        <v>43194</v>
      </c>
      <c r="R32" s="169">
        <v>43195</v>
      </c>
      <c r="S32" s="169">
        <v>44474</v>
      </c>
      <c r="T32" s="8" t="s">
        <v>170</v>
      </c>
      <c r="U32" s="167" t="s">
        <v>892</v>
      </c>
      <c r="V32" s="167" t="s">
        <v>893</v>
      </c>
      <c r="W32" s="167">
        <v>788790612</v>
      </c>
      <c r="X32" s="20"/>
      <c r="Y32" s="20" t="s">
        <v>894</v>
      </c>
      <c r="Z32" s="20"/>
      <c r="AA32" s="20">
        <v>167</v>
      </c>
      <c r="AB32" s="204"/>
      <c r="AC32" s="20"/>
      <c r="AD32" s="20"/>
    </row>
    <row r="33" spans="1:30" ht="15.75" customHeight="1">
      <c r="A33" s="8">
        <v>32</v>
      </c>
      <c r="B33" s="20" t="s">
        <v>895</v>
      </c>
      <c r="C33" s="20" t="s">
        <v>896</v>
      </c>
      <c r="D33" s="159"/>
      <c r="E33" s="159"/>
      <c r="F33" s="159"/>
      <c r="G33" s="159"/>
      <c r="H33" s="159"/>
      <c r="I33" s="159"/>
      <c r="J33" s="159"/>
      <c r="K33" s="159"/>
      <c r="L33" s="204">
        <v>50</v>
      </c>
      <c r="M33" s="204">
        <v>50</v>
      </c>
      <c r="N33" s="167"/>
      <c r="O33" s="248">
        <v>50</v>
      </c>
      <c r="P33" s="167"/>
      <c r="Q33" s="178">
        <v>43200</v>
      </c>
      <c r="R33" s="169">
        <v>43201</v>
      </c>
      <c r="S33" s="169">
        <v>44264</v>
      </c>
      <c r="T33" s="8" t="s">
        <v>170</v>
      </c>
      <c r="U33" s="167" t="s">
        <v>897</v>
      </c>
      <c r="V33" s="167" t="s">
        <v>898</v>
      </c>
      <c r="W33" s="167">
        <v>733766151</v>
      </c>
      <c r="X33" s="20"/>
      <c r="Y33" s="20" t="s">
        <v>899</v>
      </c>
      <c r="Z33" s="20"/>
      <c r="AA33" s="20">
        <v>168</v>
      </c>
      <c r="AB33" s="204"/>
      <c r="AC33" s="20" t="s">
        <v>900</v>
      </c>
      <c r="AD33" s="20"/>
    </row>
    <row r="34" spans="1:30" ht="15.75" customHeight="1">
      <c r="A34" s="8">
        <v>33</v>
      </c>
      <c r="B34" s="20" t="s">
        <v>194</v>
      </c>
      <c r="C34" s="20" t="s">
        <v>901</v>
      </c>
      <c r="D34" s="159"/>
      <c r="E34" s="159"/>
      <c r="F34" s="159"/>
      <c r="G34" s="159"/>
      <c r="H34" s="159"/>
      <c r="I34" s="159"/>
      <c r="J34" s="159"/>
      <c r="K34" s="159"/>
      <c r="L34" s="204">
        <v>50</v>
      </c>
      <c r="M34" s="204">
        <v>50</v>
      </c>
      <c r="N34" s="167">
        <v>50</v>
      </c>
      <c r="O34" s="248"/>
      <c r="P34" s="167"/>
      <c r="Q34" s="178">
        <v>43209</v>
      </c>
      <c r="R34" s="169">
        <v>43209</v>
      </c>
      <c r="S34" s="169">
        <v>43969</v>
      </c>
      <c r="T34" s="8" t="s">
        <v>170</v>
      </c>
      <c r="U34" s="167" t="s">
        <v>902</v>
      </c>
      <c r="V34" s="167" t="s">
        <v>903</v>
      </c>
      <c r="W34" s="167">
        <v>514494038</v>
      </c>
      <c r="X34" s="20"/>
      <c r="Y34" s="20" t="s">
        <v>904</v>
      </c>
      <c r="Z34" s="20"/>
      <c r="AA34" s="20">
        <v>169</v>
      </c>
      <c r="AB34" s="204"/>
      <c r="AC34" s="20"/>
      <c r="AD34" s="20"/>
    </row>
    <row r="35" spans="1:30" ht="15.75" customHeight="1">
      <c r="A35" s="8">
        <v>34</v>
      </c>
      <c r="B35" s="20" t="s">
        <v>910</v>
      </c>
      <c r="C35" s="20" t="s">
        <v>702</v>
      </c>
      <c r="D35" s="159"/>
      <c r="E35" s="159"/>
      <c r="F35" s="159"/>
      <c r="G35" s="159"/>
      <c r="H35" s="159"/>
      <c r="I35" s="159"/>
      <c r="J35" s="159"/>
      <c r="K35" s="159"/>
      <c r="L35" s="204">
        <v>50</v>
      </c>
      <c r="M35" s="204"/>
      <c r="N35" s="167">
        <v>50</v>
      </c>
      <c r="O35" s="248">
        <v>50</v>
      </c>
      <c r="P35" s="167"/>
      <c r="Q35" s="178">
        <v>43212</v>
      </c>
      <c r="R35" s="169">
        <v>43213</v>
      </c>
      <c r="S35" s="169">
        <v>44337</v>
      </c>
      <c r="T35" s="8" t="s">
        <v>170</v>
      </c>
      <c r="U35" s="167" t="s">
        <v>1363</v>
      </c>
      <c r="V35" s="167" t="s">
        <v>1364</v>
      </c>
      <c r="W35" s="167">
        <v>794381301</v>
      </c>
      <c r="X35" s="20"/>
      <c r="Y35" s="20" t="s">
        <v>911</v>
      </c>
      <c r="Z35" s="20"/>
      <c r="AA35" s="20">
        <v>171</v>
      </c>
      <c r="AB35" s="204"/>
      <c r="AC35" s="20" t="s">
        <v>912</v>
      </c>
      <c r="AD35" s="20"/>
    </row>
    <row r="36" spans="1:30" ht="15.75" customHeight="1">
      <c r="A36" s="8">
        <v>35</v>
      </c>
      <c r="B36" s="20" t="s">
        <v>919</v>
      </c>
      <c r="C36" s="20" t="s">
        <v>920</v>
      </c>
      <c r="D36" s="159"/>
      <c r="E36" s="159"/>
      <c r="F36" s="159"/>
      <c r="G36" s="159"/>
      <c r="H36" s="159"/>
      <c r="I36" s="159"/>
      <c r="J36" s="159"/>
      <c r="K36" s="159"/>
      <c r="L36" s="204">
        <v>50</v>
      </c>
      <c r="M36" s="204"/>
      <c r="N36" s="167">
        <v>50</v>
      </c>
      <c r="O36" s="248"/>
      <c r="P36" s="40">
        <v>50</v>
      </c>
      <c r="Q36" s="178">
        <v>43237</v>
      </c>
      <c r="R36" s="169">
        <v>43238</v>
      </c>
      <c r="S36" s="169">
        <v>44565</v>
      </c>
      <c r="T36" s="8" t="s">
        <v>170</v>
      </c>
      <c r="U36" s="167" t="s">
        <v>921</v>
      </c>
      <c r="V36" s="167" t="s">
        <v>922</v>
      </c>
      <c r="W36" s="167">
        <v>514945980</v>
      </c>
      <c r="X36" s="20"/>
      <c r="Y36" s="20" t="s">
        <v>923</v>
      </c>
      <c r="Z36" s="20"/>
      <c r="AA36" s="20">
        <v>173</v>
      </c>
      <c r="AB36" s="204"/>
      <c r="AC36" s="20" t="s">
        <v>919</v>
      </c>
      <c r="AD36" s="20"/>
    </row>
    <row r="37" spans="1:30" ht="15.75" customHeight="1">
      <c r="A37" s="8">
        <v>36</v>
      </c>
      <c r="B37" s="20" t="s">
        <v>940</v>
      </c>
      <c r="C37" s="20" t="s">
        <v>941</v>
      </c>
      <c r="D37" s="159"/>
      <c r="E37" s="159"/>
      <c r="F37" s="159"/>
      <c r="G37" s="159"/>
      <c r="H37" s="159"/>
      <c r="I37" s="159"/>
      <c r="J37" s="159"/>
      <c r="K37" s="159"/>
      <c r="L37" s="204">
        <v>50</v>
      </c>
      <c r="M37" s="204"/>
      <c r="N37" s="167">
        <v>50</v>
      </c>
      <c r="O37" s="55">
        <v>50</v>
      </c>
      <c r="P37" s="10"/>
      <c r="Q37" s="178">
        <v>43275</v>
      </c>
      <c r="R37" s="169">
        <v>43276</v>
      </c>
      <c r="S37" s="169">
        <v>44475</v>
      </c>
      <c r="T37" s="8" t="s">
        <v>170</v>
      </c>
      <c r="U37" s="167" t="s">
        <v>942</v>
      </c>
      <c r="V37" s="167" t="s">
        <v>943</v>
      </c>
      <c r="W37" s="167">
        <v>690982541</v>
      </c>
      <c r="X37" s="20"/>
      <c r="Y37" s="20" t="s">
        <v>944</v>
      </c>
      <c r="Z37" s="20"/>
      <c r="AA37" s="20">
        <v>177</v>
      </c>
      <c r="AB37" s="204"/>
      <c r="AC37" s="20"/>
      <c r="AD37" s="20"/>
    </row>
    <row r="38" spans="1:30" ht="15.75" customHeight="1">
      <c r="A38" s="8">
        <v>37</v>
      </c>
      <c r="B38" s="20" t="s">
        <v>924</v>
      </c>
      <c r="C38" s="20" t="s">
        <v>945</v>
      </c>
      <c r="D38" s="159"/>
      <c r="E38" s="159"/>
      <c r="F38" s="159"/>
      <c r="G38" s="159"/>
      <c r="H38" s="159"/>
      <c r="I38" s="159"/>
      <c r="J38" s="159"/>
      <c r="K38" s="159"/>
      <c r="L38" s="204">
        <v>50</v>
      </c>
      <c r="M38" s="204">
        <v>50</v>
      </c>
      <c r="N38" s="10">
        <v>50</v>
      </c>
      <c r="O38" s="55">
        <v>50</v>
      </c>
      <c r="P38" s="10"/>
      <c r="Q38" s="178">
        <v>43317</v>
      </c>
      <c r="R38" s="169">
        <v>43318</v>
      </c>
      <c r="S38" s="169">
        <v>44438</v>
      </c>
      <c r="T38" s="8" t="s">
        <v>170</v>
      </c>
      <c r="U38" s="167" t="s">
        <v>946</v>
      </c>
      <c r="V38" s="167" t="s">
        <v>947</v>
      </c>
      <c r="W38" s="167">
        <v>607299999</v>
      </c>
      <c r="X38" s="20" t="s">
        <v>948</v>
      </c>
      <c r="Y38" s="20" t="s">
        <v>949</v>
      </c>
      <c r="Z38" s="20"/>
      <c r="AA38" s="20">
        <v>178</v>
      </c>
      <c r="AB38" s="204"/>
      <c r="AC38" s="20"/>
      <c r="AD38" s="20"/>
    </row>
    <row r="39" spans="1:30" ht="15.75" customHeight="1">
      <c r="A39" s="8">
        <v>38</v>
      </c>
      <c r="B39" s="20" t="s">
        <v>48</v>
      </c>
      <c r="C39" s="20" t="s">
        <v>958</v>
      </c>
      <c r="D39" s="159"/>
      <c r="E39" s="159"/>
      <c r="F39" s="159"/>
      <c r="G39" s="159"/>
      <c r="H39" s="159"/>
      <c r="I39" s="159"/>
      <c r="J39" s="159"/>
      <c r="K39" s="159"/>
      <c r="L39" s="204">
        <v>50</v>
      </c>
      <c r="M39" s="204"/>
      <c r="N39" s="167">
        <v>50</v>
      </c>
      <c r="O39" s="248"/>
      <c r="P39" s="167"/>
      <c r="Q39" s="178">
        <v>43353</v>
      </c>
      <c r="R39" s="169">
        <v>43354</v>
      </c>
      <c r="S39" s="169">
        <v>43936</v>
      </c>
      <c r="T39" s="8" t="s">
        <v>170</v>
      </c>
      <c r="U39" s="167" t="s">
        <v>959</v>
      </c>
      <c r="V39" s="167" t="s">
        <v>960</v>
      </c>
      <c r="W39" s="186">
        <v>791142314</v>
      </c>
      <c r="X39" s="20"/>
      <c r="Y39" s="20" t="s">
        <v>961</v>
      </c>
      <c r="Z39" s="20"/>
      <c r="AA39" s="20">
        <v>181</v>
      </c>
      <c r="AB39" s="204"/>
      <c r="AC39" s="20"/>
      <c r="AD39" s="20"/>
    </row>
    <row r="40" spans="1:30" ht="15.75" customHeight="1">
      <c r="A40" s="8">
        <v>39</v>
      </c>
      <c r="B40" s="20" t="s">
        <v>13</v>
      </c>
      <c r="C40" s="20" t="s">
        <v>970</v>
      </c>
      <c r="D40" s="159"/>
      <c r="E40" s="159"/>
      <c r="F40" s="159"/>
      <c r="G40" s="159"/>
      <c r="H40" s="159"/>
      <c r="I40" s="159"/>
      <c r="J40" s="159"/>
      <c r="K40" s="159"/>
      <c r="L40" s="204">
        <v>50</v>
      </c>
      <c r="M40" s="204">
        <v>50</v>
      </c>
      <c r="N40" s="167">
        <v>50</v>
      </c>
      <c r="O40" s="248"/>
      <c r="P40" s="40">
        <v>50</v>
      </c>
      <c r="Q40" s="178">
        <v>43398</v>
      </c>
      <c r="R40" s="169">
        <v>43399</v>
      </c>
      <c r="S40" s="169">
        <v>44566</v>
      </c>
      <c r="T40" s="8" t="s">
        <v>170</v>
      </c>
      <c r="U40" s="167" t="s">
        <v>971</v>
      </c>
      <c r="V40" s="167" t="s">
        <v>972</v>
      </c>
      <c r="W40" s="167">
        <v>506162905</v>
      </c>
      <c r="X40" s="20"/>
      <c r="Y40" s="20" t="s">
        <v>973</v>
      </c>
      <c r="Z40" s="20"/>
      <c r="AA40" s="20">
        <v>184</v>
      </c>
      <c r="AB40" s="204"/>
      <c r="AC40" s="20"/>
      <c r="AD40" s="20"/>
    </row>
    <row r="41" spans="1:30" ht="15.75" customHeight="1">
      <c r="A41" s="8">
        <v>40</v>
      </c>
      <c r="B41" s="20" t="s">
        <v>300</v>
      </c>
      <c r="C41" s="20" t="s">
        <v>974</v>
      </c>
      <c r="D41" s="159"/>
      <c r="E41" s="159"/>
      <c r="F41" s="159"/>
      <c r="G41" s="159"/>
      <c r="H41" s="159"/>
      <c r="I41" s="159"/>
      <c r="J41" s="159"/>
      <c r="K41" s="159"/>
      <c r="L41" s="204">
        <v>50</v>
      </c>
      <c r="M41" s="204">
        <v>50</v>
      </c>
      <c r="N41" s="167">
        <v>50</v>
      </c>
      <c r="O41" s="40">
        <v>50</v>
      </c>
      <c r="P41" s="20"/>
      <c r="Q41" s="178">
        <v>43402</v>
      </c>
      <c r="R41" s="169">
        <v>43403</v>
      </c>
      <c r="S41" s="169">
        <v>44522</v>
      </c>
      <c r="T41" s="8" t="s">
        <v>170</v>
      </c>
      <c r="U41" s="167" t="s">
        <v>975</v>
      </c>
      <c r="V41" s="167" t="s">
        <v>976</v>
      </c>
      <c r="W41" s="167">
        <v>881438135</v>
      </c>
      <c r="X41" s="20"/>
      <c r="Y41" s="20" t="s">
        <v>977</v>
      </c>
      <c r="Z41" s="20"/>
      <c r="AA41" s="20">
        <v>185</v>
      </c>
      <c r="AB41" s="204"/>
      <c r="AC41" s="20" t="s">
        <v>978</v>
      </c>
      <c r="AD41" s="20" t="s">
        <v>979</v>
      </c>
    </row>
    <row r="42" spans="1:30" ht="15.75" customHeight="1">
      <c r="A42" s="8">
        <v>41</v>
      </c>
      <c r="B42" s="20" t="s">
        <v>511</v>
      </c>
      <c r="C42" s="20" t="s">
        <v>1005</v>
      </c>
      <c r="D42" s="159"/>
      <c r="E42" s="159"/>
      <c r="F42" s="159"/>
      <c r="G42" s="159"/>
      <c r="H42" s="159"/>
      <c r="I42" s="159"/>
      <c r="J42" s="159"/>
      <c r="K42" s="159"/>
      <c r="L42" s="159"/>
      <c r="M42" s="204">
        <v>50</v>
      </c>
      <c r="N42" s="167">
        <v>50</v>
      </c>
      <c r="O42" s="209">
        <v>50</v>
      </c>
      <c r="P42" s="167"/>
      <c r="Q42" s="178">
        <v>43503</v>
      </c>
      <c r="R42" s="169">
        <v>43503</v>
      </c>
      <c r="S42" s="169">
        <v>44237</v>
      </c>
      <c r="T42" s="8" t="s">
        <v>170</v>
      </c>
      <c r="U42" s="167" t="s">
        <v>1006</v>
      </c>
      <c r="V42" s="167" t="s">
        <v>656</v>
      </c>
      <c r="W42" s="167">
        <v>729769112</v>
      </c>
      <c r="X42" s="20"/>
      <c r="Y42" s="20" t="s">
        <v>1007</v>
      </c>
      <c r="Z42" s="20"/>
      <c r="AA42" s="20">
        <v>189</v>
      </c>
      <c r="AB42" s="20"/>
      <c r="AC42" s="20"/>
      <c r="AD42" s="20"/>
    </row>
    <row r="43" spans="1:30" ht="15.75" customHeight="1">
      <c r="A43" s="8">
        <v>42</v>
      </c>
      <c r="B43" s="20" t="s">
        <v>1013</v>
      </c>
      <c r="C43" s="20" t="s">
        <v>1014</v>
      </c>
      <c r="D43" s="159"/>
      <c r="E43" s="159"/>
      <c r="F43" s="159"/>
      <c r="G43" s="159"/>
      <c r="H43" s="159"/>
      <c r="I43" s="159"/>
      <c r="J43" s="159"/>
      <c r="K43" s="159"/>
      <c r="L43" s="159"/>
      <c r="M43" s="204">
        <v>50</v>
      </c>
      <c r="N43" s="167"/>
      <c r="O43" s="248">
        <v>50</v>
      </c>
      <c r="P43" s="167"/>
      <c r="Q43" s="178">
        <v>43521</v>
      </c>
      <c r="R43" s="169">
        <v>43521</v>
      </c>
      <c r="S43" s="169">
        <v>44336</v>
      </c>
      <c r="T43" s="8" t="s">
        <v>170</v>
      </c>
      <c r="U43" s="167" t="s">
        <v>1015</v>
      </c>
      <c r="V43" s="167" t="s">
        <v>1016</v>
      </c>
      <c r="W43" s="167">
        <v>503790338</v>
      </c>
      <c r="X43" s="20"/>
      <c r="Y43" s="20" t="s">
        <v>1017</v>
      </c>
      <c r="Z43" s="20"/>
      <c r="AA43" s="20">
        <v>191</v>
      </c>
      <c r="AB43" s="40" t="s">
        <v>200</v>
      </c>
      <c r="AC43" s="20"/>
      <c r="AD43" s="20"/>
    </row>
    <row r="44" spans="1:30" ht="15.75" customHeight="1">
      <c r="A44" s="8">
        <v>43</v>
      </c>
      <c r="B44" s="20" t="s">
        <v>556</v>
      </c>
      <c r="C44" s="20" t="s">
        <v>48</v>
      </c>
      <c r="D44" s="159"/>
      <c r="E44" s="159"/>
      <c r="F44" s="159"/>
      <c r="G44" s="159"/>
      <c r="H44" s="159"/>
      <c r="I44" s="159"/>
      <c r="J44" s="159"/>
      <c r="K44" s="159"/>
      <c r="L44" s="159"/>
      <c r="M44" s="204">
        <v>50</v>
      </c>
      <c r="N44" s="167"/>
      <c r="O44" s="248">
        <v>50</v>
      </c>
      <c r="P44" s="167"/>
      <c r="Q44" s="178">
        <v>43538</v>
      </c>
      <c r="R44" s="169">
        <v>43538</v>
      </c>
      <c r="S44" s="169">
        <v>44200</v>
      </c>
      <c r="T44" s="8" t="s">
        <v>170</v>
      </c>
      <c r="U44" s="167" t="s">
        <v>1024</v>
      </c>
      <c r="V44" s="167" t="s">
        <v>535</v>
      </c>
      <c r="W44" s="167">
        <v>601610131</v>
      </c>
      <c r="X44" s="20"/>
      <c r="Y44" s="20" t="s">
        <v>536</v>
      </c>
      <c r="Z44" s="20"/>
      <c r="AA44" s="20">
        <v>193</v>
      </c>
      <c r="AB44" s="20"/>
      <c r="AC44" s="20" t="s">
        <v>1025</v>
      </c>
      <c r="AD44" s="20"/>
    </row>
    <row r="45" spans="1:30" ht="15.75" customHeight="1">
      <c r="A45" s="8">
        <v>44</v>
      </c>
      <c r="B45" s="20" t="s">
        <v>559</v>
      </c>
      <c r="C45" s="20" t="s">
        <v>1026</v>
      </c>
      <c r="D45" s="159"/>
      <c r="E45" s="159"/>
      <c r="F45" s="159"/>
      <c r="G45" s="159"/>
      <c r="H45" s="159"/>
      <c r="I45" s="159"/>
      <c r="J45" s="159"/>
      <c r="K45" s="159"/>
      <c r="L45" s="159"/>
      <c r="M45" s="204">
        <v>50</v>
      </c>
      <c r="N45" s="167">
        <v>50</v>
      </c>
      <c r="O45" s="248">
        <v>50</v>
      </c>
      <c r="P45" s="167"/>
      <c r="Q45" s="178">
        <v>43542</v>
      </c>
      <c r="R45" s="169">
        <v>43543</v>
      </c>
      <c r="S45" s="169">
        <v>44285</v>
      </c>
      <c r="T45" s="8" t="s">
        <v>170</v>
      </c>
      <c r="U45" s="167" t="s">
        <v>1027</v>
      </c>
      <c r="V45" s="167" t="s">
        <v>1028</v>
      </c>
      <c r="W45" s="167">
        <v>532474731</v>
      </c>
      <c r="X45" s="20" t="s">
        <v>1029</v>
      </c>
      <c r="Y45" s="141" t="s">
        <v>1030</v>
      </c>
      <c r="Z45" s="20"/>
      <c r="AA45" s="20">
        <v>194</v>
      </c>
      <c r="AB45" s="40" t="s">
        <v>200</v>
      </c>
      <c r="AC45" s="20" t="s">
        <v>1031</v>
      </c>
      <c r="AD45" s="20"/>
    </row>
    <row r="46" spans="1:30" ht="15.75" customHeight="1">
      <c r="A46" s="8">
        <v>45</v>
      </c>
      <c r="B46" s="20" t="s">
        <v>127</v>
      </c>
      <c r="C46" s="20" t="s">
        <v>1043</v>
      </c>
      <c r="D46" s="159"/>
      <c r="E46" s="159"/>
      <c r="F46" s="159"/>
      <c r="G46" s="159"/>
      <c r="H46" s="159"/>
      <c r="I46" s="159"/>
      <c r="J46" s="159"/>
      <c r="K46" s="159"/>
      <c r="L46" s="159"/>
      <c r="M46" s="204">
        <v>50</v>
      </c>
      <c r="N46" s="167">
        <v>50</v>
      </c>
      <c r="O46" s="248">
        <v>50</v>
      </c>
      <c r="P46" s="167"/>
      <c r="Q46" s="178">
        <v>43579</v>
      </c>
      <c r="R46" s="169">
        <v>43580</v>
      </c>
      <c r="S46" s="169">
        <v>44330</v>
      </c>
      <c r="T46" s="8" t="s">
        <v>170</v>
      </c>
      <c r="U46" s="167" t="s">
        <v>1044</v>
      </c>
      <c r="V46" s="167" t="s">
        <v>1045</v>
      </c>
      <c r="W46" s="167">
        <v>787944957</v>
      </c>
      <c r="X46" s="20" t="s">
        <v>1046</v>
      </c>
      <c r="Y46" s="20" t="s">
        <v>1047</v>
      </c>
      <c r="Z46" s="20">
        <v>797542446</v>
      </c>
      <c r="AA46" s="20">
        <v>198</v>
      </c>
      <c r="AB46" s="20"/>
      <c r="AC46" s="20"/>
      <c r="AD46" s="20"/>
    </row>
    <row r="47" spans="1:30" ht="15.75" customHeight="1">
      <c r="A47" s="8">
        <v>46</v>
      </c>
      <c r="B47" s="20" t="s">
        <v>1062</v>
      </c>
      <c r="C47" s="20" t="s">
        <v>1063</v>
      </c>
      <c r="D47" s="159"/>
      <c r="E47" s="159"/>
      <c r="F47" s="159"/>
      <c r="G47" s="159"/>
      <c r="H47" s="159"/>
      <c r="I47" s="159"/>
      <c r="J47" s="159"/>
      <c r="K47" s="159"/>
      <c r="L47" s="159"/>
      <c r="M47" s="204">
        <v>50</v>
      </c>
      <c r="N47" s="10">
        <v>50</v>
      </c>
      <c r="O47" s="55">
        <v>50</v>
      </c>
      <c r="P47" s="10"/>
      <c r="Q47" s="178">
        <v>43672</v>
      </c>
      <c r="R47" s="169">
        <v>43675</v>
      </c>
      <c r="S47" s="169">
        <v>44410</v>
      </c>
      <c r="T47" s="8" t="s">
        <v>170</v>
      </c>
      <c r="U47" s="167" t="s">
        <v>1064</v>
      </c>
      <c r="V47" s="167" t="s">
        <v>1065</v>
      </c>
      <c r="W47" s="167">
        <v>509670464</v>
      </c>
      <c r="X47" s="20"/>
      <c r="Y47" s="20" t="s">
        <v>1066</v>
      </c>
      <c r="Z47" s="20"/>
      <c r="AA47" s="20">
        <v>202</v>
      </c>
      <c r="AB47" s="40" t="s">
        <v>200</v>
      </c>
      <c r="AC47" s="20" t="s">
        <v>1067</v>
      </c>
      <c r="AD47" s="20"/>
    </row>
    <row r="48" spans="1:30" ht="15.75" customHeight="1">
      <c r="A48" s="8">
        <v>47</v>
      </c>
      <c r="B48" s="20" t="s">
        <v>1068</v>
      </c>
      <c r="C48" s="20" t="s">
        <v>1069</v>
      </c>
      <c r="D48" s="159"/>
      <c r="E48" s="159"/>
      <c r="F48" s="159"/>
      <c r="G48" s="159"/>
      <c r="H48" s="159"/>
      <c r="I48" s="159"/>
      <c r="J48" s="159"/>
      <c r="K48" s="159"/>
      <c r="L48" s="159"/>
      <c r="M48" s="204">
        <v>50</v>
      </c>
      <c r="N48" s="10">
        <v>50</v>
      </c>
      <c r="O48" s="55">
        <v>50</v>
      </c>
      <c r="P48" s="10"/>
      <c r="Q48" s="178">
        <v>43684</v>
      </c>
      <c r="R48" s="169">
        <v>43684</v>
      </c>
      <c r="S48" s="169">
        <v>44484</v>
      </c>
      <c r="T48" s="8" t="s">
        <v>170</v>
      </c>
      <c r="U48" s="167" t="s">
        <v>1070</v>
      </c>
      <c r="V48" s="167" t="s">
        <v>1071</v>
      </c>
      <c r="W48" s="167">
        <v>509117890</v>
      </c>
      <c r="X48" s="20"/>
      <c r="Y48" s="20" t="s">
        <v>1072</v>
      </c>
      <c r="Z48" s="20"/>
      <c r="AA48" s="20">
        <v>203</v>
      </c>
      <c r="AB48" s="40" t="s">
        <v>200</v>
      </c>
      <c r="AC48" s="20"/>
      <c r="AD48" s="188" t="s">
        <v>1365</v>
      </c>
    </row>
    <row r="49" spans="1:30" ht="15.75" customHeight="1">
      <c r="A49" s="8">
        <v>48</v>
      </c>
      <c r="B49" s="20" t="s">
        <v>701</v>
      </c>
      <c r="C49" s="20" t="s">
        <v>1078</v>
      </c>
      <c r="D49" s="159"/>
      <c r="E49" s="159"/>
      <c r="F49" s="159"/>
      <c r="G49" s="159"/>
      <c r="H49" s="159"/>
      <c r="I49" s="159"/>
      <c r="J49" s="159"/>
      <c r="K49" s="159"/>
      <c r="L49" s="159"/>
      <c r="M49" s="204">
        <v>50</v>
      </c>
      <c r="N49" s="10">
        <v>50</v>
      </c>
      <c r="O49" s="55">
        <v>50</v>
      </c>
      <c r="P49" s="10"/>
      <c r="Q49" s="178">
        <v>43689</v>
      </c>
      <c r="R49" s="169">
        <v>43685</v>
      </c>
      <c r="S49" s="169">
        <v>44441</v>
      </c>
      <c r="T49" s="8" t="s">
        <v>170</v>
      </c>
      <c r="U49" s="167" t="s">
        <v>1079</v>
      </c>
      <c r="V49" s="167" t="s">
        <v>1080</v>
      </c>
      <c r="W49" s="167">
        <v>500688237</v>
      </c>
      <c r="X49" s="20" t="s">
        <v>1081</v>
      </c>
      <c r="Y49" s="20" t="s">
        <v>1082</v>
      </c>
      <c r="Z49" s="20"/>
      <c r="AA49" s="20">
        <v>205</v>
      </c>
      <c r="AB49" s="40" t="s">
        <v>200</v>
      </c>
      <c r="AC49" s="20" t="s">
        <v>1083</v>
      </c>
      <c r="AD49" s="20"/>
    </row>
    <row r="50" spans="1:30" ht="15.75" customHeight="1">
      <c r="A50" s="8">
        <v>49</v>
      </c>
      <c r="B50" s="20" t="s">
        <v>55</v>
      </c>
      <c r="C50" s="20" t="s">
        <v>1084</v>
      </c>
      <c r="D50" s="159"/>
      <c r="E50" s="159"/>
      <c r="F50" s="159"/>
      <c r="G50" s="159"/>
      <c r="H50" s="159"/>
      <c r="I50" s="159"/>
      <c r="J50" s="159"/>
      <c r="K50" s="159"/>
      <c r="L50" s="159"/>
      <c r="M50" s="204">
        <v>50</v>
      </c>
      <c r="N50" s="167"/>
      <c r="O50" s="248">
        <v>100</v>
      </c>
      <c r="P50" s="167"/>
      <c r="Q50" s="178">
        <v>43673</v>
      </c>
      <c r="R50" s="169">
        <v>43679</v>
      </c>
      <c r="S50" s="169">
        <v>44509</v>
      </c>
      <c r="T50" s="8" t="s">
        <v>170</v>
      </c>
      <c r="U50" s="167" t="s">
        <v>1085</v>
      </c>
      <c r="V50" s="167" t="s">
        <v>1086</v>
      </c>
      <c r="W50" s="167">
        <v>792287874</v>
      </c>
      <c r="X50" s="20"/>
      <c r="Y50" s="20" t="s">
        <v>1087</v>
      </c>
      <c r="Z50" s="20"/>
      <c r="AA50" s="20">
        <v>206</v>
      </c>
      <c r="AB50" s="40" t="s">
        <v>200</v>
      </c>
      <c r="AC50" s="20"/>
      <c r="AD50" s="20"/>
    </row>
    <row r="51" spans="1:30" ht="15.75" customHeight="1">
      <c r="A51" s="8">
        <v>50</v>
      </c>
      <c r="B51" s="20" t="s">
        <v>1088</v>
      </c>
      <c r="C51" s="20" t="s">
        <v>1089</v>
      </c>
      <c r="D51" s="159"/>
      <c r="E51" s="159"/>
      <c r="F51" s="159"/>
      <c r="G51" s="159"/>
      <c r="H51" s="159"/>
      <c r="I51" s="159"/>
      <c r="J51" s="159"/>
      <c r="K51" s="159"/>
      <c r="L51" s="159"/>
      <c r="M51" s="204">
        <v>50</v>
      </c>
      <c r="N51" s="10">
        <v>50</v>
      </c>
      <c r="O51" s="40">
        <v>50</v>
      </c>
      <c r="P51" s="10"/>
      <c r="Q51" s="178">
        <v>43691</v>
      </c>
      <c r="R51" s="169">
        <v>43693</v>
      </c>
      <c r="S51" s="169">
        <v>44515</v>
      </c>
      <c r="T51" s="8" t="s">
        <v>170</v>
      </c>
      <c r="U51" s="167" t="s">
        <v>1090</v>
      </c>
      <c r="V51" s="167" t="s">
        <v>1091</v>
      </c>
      <c r="W51" s="167">
        <v>797376226</v>
      </c>
      <c r="X51" s="20"/>
      <c r="Y51" s="20" t="s">
        <v>1092</v>
      </c>
      <c r="Z51" s="20"/>
      <c r="AA51" s="20">
        <v>207</v>
      </c>
      <c r="AB51" s="40" t="s">
        <v>200</v>
      </c>
      <c r="AC51" s="20"/>
      <c r="AD51" s="20"/>
    </row>
    <row r="52" spans="1:30" ht="15.75" customHeight="1">
      <c r="A52" s="8">
        <v>51</v>
      </c>
      <c r="B52" s="20" t="s">
        <v>481</v>
      </c>
      <c r="C52" s="20" t="s">
        <v>1093</v>
      </c>
      <c r="D52" s="159"/>
      <c r="E52" s="159"/>
      <c r="F52" s="159"/>
      <c r="G52" s="159"/>
      <c r="H52" s="159"/>
      <c r="I52" s="159"/>
      <c r="J52" s="159"/>
      <c r="K52" s="159"/>
      <c r="L52" s="159"/>
      <c r="M52" s="204">
        <v>50</v>
      </c>
      <c r="N52" s="10">
        <v>50</v>
      </c>
      <c r="O52" s="55">
        <v>50</v>
      </c>
      <c r="P52" s="10"/>
      <c r="Q52" s="178">
        <v>43710</v>
      </c>
      <c r="R52" s="169">
        <v>43710</v>
      </c>
      <c r="S52" s="169">
        <v>44442</v>
      </c>
      <c r="T52" s="8" t="s">
        <v>170</v>
      </c>
      <c r="U52" s="167" t="s">
        <v>1094</v>
      </c>
      <c r="V52" s="167" t="s">
        <v>1095</v>
      </c>
      <c r="W52" s="167">
        <v>532791289</v>
      </c>
      <c r="X52" s="20" t="s">
        <v>1096</v>
      </c>
      <c r="Y52" s="20" t="s">
        <v>1097</v>
      </c>
      <c r="Z52" s="20"/>
      <c r="AA52" s="20">
        <v>208</v>
      </c>
      <c r="AB52" s="20"/>
      <c r="AC52" s="20" t="s">
        <v>1098</v>
      </c>
      <c r="AD52" s="20"/>
    </row>
    <row r="53" spans="1:30" ht="15.75" customHeight="1">
      <c r="A53" s="8">
        <v>52</v>
      </c>
      <c r="B53" s="20" t="s">
        <v>1105</v>
      </c>
      <c r="C53" s="20" t="s">
        <v>1106</v>
      </c>
      <c r="D53" s="159"/>
      <c r="E53" s="159"/>
      <c r="F53" s="159"/>
      <c r="G53" s="159"/>
      <c r="H53" s="159"/>
      <c r="I53" s="159"/>
      <c r="J53" s="159"/>
      <c r="K53" s="159"/>
      <c r="L53" s="159"/>
      <c r="M53" s="204">
        <v>50</v>
      </c>
      <c r="N53" s="10">
        <v>50</v>
      </c>
      <c r="O53" s="55"/>
      <c r="P53" s="10"/>
      <c r="Q53" s="178">
        <v>43718</v>
      </c>
      <c r="R53" s="169">
        <v>43718</v>
      </c>
      <c r="S53" s="169">
        <v>44085</v>
      </c>
      <c r="T53" s="8" t="s">
        <v>170</v>
      </c>
      <c r="U53" s="167" t="s">
        <v>1107</v>
      </c>
      <c r="V53" s="167" t="s">
        <v>191</v>
      </c>
      <c r="W53" s="167">
        <v>665474203</v>
      </c>
      <c r="X53" s="20" t="s">
        <v>1108</v>
      </c>
      <c r="Y53" s="20" t="s">
        <v>1109</v>
      </c>
      <c r="Z53" s="20"/>
      <c r="AA53" s="20">
        <v>210</v>
      </c>
      <c r="AB53" s="40" t="s">
        <v>200</v>
      </c>
      <c r="AC53" s="20" t="s">
        <v>1110</v>
      </c>
      <c r="AD53" s="20"/>
    </row>
    <row r="54" spans="1:30" ht="15.75" customHeight="1">
      <c r="A54" s="8">
        <v>53</v>
      </c>
      <c r="B54" s="20" t="s">
        <v>645</v>
      </c>
      <c r="C54" s="20" t="s">
        <v>1125</v>
      </c>
      <c r="D54" s="159"/>
      <c r="E54" s="159"/>
      <c r="F54" s="159"/>
      <c r="G54" s="159"/>
      <c r="H54" s="159"/>
      <c r="I54" s="159"/>
      <c r="J54" s="159"/>
      <c r="K54" s="159"/>
      <c r="L54" s="159"/>
      <c r="M54" s="204">
        <v>50</v>
      </c>
      <c r="N54" s="167"/>
      <c r="O54" s="55">
        <v>50</v>
      </c>
      <c r="P54" s="10"/>
      <c r="Q54" s="177">
        <v>43751</v>
      </c>
      <c r="R54" s="106">
        <v>43751</v>
      </c>
      <c r="S54" s="106">
        <v>44475</v>
      </c>
      <c r="T54" s="8" t="s">
        <v>170</v>
      </c>
      <c r="U54" s="167" t="s">
        <v>1126</v>
      </c>
      <c r="V54" s="167" t="s">
        <v>1127</v>
      </c>
      <c r="W54" s="167">
        <v>793603358</v>
      </c>
      <c r="X54" s="20"/>
      <c r="Y54" s="20" t="s">
        <v>1128</v>
      </c>
      <c r="Z54" s="20"/>
      <c r="AA54" s="20">
        <v>214</v>
      </c>
      <c r="AB54" s="20"/>
      <c r="AC54" s="20"/>
      <c r="AD54" s="20" t="s">
        <v>1129</v>
      </c>
    </row>
    <row r="55" spans="1:30" ht="15.75" customHeight="1">
      <c r="A55" s="8">
        <v>54</v>
      </c>
      <c r="B55" s="20" t="s">
        <v>1130</v>
      </c>
      <c r="C55" s="20" t="s">
        <v>1131</v>
      </c>
      <c r="D55" s="159"/>
      <c r="E55" s="159"/>
      <c r="F55" s="159"/>
      <c r="G55" s="159"/>
      <c r="H55" s="159"/>
      <c r="I55" s="159"/>
      <c r="J55" s="159"/>
      <c r="K55" s="159"/>
      <c r="L55" s="159"/>
      <c r="M55" s="204">
        <v>50</v>
      </c>
      <c r="N55" s="167"/>
      <c r="O55" s="55">
        <v>50</v>
      </c>
      <c r="P55" s="10"/>
      <c r="Q55" s="177">
        <v>43763</v>
      </c>
      <c r="R55" s="106">
        <v>43766</v>
      </c>
      <c r="S55" s="106">
        <v>44475</v>
      </c>
      <c r="T55" s="8" t="s">
        <v>170</v>
      </c>
      <c r="U55" s="167" t="s">
        <v>1132</v>
      </c>
      <c r="V55" s="167" t="s">
        <v>1133</v>
      </c>
      <c r="W55" s="167">
        <v>881557200</v>
      </c>
      <c r="X55" s="20"/>
      <c r="Y55" s="20" t="s">
        <v>1134</v>
      </c>
      <c r="Z55" s="20"/>
      <c r="AA55" s="20">
        <v>215</v>
      </c>
      <c r="AB55" s="20"/>
      <c r="AC55" s="20"/>
      <c r="AD55" s="20"/>
    </row>
    <row r="56" spans="1:30" ht="15.75" customHeight="1">
      <c r="A56" s="8">
        <v>55</v>
      </c>
      <c r="B56" s="20" t="s">
        <v>446</v>
      </c>
      <c r="C56" s="20" t="s">
        <v>1145</v>
      </c>
      <c r="D56" s="159"/>
      <c r="E56" s="159"/>
      <c r="F56" s="159"/>
      <c r="G56" s="159"/>
      <c r="H56" s="159"/>
      <c r="I56" s="159"/>
      <c r="J56" s="159"/>
      <c r="K56" s="159"/>
      <c r="L56" s="159"/>
      <c r="M56" s="204">
        <v>50</v>
      </c>
      <c r="N56" s="167">
        <v>50</v>
      </c>
      <c r="O56" s="209">
        <v>50</v>
      </c>
      <c r="P56" s="167"/>
      <c r="Q56" s="177">
        <v>43777</v>
      </c>
      <c r="R56" s="106">
        <v>43781</v>
      </c>
      <c r="S56" s="106">
        <v>44502</v>
      </c>
      <c r="T56" s="8" t="s">
        <v>170</v>
      </c>
      <c r="U56" s="167" t="s">
        <v>1146</v>
      </c>
      <c r="V56" s="167" t="s">
        <v>1147</v>
      </c>
      <c r="W56" s="167">
        <v>691963096</v>
      </c>
      <c r="X56" s="20"/>
      <c r="Y56" s="20" t="s">
        <v>1148</v>
      </c>
      <c r="Z56" s="20"/>
      <c r="AA56" s="20">
        <v>219</v>
      </c>
      <c r="AB56" s="40" t="s">
        <v>200</v>
      </c>
      <c r="AC56" s="20"/>
      <c r="AD56" s="20"/>
    </row>
    <row r="57" spans="1:30" ht="15.75" customHeight="1">
      <c r="A57" s="8">
        <v>56</v>
      </c>
      <c r="B57" s="20" t="s">
        <v>1168</v>
      </c>
      <c r="C57" s="20" t="s">
        <v>1169</v>
      </c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67">
        <v>50</v>
      </c>
      <c r="O57" s="209">
        <v>50</v>
      </c>
      <c r="P57" s="167"/>
      <c r="Q57" s="178">
        <v>43878</v>
      </c>
      <c r="R57" s="169">
        <v>43879</v>
      </c>
      <c r="S57" s="169">
        <v>44475</v>
      </c>
      <c r="T57" s="8" t="s">
        <v>170</v>
      </c>
      <c r="U57" s="167" t="s">
        <v>1170</v>
      </c>
      <c r="V57" s="167" t="s">
        <v>1171</v>
      </c>
      <c r="W57" s="167">
        <v>664844898</v>
      </c>
      <c r="X57" s="20"/>
      <c r="Y57" s="20" t="s">
        <v>1172</v>
      </c>
      <c r="Z57" s="20"/>
      <c r="AA57" s="20">
        <v>225</v>
      </c>
      <c r="AB57" s="20"/>
      <c r="AC57" s="20" t="s">
        <v>1173</v>
      </c>
      <c r="AD57" s="20"/>
    </row>
    <row r="58" spans="1:30" ht="15.75" customHeight="1">
      <c r="A58" s="8">
        <v>57</v>
      </c>
      <c r="B58" s="20" t="s">
        <v>134</v>
      </c>
      <c r="C58" s="20" t="s">
        <v>1174</v>
      </c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67">
        <v>50</v>
      </c>
      <c r="O58" s="209">
        <v>50</v>
      </c>
      <c r="P58" s="167"/>
      <c r="Q58" s="178">
        <v>43879</v>
      </c>
      <c r="R58" s="169">
        <v>43879</v>
      </c>
      <c r="S58" s="169">
        <v>44256</v>
      </c>
      <c r="T58" s="8" t="s">
        <v>170</v>
      </c>
      <c r="U58" s="167" t="s">
        <v>1175</v>
      </c>
      <c r="V58" s="167" t="s">
        <v>615</v>
      </c>
      <c r="W58" s="167">
        <v>663175709</v>
      </c>
      <c r="X58" s="20"/>
      <c r="Y58" s="20" t="s">
        <v>1176</v>
      </c>
      <c r="Z58" s="20"/>
      <c r="AA58" s="20">
        <v>226</v>
      </c>
      <c r="AB58" s="20"/>
      <c r="AC58" s="20"/>
      <c r="AD58" s="20"/>
    </row>
    <row r="59" spans="1:30" ht="15.75" customHeight="1">
      <c r="A59" s="8">
        <v>58</v>
      </c>
      <c r="B59" s="20" t="s">
        <v>35</v>
      </c>
      <c r="C59" s="20" t="s">
        <v>1177</v>
      </c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67">
        <v>50</v>
      </c>
      <c r="O59" s="209"/>
      <c r="P59" s="167"/>
      <c r="Q59" s="178">
        <v>43895</v>
      </c>
      <c r="R59" s="169">
        <v>43895</v>
      </c>
      <c r="S59" s="169">
        <v>43895</v>
      </c>
      <c r="T59" s="8" t="s">
        <v>170</v>
      </c>
      <c r="U59" s="167" t="s">
        <v>1178</v>
      </c>
      <c r="V59" s="167" t="s">
        <v>1179</v>
      </c>
      <c r="W59" s="167" t="s">
        <v>1180</v>
      </c>
      <c r="X59" s="20"/>
      <c r="Y59" s="20" t="s">
        <v>1181</v>
      </c>
      <c r="Z59" s="20"/>
      <c r="AA59" s="20">
        <v>232</v>
      </c>
      <c r="AB59" s="20"/>
      <c r="AC59" s="20"/>
      <c r="AD59" s="20"/>
    </row>
    <row r="60" spans="1:30" ht="15.75" customHeight="1">
      <c r="A60" s="8">
        <v>59</v>
      </c>
      <c r="B60" s="20" t="s">
        <v>568</v>
      </c>
      <c r="C60" s="20" t="s">
        <v>1182</v>
      </c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67">
        <v>50</v>
      </c>
      <c r="O60" s="209"/>
      <c r="P60" s="167"/>
      <c r="Q60" s="178">
        <v>43935</v>
      </c>
      <c r="R60" s="169">
        <v>43937</v>
      </c>
      <c r="S60" s="169">
        <v>43937</v>
      </c>
      <c r="T60" s="8" t="s">
        <v>170</v>
      </c>
      <c r="U60" s="167" t="s">
        <v>1183</v>
      </c>
      <c r="V60" s="167" t="s">
        <v>1184</v>
      </c>
      <c r="W60" s="167">
        <v>798418759</v>
      </c>
      <c r="X60" s="20"/>
      <c r="Y60" s="20" t="s">
        <v>1185</v>
      </c>
      <c r="Z60" s="20"/>
      <c r="AA60" s="20">
        <v>227</v>
      </c>
      <c r="AB60" s="20"/>
      <c r="AC60" s="20"/>
      <c r="AD60" s="20"/>
    </row>
    <row r="61" spans="1:30" ht="15.75" customHeight="1">
      <c r="A61" s="8">
        <v>60</v>
      </c>
      <c r="B61" s="20" t="s">
        <v>556</v>
      </c>
      <c r="C61" s="20" t="s">
        <v>1186</v>
      </c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67">
        <v>50</v>
      </c>
      <c r="O61" s="209"/>
      <c r="P61" s="167"/>
      <c r="Q61" s="178">
        <v>43920</v>
      </c>
      <c r="R61" s="169">
        <v>43951</v>
      </c>
      <c r="S61" s="169">
        <v>43951</v>
      </c>
      <c r="T61" s="18" t="s">
        <v>689</v>
      </c>
      <c r="U61" s="167" t="s">
        <v>1187</v>
      </c>
      <c r="V61" s="167" t="s">
        <v>1188</v>
      </c>
      <c r="W61" s="167">
        <v>602742622</v>
      </c>
      <c r="X61" s="20"/>
      <c r="Y61" s="20" t="s">
        <v>1189</v>
      </c>
      <c r="Z61" s="20"/>
      <c r="AA61" s="20">
        <v>228</v>
      </c>
      <c r="AB61" s="20"/>
      <c r="AC61" s="20"/>
      <c r="AD61" s="20" t="s">
        <v>1190</v>
      </c>
    </row>
    <row r="62" spans="1:30" ht="15.75" customHeight="1">
      <c r="A62" s="8">
        <v>61</v>
      </c>
      <c r="B62" s="20" t="s">
        <v>1191</v>
      </c>
      <c r="C62" s="20" t="s">
        <v>1192</v>
      </c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0">
        <v>50</v>
      </c>
      <c r="O62" s="58"/>
      <c r="P62" s="10"/>
      <c r="Q62" s="178">
        <v>43982</v>
      </c>
      <c r="R62" s="169">
        <v>43983</v>
      </c>
      <c r="S62" s="169">
        <v>43983</v>
      </c>
      <c r="T62" s="8" t="s">
        <v>170</v>
      </c>
      <c r="U62" s="167" t="s">
        <v>1193</v>
      </c>
      <c r="V62" s="167" t="s">
        <v>1194</v>
      </c>
      <c r="W62" s="167">
        <v>512305330</v>
      </c>
      <c r="X62" s="20"/>
      <c r="Y62" s="20" t="s">
        <v>1195</v>
      </c>
      <c r="Z62" s="20"/>
      <c r="AA62" s="20">
        <v>229</v>
      </c>
      <c r="AB62" s="20"/>
      <c r="AC62" s="20"/>
      <c r="AD62" s="20"/>
    </row>
    <row r="63" spans="1:30" ht="15.75" customHeight="1">
      <c r="A63" s="8">
        <v>62</v>
      </c>
      <c r="B63" s="20" t="s">
        <v>127</v>
      </c>
      <c r="C63" s="20" t="s">
        <v>1196</v>
      </c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0">
        <v>50</v>
      </c>
      <c r="O63" s="58"/>
      <c r="P63" s="10"/>
      <c r="Q63" s="178">
        <v>43997</v>
      </c>
      <c r="R63" s="169">
        <v>43998</v>
      </c>
      <c r="S63" s="169">
        <v>43998</v>
      </c>
      <c r="T63" s="8" t="s">
        <v>170</v>
      </c>
      <c r="U63" s="167" t="s">
        <v>1197</v>
      </c>
      <c r="V63" s="167" t="s">
        <v>1198</v>
      </c>
      <c r="W63" s="167">
        <v>692982432</v>
      </c>
      <c r="X63" s="20"/>
      <c r="Y63" s="20" t="s">
        <v>1199</v>
      </c>
      <c r="Z63" s="20"/>
      <c r="AA63" s="20">
        <v>230</v>
      </c>
      <c r="AB63" s="20"/>
      <c r="AC63" s="20"/>
      <c r="AD63" s="20"/>
    </row>
    <row r="64" spans="1:30" ht="15.75" customHeight="1">
      <c r="A64" s="8">
        <v>63</v>
      </c>
      <c r="B64" s="20" t="s">
        <v>465</v>
      </c>
      <c r="C64" s="20" t="s">
        <v>1200</v>
      </c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0">
        <v>50</v>
      </c>
      <c r="O64" s="58"/>
      <c r="P64" s="10"/>
      <c r="Q64" s="178">
        <v>44001</v>
      </c>
      <c r="R64" s="169">
        <v>44001</v>
      </c>
      <c r="S64" s="169">
        <v>44001</v>
      </c>
      <c r="T64" s="8" t="s">
        <v>170</v>
      </c>
      <c r="U64" s="167" t="s">
        <v>1201</v>
      </c>
      <c r="V64" s="167" t="s">
        <v>1202</v>
      </c>
      <c r="W64" s="167">
        <v>579639631</v>
      </c>
      <c r="X64" s="20" t="s">
        <v>1203</v>
      </c>
      <c r="Y64" s="20" t="s">
        <v>1204</v>
      </c>
      <c r="Z64" s="20"/>
      <c r="AA64" s="20">
        <v>231</v>
      </c>
      <c r="AB64" s="20"/>
      <c r="AC64" s="20"/>
      <c r="AD64" s="20"/>
    </row>
    <row r="65" spans="1:30" ht="15.75" customHeight="1">
      <c r="A65" s="8">
        <v>64</v>
      </c>
      <c r="B65" s="20" t="s">
        <v>325</v>
      </c>
      <c r="C65" s="20" t="s">
        <v>1205</v>
      </c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67">
        <v>50</v>
      </c>
      <c r="O65" s="209">
        <v>50</v>
      </c>
      <c r="P65" s="167"/>
      <c r="Q65" s="178">
        <v>44020</v>
      </c>
      <c r="R65" s="169">
        <v>44020</v>
      </c>
      <c r="S65" s="169">
        <v>44475</v>
      </c>
      <c r="T65" s="8" t="s">
        <v>170</v>
      </c>
      <c r="U65" s="167" t="s">
        <v>1206</v>
      </c>
      <c r="V65" s="167" t="s">
        <v>1207</v>
      </c>
      <c r="W65" s="167">
        <v>570211227</v>
      </c>
      <c r="X65" s="20" t="s">
        <v>1208</v>
      </c>
      <c r="Y65" s="20" t="s">
        <v>1209</v>
      </c>
      <c r="Z65" s="20"/>
      <c r="AA65" s="20">
        <v>233</v>
      </c>
      <c r="AB65" s="40" t="s">
        <v>200</v>
      </c>
      <c r="AC65" s="20" t="s">
        <v>1210</v>
      </c>
      <c r="AD65" s="20"/>
    </row>
    <row r="66" spans="1:30" ht="15.75" customHeight="1">
      <c r="A66" s="8">
        <v>65</v>
      </c>
      <c r="B66" s="20" t="s">
        <v>212</v>
      </c>
      <c r="C66" s="20" t="s">
        <v>1211</v>
      </c>
      <c r="D66" s="159"/>
      <c r="E66" s="159"/>
      <c r="F66" s="159"/>
      <c r="G66" s="159"/>
      <c r="H66" s="159"/>
      <c r="I66" s="159"/>
      <c r="J66" s="159"/>
      <c r="K66" s="159"/>
      <c r="L66" s="159"/>
      <c r="M66" s="159"/>
      <c r="N66" s="167">
        <v>50</v>
      </c>
      <c r="O66" s="209">
        <v>50</v>
      </c>
      <c r="P66" s="167"/>
      <c r="Q66" s="178">
        <v>44032</v>
      </c>
      <c r="R66" s="169">
        <v>44033</v>
      </c>
      <c r="S66" s="169">
        <v>44508</v>
      </c>
      <c r="T66" s="8" t="s">
        <v>170</v>
      </c>
      <c r="U66" s="167" t="s">
        <v>1212</v>
      </c>
      <c r="V66" s="167" t="s">
        <v>1213</v>
      </c>
      <c r="W66" s="167">
        <v>724567921</v>
      </c>
      <c r="X66" s="20" t="s">
        <v>1214</v>
      </c>
      <c r="Y66" s="20" t="s">
        <v>1215</v>
      </c>
      <c r="Z66" s="20"/>
      <c r="AA66" s="20">
        <v>234</v>
      </c>
      <c r="AB66" s="40" t="s">
        <v>200</v>
      </c>
      <c r="AC66" s="20" t="s">
        <v>1216</v>
      </c>
      <c r="AD66" s="20" t="s">
        <v>1217</v>
      </c>
    </row>
    <row r="67" spans="1:30" ht="15.75" customHeight="1">
      <c r="A67" s="8">
        <v>66</v>
      </c>
      <c r="B67" s="20" t="s">
        <v>345</v>
      </c>
      <c r="C67" s="20" t="s">
        <v>981</v>
      </c>
      <c r="D67" s="159"/>
      <c r="E67" s="159"/>
      <c r="F67" s="159"/>
      <c r="G67" s="159"/>
      <c r="H67" s="159"/>
      <c r="I67" s="159"/>
      <c r="J67" s="159"/>
      <c r="K67" s="159"/>
      <c r="L67" s="159"/>
      <c r="M67" s="159"/>
      <c r="N67" s="167">
        <v>50</v>
      </c>
      <c r="O67" s="209">
        <v>50</v>
      </c>
      <c r="P67" s="167"/>
      <c r="Q67" s="178">
        <v>44038</v>
      </c>
      <c r="R67" s="169">
        <v>44039</v>
      </c>
      <c r="S67" s="169">
        <v>44474</v>
      </c>
      <c r="T67" s="8" t="s">
        <v>170</v>
      </c>
      <c r="U67" s="167" t="s">
        <v>1218</v>
      </c>
      <c r="V67" s="167" t="s">
        <v>1219</v>
      </c>
      <c r="W67" s="167">
        <v>795494851</v>
      </c>
      <c r="X67" s="20" t="s">
        <v>1220</v>
      </c>
      <c r="Y67" s="20" t="s">
        <v>1221</v>
      </c>
      <c r="Z67" s="20"/>
      <c r="AA67" s="20">
        <v>235</v>
      </c>
      <c r="AB67" s="40" t="s">
        <v>200</v>
      </c>
      <c r="AC67" s="20" t="s">
        <v>1222</v>
      </c>
      <c r="AD67" s="20" t="s">
        <v>1223</v>
      </c>
    </row>
    <row r="68" spans="1:30" ht="15.75" customHeight="1">
      <c r="A68" s="8">
        <v>67</v>
      </c>
      <c r="B68" s="20" t="s">
        <v>1224</v>
      </c>
      <c r="C68" s="20" t="s">
        <v>1225</v>
      </c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67">
        <v>50</v>
      </c>
      <c r="O68" s="209"/>
      <c r="P68" s="167"/>
      <c r="Q68" s="178">
        <v>44047</v>
      </c>
      <c r="R68" s="169">
        <v>44048</v>
      </c>
      <c r="S68" s="169">
        <v>44048</v>
      </c>
      <c r="T68" s="8" t="s">
        <v>170</v>
      </c>
      <c r="U68" s="167" t="s">
        <v>1226</v>
      </c>
      <c r="V68" s="167" t="s">
        <v>1227</v>
      </c>
      <c r="W68" s="167">
        <v>600549246</v>
      </c>
      <c r="X68" s="20"/>
      <c r="Y68" s="20" t="s">
        <v>1228</v>
      </c>
      <c r="Z68" s="20"/>
      <c r="AA68" s="20">
        <v>236</v>
      </c>
      <c r="AB68" s="40" t="s">
        <v>200</v>
      </c>
      <c r="AC68" s="20"/>
      <c r="AD68" s="20"/>
    </row>
    <row r="69" spans="1:30" ht="15.75" customHeight="1">
      <c r="A69" s="8">
        <v>68</v>
      </c>
      <c r="B69" s="20" t="s">
        <v>543</v>
      </c>
      <c r="C69" s="20" t="s">
        <v>1229</v>
      </c>
      <c r="D69" s="159"/>
      <c r="E69" s="159"/>
      <c r="F69" s="159"/>
      <c r="G69" s="159"/>
      <c r="H69" s="159"/>
      <c r="I69" s="159"/>
      <c r="J69" s="159"/>
      <c r="K69" s="159"/>
      <c r="L69" s="159"/>
      <c r="M69" s="159"/>
      <c r="N69" s="167">
        <v>50</v>
      </c>
      <c r="O69" s="209"/>
      <c r="P69" s="167"/>
      <c r="Q69" s="178">
        <v>44047</v>
      </c>
      <c r="R69" s="169">
        <v>44048</v>
      </c>
      <c r="S69" s="169">
        <v>44048</v>
      </c>
      <c r="T69" s="8" t="s">
        <v>170</v>
      </c>
      <c r="U69" s="167" t="s">
        <v>1230</v>
      </c>
      <c r="V69" s="167" t="s">
        <v>1231</v>
      </c>
      <c r="W69" s="167">
        <v>510097957</v>
      </c>
      <c r="X69" s="20"/>
      <c r="Y69" s="20" t="s">
        <v>1232</v>
      </c>
      <c r="Z69" s="20"/>
      <c r="AA69" s="20">
        <v>237</v>
      </c>
      <c r="AB69" s="20"/>
      <c r="AC69" s="20" t="s">
        <v>1233</v>
      </c>
      <c r="AD69" s="20"/>
    </row>
    <row r="70" spans="1:30" ht="15.75" customHeight="1">
      <c r="A70" s="8">
        <v>69</v>
      </c>
      <c r="B70" s="20" t="s">
        <v>300</v>
      </c>
      <c r="C70" s="20" t="s">
        <v>1234</v>
      </c>
      <c r="D70" s="159"/>
      <c r="E70" s="159"/>
      <c r="F70" s="159"/>
      <c r="G70" s="159"/>
      <c r="H70" s="159"/>
      <c r="I70" s="159"/>
      <c r="J70" s="159"/>
      <c r="K70" s="159"/>
      <c r="L70" s="159"/>
      <c r="M70" s="159"/>
      <c r="N70" s="167">
        <v>50</v>
      </c>
      <c r="O70" s="209"/>
      <c r="P70" s="167"/>
      <c r="Q70" s="178">
        <v>44048</v>
      </c>
      <c r="R70" s="169">
        <v>44050</v>
      </c>
      <c r="S70" s="169">
        <v>44050</v>
      </c>
      <c r="T70" s="8" t="s">
        <v>170</v>
      </c>
      <c r="U70" s="167" t="s">
        <v>1235</v>
      </c>
      <c r="V70" s="167" t="s">
        <v>1236</v>
      </c>
      <c r="W70" s="167">
        <v>732999174</v>
      </c>
      <c r="X70" s="20"/>
      <c r="Y70" s="20" t="s">
        <v>1237</v>
      </c>
      <c r="Z70" s="20"/>
      <c r="AA70" s="20">
        <v>238</v>
      </c>
      <c r="AB70" s="40" t="s">
        <v>200</v>
      </c>
      <c r="AC70" s="20"/>
      <c r="AD70" s="20"/>
    </row>
    <row r="71" spans="1:30" ht="15.75" customHeight="1">
      <c r="A71" s="8">
        <v>70</v>
      </c>
      <c r="B71" s="20" t="s">
        <v>1238</v>
      </c>
      <c r="C71" s="20" t="s">
        <v>1239</v>
      </c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67">
        <v>50</v>
      </c>
      <c r="O71" s="209"/>
      <c r="P71" s="167"/>
      <c r="Q71" s="178">
        <v>44048</v>
      </c>
      <c r="R71" s="169">
        <v>44049</v>
      </c>
      <c r="S71" s="169">
        <v>44049</v>
      </c>
      <c r="T71" s="8" t="s">
        <v>170</v>
      </c>
      <c r="U71" s="167" t="s">
        <v>1240</v>
      </c>
      <c r="V71" s="167" t="s">
        <v>1241</v>
      </c>
      <c r="W71" s="167">
        <v>787971008</v>
      </c>
      <c r="X71" s="20"/>
      <c r="Y71" s="20" t="s">
        <v>1242</v>
      </c>
      <c r="Z71" s="20"/>
      <c r="AA71" s="20">
        <v>239</v>
      </c>
      <c r="AB71" s="40" t="s">
        <v>200</v>
      </c>
      <c r="AC71" s="20"/>
      <c r="AD71" s="20" t="s">
        <v>1243</v>
      </c>
    </row>
    <row r="72" spans="1:30" ht="15.75" customHeight="1">
      <c r="A72" s="8">
        <v>71</v>
      </c>
      <c r="B72" s="20" t="s">
        <v>1244</v>
      </c>
      <c r="C72" s="20" t="s">
        <v>1245</v>
      </c>
      <c r="D72" s="159"/>
      <c r="E72" s="159"/>
      <c r="F72" s="159"/>
      <c r="G72" s="159"/>
      <c r="H72" s="159"/>
      <c r="I72" s="159"/>
      <c r="J72" s="159"/>
      <c r="K72" s="159"/>
      <c r="L72" s="159"/>
      <c r="M72" s="159"/>
      <c r="N72" s="167">
        <v>50</v>
      </c>
      <c r="O72" s="209"/>
      <c r="P72" s="167"/>
      <c r="Q72" s="178">
        <v>44049</v>
      </c>
      <c r="R72" s="169">
        <v>44049</v>
      </c>
      <c r="S72" s="169">
        <v>44049</v>
      </c>
      <c r="T72" s="8" t="s">
        <v>170</v>
      </c>
      <c r="U72" s="167" t="s">
        <v>1246</v>
      </c>
      <c r="V72" s="167" t="s">
        <v>1247</v>
      </c>
      <c r="W72" s="167">
        <v>507487738</v>
      </c>
      <c r="X72" s="20" t="s">
        <v>1248</v>
      </c>
      <c r="Y72" s="20" t="s">
        <v>1249</v>
      </c>
      <c r="Z72" s="20"/>
      <c r="AA72" s="20">
        <v>240</v>
      </c>
      <c r="AB72" s="40" t="s">
        <v>200</v>
      </c>
      <c r="AC72" s="20" t="s">
        <v>1250</v>
      </c>
      <c r="AD72" s="20"/>
    </row>
    <row r="73" spans="1:30" ht="15.75" customHeight="1">
      <c r="A73" s="8">
        <v>72</v>
      </c>
      <c r="B73" s="20" t="s">
        <v>1251</v>
      </c>
      <c r="C73" s="20" t="s">
        <v>1252</v>
      </c>
      <c r="D73" s="159"/>
      <c r="E73" s="159"/>
      <c r="F73" s="159"/>
      <c r="G73" s="159"/>
      <c r="H73" s="159"/>
      <c r="I73" s="159"/>
      <c r="J73" s="159"/>
      <c r="K73" s="159"/>
      <c r="L73" s="159"/>
      <c r="M73" s="159"/>
      <c r="N73" s="167">
        <v>50</v>
      </c>
      <c r="O73" s="209">
        <v>50</v>
      </c>
      <c r="P73" s="167"/>
      <c r="Q73" s="178">
        <v>44060</v>
      </c>
      <c r="R73" s="169">
        <v>44061</v>
      </c>
      <c r="S73" s="169">
        <v>44425</v>
      </c>
      <c r="T73" s="8" t="s">
        <v>170</v>
      </c>
      <c r="U73" s="167" t="s">
        <v>1253</v>
      </c>
      <c r="V73" s="167" t="s">
        <v>1254</v>
      </c>
      <c r="W73" s="167">
        <v>781750936</v>
      </c>
      <c r="X73" s="20" t="s">
        <v>1255</v>
      </c>
      <c r="Y73" s="20" t="s">
        <v>1256</v>
      </c>
      <c r="Z73" s="20"/>
      <c r="AA73" s="20">
        <v>241</v>
      </c>
      <c r="AB73" s="40" t="s">
        <v>200</v>
      </c>
      <c r="AC73" s="20" t="s">
        <v>1257</v>
      </c>
      <c r="AD73" s="20"/>
    </row>
    <row r="74" spans="1:30" ht="15.75" customHeight="1">
      <c r="A74" s="8">
        <v>73</v>
      </c>
      <c r="B74" s="20" t="s">
        <v>568</v>
      </c>
      <c r="C74" s="20" t="s">
        <v>1258</v>
      </c>
      <c r="D74" s="159"/>
      <c r="E74" s="159"/>
      <c r="F74" s="159"/>
      <c r="G74" s="159"/>
      <c r="H74" s="159"/>
      <c r="I74" s="159"/>
      <c r="J74" s="159"/>
      <c r="K74" s="159"/>
      <c r="L74" s="159"/>
      <c r="M74" s="159"/>
      <c r="N74" s="167">
        <v>50</v>
      </c>
      <c r="O74" s="209"/>
      <c r="P74" s="167"/>
      <c r="Q74" s="178">
        <v>44064</v>
      </c>
      <c r="R74" s="169">
        <v>44064</v>
      </c>
      <c r="S74" s="169">
        <v>44064</v>
      </c>
      <c r="T74" s="8" t="s">
        <v>170</v>
      </c>
      <c r="U74" s="167" t="s">
        <v>1259</v>
      </c>
      <c r="V74" s="167" t="s">
        <v>1260</v>
      </c>
      <c r="W74" s="167">
        <v>530115465</v>
      </c>
      <c r="X74" s="20"/>
      <c r="Y74" s="20" t="s">
        <v>1261</v>
      </c>
      <c r="Z74" s="20"/>
      <c r="AA74" s="20">
        <v>242</v>
      </c>
      <c r="AB74" s="20"/>
      <c r="AC74" s="20"/>
      <c r="AD74" s="20"/>
    </row>
    <row r="75" spans="1:30" ht="15.75" customHeight="1">
      <c r="A75" s="8">
        <v>74</v>
      </c>
      <c r="B75" s="20" t="s">
        <v>268</v>
      </c>
      <c r="C75" s="20" t="s">
        <v>1262</v>
      </c>
      <c r="D75" s="159"/>
      <c r="E75" s="159"/>
      <c r="F75" s="159"/>
      <c r="G75" s="159"/>
      <c r="H75" s="159"/>
      <c r="I75" s="159"/>
      <c r="J75" s="159"/>
      <c r="K75" s="159"/>
      <c r="L75" s="159"/>
      <c r="M75" s="159"/>
      <c r="N75" s="167">
        <v>50</v>
      </c>
      <c r="O75" s="209"/>
      <c r="P75" s="167"/>
      <c r="Q75" s="178">
        <v>44065</v>
      </c>
      <c r="R75" s="169">
        <v>44067</v>
      </c>
      <c r="S75" s="169">
        <v>44067</v>
      </c>
      <c r="T75" s="8" t="s">
        <v>170</v>
      </c>
      <c r="U75" s="167" t="s">
        <v>1263</v>
      </c>
      <c r="V75" s="167" t="s">
        <v>1264</v>
      </c>
      <c r="W75" s="167">
        <v>504687381</v>
      </c>
      <c r="X75" s="20"/>
      <c r="Y75" s="20" t="s">
        <v>1265</v>
      </c>
      <c r="Z75" s="20"/>
      <c r="AA75" s="20">
        <v>243</v>
      </c>
      <c r="AB75" s="20"/>
      <c r="AC75" s="20" t="s">
        <v>1266</v>
      </c>
      <c r="AD75" s="20"/>
    </row>
    <row r="76" spans="1:30" ht="15.75" customHeight="1">
      <c r="A76" s="8">
        <v>75</v>
      </c>
      <c r="B76" s="20" t="s">
        <v>371</v>
      </c>
      <c r="C76" s="20" t="s">
        <v>1267</v>
      </c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67">
        <v>50</v>
      </c>
      <c r="O76" s="209"/>
      <c r="P76" s="167"/>
      <c r="Q76" s="178">
        <v>44070</v>
      </c>
      <c r="R76" s="169">
        <v>44071</v>
      </c>
      <c r="S76" s="169">
        <v>44071</v>
      </c>
      <c r="T76" s="8" t="s">
        <v>170</v>
      </c>
      <c r="U76" s="167" t="s">
        <v>1268</v>
      </c>
      <c r="V76" s="167" t="s">
        <v>1269</v>
      </c>
      <c r="W76" s="167">
        <v>667428177</v>
      </c>
      <c r="X76" s="20"/>
      <c r="Y76" s="20" t="s">
        <v>1270</v>
      </c>
      <c r="Z76" s="20"/>
      <c r="AA76" s="20">
        <v>244</v>
      </c>
      <c r="AB76" s="20"/>
      <c r="AC76" s="20" t="s">
        <v>1271</v>
      </c>
      <c r="AD76" s="20"/>
    </row>
    <row r="77" spans="1:30" ht="15.75" customHeight="1">
      <c r="A77" s="8">
        <v>76</v>
      </c>
      <c r="B77" s="20" t="s">
        <v>1272</v>
      </c>
      <c r="C77" s="20" t="s">
        <v>1273</v>
      </c>
      <c r="D77" s="159"/>
      <c r="E77" s="159"/>
      <c r="F77" s="159"/>
      <c r="G77" s="159"/>
      <c r="H77" s="159"/>
      <c r="I77" s="159"/>
      <c r="J77" s="159"/>
      <c r="K77" s="159"/>
      <c r="L77" s="159"/>
      <c r="M77" s="159"/>
      <c r="N77" s="167">
        <v>50</v>
      </c>
      <c r="O77" s="209"/>
      <c r="P77" s="167"/>
      <c r="Q77" s="178">
        <v>44074</v>
      </c>
      <c r="R77" s="169">
        <v>44074</v>
      </c>
      <c r="S77" s="169">
        <v>44074</v>
      </c>
      <c r="T77" s="8" t="s">
        <v>170</v>
      </c>
      <c r="U77" s="167" t="s">
        <v>1274</v>
      </c>
      <c r="V77" s="167" t="s">
        <v>1275</v>
      </c>
      <c r="W77" s="167">
        <v>570633458</v>
      </c>
      <c r="X77" s="20"/>
      <c r="Y77" s="20" t="s">
        <v>1276</v>
      </c>
      <c r="Z77" s="20"/>
      <c r="AA77" s="20">
        <v>245</v>
      </c>
      <c r="AB77" s="20"/>
      <c r="AC77" s="20"/>
      <c r="AD77" s="20"/>
    </row>
    <row r="78" spans="1:30" ht="15.75" customHeight="1">
      <c r="A78" s="8">
        <v>77</v>
      </c>
      <c r="B78" s="20" t="s">
        <v>1277</v>
      </c>
      <c r="C78" s="20" t="s">
        <v>1278</v>
      </c>
      <c r="D78" s="159"/>
      <c r="E78" s="159"/>
      <c r="F78" s="159"/>
      <c r="G78" s="159"/>
      <c r="H78" s="159"/>
      <c r="I78" s="159"/>
      <c r="J78" s="159"/>
      <c r="K78" s="159"/>
      <c r="L78" s="159"/>
      <c r="M78" s="159"/>
      <c r="N78" s="167">
        <v>50</v>
      </c>
      <c r="O78" s="209"/>
      <c r="P78" s="167"/>
      <c r="Q78" s="178">
        <v>44077</v>
      </c>
      <c r="R78" s="169">
        <v>44078</v>
      </c>
      <c r="S78" s="169">
        <v>44078</v>
      </c>
      <c r="T78" s="8" t="s">
        <v>170</v>
      </c>
      <c r="U78" s="167" t="s">
        <v>1279</v>
      </c>
      <c r="V78" s="167" t="s">
        <v>1280</v>
      </c>
      <c r="W78" s="186">
        <v>514741060</v>
      </c>
      <c r="X78" s="230"/>
      <c r="Y78" s="20" t="s">
        <v>1281</v>
      </c>
      <c r="Z78" s="20"/>
      <c r="AA78" s="20">
        <v>246</v>
      </c>
      <c r="AB78" s="20"/>
      <c r="AC78" s="141" t="s">
        <v>1282</v>
      </c>
      <c r="AD78" s="20"/>
    </row>
    <row r="79" spans="1:30" ht="15.75" customHeight="1">
      <c r="A79" s="8">
        <v>78</v>
      </c>
      <c r="B79" s="20" t="s">
        <v>1283</v>
      </c>
      <c r="C79" s="20" t="s">
        <v>1284</v>
      </c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67">
        <v>50</v>
      </c>
      <c r="O79" s="209"/>
      <c r="P79" s="167"/>
      <c r="Q79" s="178">
        <v>44081</v>
      </c>
      <c r="R79" s="169">
        <v>44081</v>
      </c>
      <c r="S79" s="169">
        <v>44081</v>
      </c>
      <c r="T79" s="8" t="s">
        <v>170</v>
      </c>
      <c r="U79" s="167" t="s">
        <v>1285</v>
      </c>
      <c r="V79" s="167" t="s">
        <v>1286</v>
      </c>
      <c r="W79" s="167">
        <v>12218158</v>
      </c>
      <c r="X79" s="230"/>
      <c r="Y79" s="20" t="s">
        <v>1287</v>
      </c>
      <c r="Z79" s="20"/>
      <c r="AA79" s="20">
        <v>247</v>
      </c>
      <c r="AB79" s="20"/>
      <c r="AC79" s="20" t="s">
        <v>1288</v>
      </c>
      <c r="AD79" s="20" t="s">
        <v>1289</v>
      </c>
    </row>
    <row r="80" spans="1:30" ht="15.75" customHeight="1">
      <c r="A80" s="8">
        <v>79</v>
      </c>
      <c r="B80" s="20" t="s">
        <v>21</v>
      </c>
      <c r="C80" s="20" t="s">
        <v>1290</v>
      </c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67">
        <v>50</v>
      </c>
      <c r="O80" s="209">
        <v>50</v>
      </c>
      <c r="P80" s="167"/>
      <c r="Q80" s="178">
        <v>44085</v>
      </c>
      <c r="R80" s="169">
        <v>44088</v>
      </c>
      <c r="S80" s="169">
        <v>44505</v>
      </c>
      <c r="T80" s="8" t="s">
        <v>170</v>
      </c>
      <c r="U80" s="167" t="s">
        <v>1291</v>
      </c>
      <c r="V80" s="167" t="s">
        <v>1292</v>
      </c>
      <c r="W80" s="167">
        <v>609262862</v>
      </c>
      <c r="X80" s="141" t="s">
        <v>1293</v>
      </c>
      <c r="Y80" s="20" t="s">
        <v>1294</v>
      </c>
      <c r="Z80" s="20"/>
      <c r="AA80" s="20">
        <v>248</v>
      </c>
      <c r="AB80" s="20"/>
      <c r="AC80" s="141" t="s">
        <v>1293</v>
      </c>
      <c r="AD80" s="20"/>
    </row>
    <row r="81" spans="1:30" ht="15.75" customHeight="1">
      <c r="A81" s="8">
        <v>80</v>
      </c>
      <c r="B81" s="20" t="s">
        <v>919</v>
      </c>
      <c r="C81" s="20" t="s">
        <v>1299</v>
      </c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67">
        <v>50</v>
      </c>
      <c r="O81" s="209"/>
      <c r="P81" s="167"/>
      <c r="Q81" s="178">
        <v>44089</v>
      </c>
      <c r="R81" s="169">
        <v>44089</v>
      </c>
      <c r="S81" s="169">
        <v>44089</v>
      </c>
      <c r="T81" s="8" t="s">
        <v>170</v>
      </c>
      <c r="U81" s="167" t="s">
        <v>1300</v>
      </c>
      <c r="V81" s="167" t="s">
        <v>1301</v>
      </c>
      <c r="W81" s="167">
        <v>505836886</v>
      </c>
      <c r="X81" s="230"/>
      <c r="Y81" s="20" t="s">
        <v>1302</v>
      </c>
      <c r="Z81" s="20"/>
      <c r="AA81" s="20">
        <v>249</v>
      </c>
      <c r="AB81" s="20"/>
      <c r="AC81" s="20"/>
      <c r="AD81" s="20"/>
    </row>
    <row r="82" spans="1:30" ht="15.75" customHeight="1">
      <c r="A82" s="8">
        <v>81</v>
      </c>
      <c r="B82" s="20" t="s">
        <v>48</v>
      </c>
      <c r="C82" s="20" t="s">
        <v>1308</v>
      </c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67">
        <v>50</v>
      </c>
      <c r="O82" s="209"/>
      <c r="P82" s="167"/>
      <c r="Q82" s="178">
        <v>44098</v>
      </c>
      <c r="R82" s="169">
        <v>44109</v>
      </c>
      <c r="S82" s="169">
        <v>44109</v>
      </c>
      <c r="T82" s="8" t="s">
        <v>170</v>
      </c>
      <c r="U82" s="167" t="s">
        <v>1309</v>
      </c>
      <c r="V82" s="167" t="s">
        <v>1310</v>
      </c>
      <c r="W82" s="167">
        <v>728762692</v>
      </c>
      <c r="X82" s="230"/>
      <c r="Y82" s="20" t="s">
        <v>1311</v>
      </c>
      <c r="Z82" s="20"/>
      <c r="AA82" s="20">
        <v>250</v>
      </c>
      <c r="AB82" s="20"/>
      <c r="AC82" s="20"/>
      <c r="AD82" s="20"/>
    </row>
    <row r="83" spans="1:30" ht="15.75" customHeight="1">
      <c r="A83" s="8">
        <v>82</v>
      </c>
      <c r="B83" s="20" t="s">
        <v>1312</v>
      </c>
      <c r="C83" s="20" t="s">
        <v>1313</v>
      </c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67">
        <v>50</v>
      </c>
      <c r="O83" s="209"/>
      <c r="P83" s="167"/>
      <c r="Q83" s="178">
        <v>44051</v>
      </c>
      <c r="R83" s="169">
        <v>44053</v>
      </c>
      <c r="S83" s="169">
        <v>44053</v>
      </c>
      <c r="T83" s="8" t="s">
        <v>170</v>
      </c>
      <c r="U83" s="167" t="s">
        <v>1314</v>
      </c>
      <c r="V83" s="167" t="s">
        <v>1315</v>
      </c>
      <c r="W83" s="167">
        <v>662522961</v>
      </c>
      <c r="X83" s="20" t="s">
        <v>1316</v>
      </c>
      <c r="Y83" s="20" t="s">
        <v>1317</v>
      </c>
      <c r="Z83" s="20"/>
      <c r="AA83" s="20">
        <v>251</v>
      </c>
      <c r="AB83" s="40" t="s">
        <v>200</v>
      </c>
      <c r="AC83" s="20"/>
      <c r="AD83" s="20"/>
    </row>
    <row r="84" spans="1:30" ht="15.75" customHeight="1">
      <c r="A84" s="8">
        <v>83</v>
      </c>
      <c r="B84" s="20" t="s">
        <v>618</v>
      </c>
      <c r="C84" s="20" t="s">
        <v>1318</v>
      </c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67">
        <v>50</v>
      </c>
      <c r="O84" s="209"/>
      <c r="P84" s="167"/>
      <c r="Q84" s="178">
        <v>44122</v>
      </c>
      <c r="R84" s="169">
        <v>44123</v>
      </c>
      <c r="S84" s="169">
        <v>44123</v>
      </c>
      <c r="T84" s="8" t="s">
        <v>170</v>
      </c>
      <c r="U84" s="167" t="s">
        <v>1319</v>
      </c>
      <c r="V84" s="167" t="s">
        <v>933</v>
      </c>
      <c r="W84" s="167">
        <v>509291245</v>
      </c>
      <c r="X84" s="20"/>
      <c r="Y84" s="20" t="s">
        <v>1320</v>
      </c>
      <c r="Z84" s="20"/>
      <c r="AA84" s="20">
        <v>252</v>
      </c>
      <c r="AB84" s="20"/>
      <c r="AC84" s="20"/>
      <c r="AD84" s="20"/>
    </row>
    <row r="85" spans="1:30" ht="15.75" customHeight="1">
      <c r="A85" s="8">
        <v>84</v>
      </c>
      <c r="B85" s="20" t="s">
        <v>1149</v>
      </c>
      <c r="C85" s="20" t="s">
        <v>1321</v>
      </c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67"/>
      <c r="O85" s="209"/>
      <c r="P85" s="167"/>
      <c r="Q85" s="178">
        <v>44146</v>
      </c>
      <c r="R85" s="20"/>
      <c r="S85" s="20"/>
      <c r="T85" s="237" t="s">
        <v>1322</v>
      </c>
      <c r="U85" s="167" t="s">
        <v>1323</v>
      </c>
      <c r="V85" s="167" t="s">
        <v>1324</v>
      </c>
      <c r="W85" s="167">
        <v>665981182</v>
      </c>
      <c r="X85" s="20" t="s">
        <v>1325</v>
      </c>
      <c r="Y85" s="20" t="s">
        <v>1326</v>
      </c>
      <c r="Z85" s="20"/>
      <c r="AA85" s="20">
        <v>253</v>
      </c>
      <c r="AB85" s="20"/>
      <c r="AC85" s="20" t="s">
        <v>1325</v>
      </c>
      <c r="AD85" s="20"/>
    </row>
    <row r="86" spans="1:30" ht="15.75" customHeight="1">
      <c r="A86" s="8">
        <v>85</v>
      </c>
      <c r="B86" s="20" t="s">
        <v>371</v>
      </c>
      <c r="C86" s="20" t="s">
        <v>1327</v>
      </c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67">
        <v>50</v>
      </c>
      <c r="O86" s="209"/>
      <c r="P86" s="167"/>
      <c r="Q86" s="178">
        <v>44153</v>
      </c>
      <c r="R86" s="169">
        <v>44154</v>
      </c>
      <c r="S86" s="169">
        <v>44154</v>
      </c>
      <c r="T86" s="8" t="s">
        <v>170</v>
      </c>
      <c r="U86" s="167" t="s">
        <v>1328</v>
      </c>
      <c r="V86" s="167" t="s">
        <v>1329</v>
      </c>
      <c r="W86" s="167">
        <v>607516664</v>
      </c>
      <c r="X86" s="20"/>
      <c r="Y86" s="20" t="s">
        <v>1330</v>
      </c>
      <c r="Z86" s="20"/>
      <c r="AA86" s="20">
        <v>254</v>
      </c>
      <c r="AB86" s="20"/>
      <c r="AC86" s="20"/>
      <c r="AD86" s="20"/>
    </row>
    <row r="87" spans="1:30" ht="15.75" customHeight="1">
      <c r="A87" s="8">
        <v>86</v>
      </c>
      <c r="B87" s="20" t="s">
        <v>1048</v>
      </c>
      <c r="C87" s="20" t="s">
        <v>1049</v>
      </c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67">
        <v>50</v>
      </c>
      <c r="O87" s="209"/>
      <c r="P87" s="167"/>
      <c r="Q87" s="178">
        <v>44155</v>
      </c>
      <c r="R87" s="169">
        <v>44155</v>
      </c>
      <c r="S87" s="169">
        <v>44155</v>
      </c>
      <c r="T87" s="8" t="s">
        <v>170</v>
      </c>
      <c r="U87" s="167" t="s">
        <v>1331</v>
      </c>
      <c r="V87" s="167" t="s">
        <v>1051</v>
      </c>
      <c r="W87" s="167">
        <v>607758544</v>
      </c>
      <c r="X87" s="20"/>
      <c r="Y87" s="20" t="s">
        <v>1052</v>
      </c>
      <c r="Z87" s="20"/>
      <c r="AA87" s="20">
        <v>255</v>
      </c>
      <c r="AB87" s="20"/>
      <c r="AC87" s="20" t="s">
        <v>1332</v>
      </c>
      <c r="AD87" s="20"/>
    </row>
    <row r="88" spans="1:30" ht="15.75" customHeight="1">
      <c r="A88" s="8">
        <v>87</v>
      </c>
      <c r="B88" s="20" t="s">
        <v>1333</v>
      </c>
      <c r="C88" s="20" t="s">
        <v>1334</v>
      </c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67">
        <v>50</v>
      </c>
      <c r="O88" s="209"/>
      <c r="P88" s="167"/>
      <c r="Q88" s="178">
        <v>44160</v>
      </c>
      <c r="R88" s="169">
        <v>44160</v>
      </c>
      <c r="S88" s="169">
        <v>44160</v>
      </c>
      <c r="T88" s="8" t="s">
        <v>170</v>
      </c>
      <c r="U88" s="167" t="s">
        <v>1335</v>
      </c>
      <c r="V88" s="167" t="s">
        <v>815</v>
      </c>
      <c r="W88" s="167">
        <v>690490873</v>
      </c>
      <c r="X88" s="20"/>
      <c r="Y88" s="20" t="s">
        <v>1336</v>
      </c>
      <c r="Z88" s="20"/>
      <c r="AA88" s="20">
        <v>256</v>
      </c>
      <c r="AB88" s="20"/>
      <c r="AC88" s="20"/>
      <c r="AD88" s="20"/>
    </row>
    <row r="89" spans="1:30" ht="15.75" customHeight="1">
      <c r="A89" s="8">
        <v>88</v>
      </c>
      <c r="B89" s="20" t="s">
        <v>481</v>
      </c>
      <c r="C89" s="20" t="s">
        <v>1337</v>
      </c>
      <c r="D89" s="159"/>
      <c r="E89" s="159"/>
      <c r="F89" s="159"/>
      <c r="G89" s="159"/>
      <c r="H89" s="159"/>
      <c r="I89" s="159"/>
      <c r="J89" s="159"/>
      <c r="K89" s="159"/>
      <c r="L89" s="159"/>
      <c r="M89" s="159"/>
      <c r="N89" s="167">
        <v>50</v>
      </c>
      <c r="O89" s="209"/>
      <c r="P89" s="167"/>
      <c r="Q89" s="178">
        <v>44163</v>
      </c>
      <c r="R89" s="169">
        <v>44165</v>
      </c>
      <c r="S89" s="169">
        <v>44165</v>
      </c>
      <c r="T89" s="8" t="s">
        <v>170</v>
      </c>
      <c r="U89" s="167" t="s">
        <v>1338</v>
      </c>
      <c r="V89" s="167" t="s">
        <v>1339</v>
      </c>
      <c r="W89" s="167">
        <v>783872327</v>
      </c>
      <c r="X89" s="20" t="s">
        <v>1340</v>
      </c>
      <c r="Y89" s="20" t="s">
        <v>1341</v>
      </c>
      <c r="Z89" s="20"/>
      <c r="AA89" s="20">
        <v>257</v>
      </c>
      <c r="AB89" s="20"/>
      <c r="AC89" s="20" t="s">
        <v>1342</v>
      </c>
      <c r="AD89" s="20"/>
    </row>
    <row r="90" spans="1:30" ht="15.75" customHeight="1">
      <c r="A90" s="8">
        <v>89</v>
      </c>
      <c r="B90" s="20" t="s">
        <v>481</v>
      </c>
      <c r="C90" s="20" t="s">
        <v>1351</v>
      </c>
      <c r="D90" s="159"/>
      <c r="E90" s="159"/>
      <c r="F90" s="159"/>
      <c r="G90" s="159"/>
      <c r="H90" s="159"/>
      <c r="I90" s="159"/>
      <c r="J90" s="159"/>
      <c r="K90" s="159"/>
      <c r="L90" s="159"/>
      <c r="M90" s="159"/>
      <c r="N90" s="227">
        <v>50</v>
      </c>
      <c r="O90" s="39"/>
      <c r="P90" s="20"/>
      <c r="Q90" s="178">
        <v>44194</v>
      </c>
      <c r="R90" s="169">
        <v>44195</v>
      </c>
      <c r="S90" s="169">
        <v>44195</v>
      </c>
      <c r="T90" s="8" t="s">
        <v>170</v>
      </c>
      <c r="U90" s="167" t="s">
        <v>1352</v>
      </c>
      <c r="V90" s="167" t="s">
        <v>1353</v>
      </c>
      <c r="W90" s="167">
        <v>696201822</v>
      </c>
      <c r="X90" s="20"/>
      <c r="Y90" s="20" t="s">
        <v>1354</v>
      </c>
      <c r="Z90" s="20"/>
      <c r="AA90" s="20">
        <v>258</v>
      </c>
      <c r="AB90" s="20"/>
      <c r="AC90" s="20"/>
      <c r="AD90" s="20"/>
    </row>
    <row r="91" spans="1:30" ht="15.75" customHeight="1">
      <c r="A91" s="8">
        <v>90</v>
      </c>
      <c r="B91" s="20" t="s">
        <v>429</v>
      </c>
      <c r="C91" s="20" t="s">
        <v>1366</v>
      </c>
      <c r="D91" s="159"/>
      <c r="E91" s="159"/>
      <c r="F91" s="159"/>
      <c r="G91" s="159"/>
      <c r="H91" s="159"/>
      <c r="I91" s="159"/>
      <c r="J91" s="159"/>
      <c r="K91" s="159"/>
      <c r="L91" s="159"/>
      <c r="M91" s="159"/>
      <c r="N91" s="159"/>
      <c r="O91" s="248">
        <v>50</v>
      </c>
      <c r="P91" s="167"/>
      <c r="Q91" s="178">
        <v>44197</v>
      </c>
      <c r="R91" s="169">
        <v>44200</v>
      </c>
      <c r="S91" s="169">
        <v>44200</v>
      </c>
      <c r="T91" s="8" t="s">
        <v>170</v>
      </c>
      <c r="U91" s="167" t="s">
        <v>1367</v>
      </c>
      <c r="V91" s="167" t="s">
        <v>1368</v>
      </c>
      <c r="W91" s="167">
        <v>662125852</v>
      </c>
      <c r="X91" s="20"/>
      <c r="Y91" s="20" t="s">
        <v>1369</v>
      </c>
      <c r="Z91" s="20"/>
      <c r="AA91" s="20">
        <v>259</v>
      </c>
      <c r="AB91" s="20"/>
      <c r="AC91" s="20" t="s">
        <v>1370</v>
      </c>
      <c r="AD91" s="20"/>
    </row>
    <row r="92" spans="1:30" ht="15.75" customHeight="1">
      <c r="A92" s="8">
        <v>91</v>
      </c>
      <c r="B92" s="20" t="s">
        <v>300</v>
      </c>
      <c r="C92" s="20" t="s">
        <v>1371</v>
      </c>
      <c r="D92" s="159"/>
      <c r="E92" s="159"/>
      <c r="F92" s="159"/>
      <c r="G92" s="159"/>
      <c r="H92" s="159"/>
      <c r="I92" s="159"/>
      <c r="J92" s="159"/>
      <c r="K92" s="159"/>
      <c r="L92" s="159"/>
      <c r="M92" s="159"/>
      <c r="N92" s="159"/>
      <c r="O92" s="248">
        <v>50</v>
      </c>
      <c r="P92" s="167"/>
      <c r="Q92" s="178">
        <v>44198</v>
      </c>
      <c r="R92" s="169">
        <v>44200</v>
      </c>
      <c r="S92" s="169">
        <v>44200</v>
      </c>
      <c r="T92" s="8" t="s">
        <v>170</v>
      </c>
      <c r="U92" s="167" t="s">
        <v>1372</v>
      </c>
      <c r="V92" s="167" t="s">
        <v>522</v>
      </c>
      <c r="W92" s="167">
        <v>663126167</v>
      </c>
      <c r="X92" s="20"/>
      <c r="Y92" s="20" t="s">
        <v>1373</v>
      </c>
      <c r="Z92" s="20"/>
      <c r="AA92" s="20">
        <v>260</v>
      </c>
      <c r="AB92" s="20"/>
      <c r="AC92" s="20" t="s">
        <v>1374</v>
      </c>
      <c r="AD92" s="20"/>
    </row>
    <row r="93" spans="1:30" ht="15.75" customHeight="1">
      <c r="A93" s="8">
        <v>92</v>
      </c>
      <c r="B93" s="20" t="s">
        <v>228</v>
      </c>
      <c r="C93" s="20" t="s">
        <v>1375</v>
      </c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248">
        <v>50</v>
      </c>
      <c r="P93" s="167"/>
      <c r="Q93" s="178">
        <v>44201</v>
      </c>
      <c r="R93" s="169">
        <v>44204</v>
      </c>
      <c r="S93" s="169">
        <v>44204</v>
      </c>
      <c r="T93" s="8" t="s">
        <v>170</v>
      </c>
      <c r="U93" s="167" t="s">
        <v>1376</v>
      </c>
      <c r="V93" s="167" t="s">
        <v>1377</v>
      </c>
      <c r="W93" s="167" t="s">
        <v>1378</v>
      </c>
      <c r="X93" s="20"/>
      <c r="Y93" s="20" t="s">
        <v>1379</v>
      </c>
      <c r="Z93" s="20"/>
      <c r="AA93" s="20">
        <v>261</v>
      </c>
      <c r="AB93" s="20"/>
      <c r="AC93" s="20" t="s">
        <v>1380</v>
      </c>
      <c r="AD93" s="20"/>
    </row>
    <row r="94" spans="1:30" ht="15.75" customHeight="1">
      <c r="A94" s="8">
        <v>93</v>
      </c>
      <c r="B94" s="20" t="s">
        <v>515</v>
      </c>
      <c r="C94" s="20" t="s">
        <v>455</v>
      </c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248">
        <v>50</v>
      </c>
      <c r="P94" s="40">
        <v>50</v>
      </c>
      <c r="Q94" s="178">
        <v>44203</v>
      </c>
      <c r="R94" s="169">
        <v>44203</v>
      </c>
      <c r="S94" s="169">
        <v>44578</v>
      </c>
      <c r="T94" s="8" t="s">
        <v>170</v>
      </c>
      <c r="U94" s="167" t="s">
        <v>1381</v>
      </c>
      <c r="V94" s="167" t="s">
        <v>1382</v>
      </c>
      <c r="W94" s="167">
        <v>887096323</v>
      </c>
      <c r="X94" s="20" t="s">
        <v>1383</v>
      </c>
      <c r="Y94" s="20" t="s">
        <v>1384</v>
      </c>
      <c r="Z94" s="20"/>
      <c r="AA94" s="20">
        <v>262</v>
      </c>
      <c r="AB94" s="20"/>
      <c r="AC94" s="20" t="s">
        <v>1385</v>
      </c>
      <c r="AD94" s="20"/>
    </row>
    <row r="95" spans="1:30" ht="15.75" customHeight="1">
      <c r="A95" s="8">
        <v>94</v>
      </c>
      <c r="B95" s="20" t="s">
        <v>325</v>
      </c>
      <c r="C95" s="20" t="s">
        <v>544</v>
      </c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248">
        <v>50</v>
      </c>
      <c r="P95" s="167"/>
      <c r="Q95" s="178">
        <v>44203</v>
      </c>
      <c r="R95" s="169">
        <v>44204</v>
      </c>
      <c r="S95" s="169">
        <v>44204</v>
      </c>
      <c r="T95" s="8" t="s">
        <v>170</v>
      </c>
      <c r="U95" s="167" t="s">
        <v>1386</v>
      </c>
      <c r="V95" s="167" t="s">
        <v>606</v>
      </c>
      <c r="W95" s="167">
        <v>604254331</v>
      </c>
      <c r="X95" s="20" t="s">
        <v>607</v>
      </c>
      <c r="Y95" s="20" t="s">
        <v>547</v>
      </c>
      <c r="Z95" s="20"/>
      <c r="AA95" s="20">
        <v>263</v>
      </c>
      <c r="AB95" s="20"/>
      <c r="AC95" s="20" t="s">
        <v>743</v>
      </c>
      <c r="AD95" s="20"/>
    </row>
    <row r="96" spans="1:30" ht="15.75" customHeight="1">
      <c r="A96" s="8">
        <v>95</v>
      </c>
      <c r="B96" s="20" t="s">
        <v>300</v>
      </c>
      <c r="C96" s="20" t="s">
        <v>1387</v>
      </c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248">
        <v>50</v>
      </c>
      <c r="P96" s="167"/>
      <c r="Q96" s="178">
        <v>44207</v>
      </c>
      <c r="R96" s="169">
        <v>44207</v>
      </c>
      <c r="S96" s="169">
        <v>44207</v>
      </c>
      <c r="T96" s="8" t="s">
        <v>170</v>
      </c>
      <c r="U96" s="167" t="s">
        <v>1388</v>
      </c>
      <c r="V96" s="167" t="s">
        <v>1364</v>
      </c>
      <c r="W96" s="167">
        <v>508805091</v>
      </c>
      <c r="X96" s="20"/>
      <c r="Y96" s="20" t="s">
        <v>1389</v>
      </c>
      <c r="Z96" s="20"/>
      <c r="AA96" s="20">
        <v>264</v>
      </c>
      <c r="AB96" s="20"/>
      <c r="AC96" s="20" t="s">
        <v>1390</v>
      </c>
      <c r="AD96" s="20"/>
    </row>
    <row r="97" spans="1:30" ht="15.75" customHeight="1">
      <c r="A97" s="8">
        <v>96</v>
      </c>
      <c r="B97" s="20" t="s">
        <v>515</v>
      </c>
      <c r="C97" s="20" t="s">
        <v>1391</v>
      </c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248">
        <v>50</v>
      </c>
      <c r="P97" s="167"/>
      <c r="Q97" s="178">
        <v>44210</v>
      </c>
      <c r="R97" s="169">
        <v>44210</v>
      </c>
      <c r="S97" s="169">
        <v>44210</v>
      </c>
      <c r="T97" s="8" t="s">
        <v>170</v>
      </c>
      <c r="U97" s="167" t="s">
        <v>1392</v>
      </c>
      <c r="V97" s="167" t="s">
        <v>1393</v>
      </c>
      <c r="W97" s="167">
        <v>506966421</v>
      </c>
      <c r="X97" s="20"/>
      <c r="Y97" s="20" t="s">
        <v>1394</v>
      </c>
      <c r="Z97" s="20"/>
      <c r="AA97" s="20">
        <v>265</v>
      </c>
      <c r="AB97" s="20"/>
      <c r="AC97" s="20" t="s">
        <v>1395</v>
      </c>
      <c r="AD97" s="20"/>
    </row>
    <row r="98" spans="1:30" ht="15.75" customHeight="1">
      <c r="A98" s="8">
        <v>97</v>
      </c>
      <c r="B98" s="20" t="s">
        <v>1396</v>
      </c>
      <c r="C98" s="20" t="s">
        <v>638</v>
      </c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248">
        <v>50</v>
      </c>
      <c r="P98" s="167"/>
      <c r="Q98" s="178">
        <v>44197</v>
      </c>
      <c r="R98" s="169">
        <v>44211</v>
      </c>
      <c r="S98" s="169">
        <v>44211</v>
      </c>
      <c r="T98" s="18" t="s">
        <v>689</v>
      </c>
      <c r="U98" s="167" t="s">
        <v>995</v>
      </c>
      <c r="V98" s="167" t="s">
        <v>640</v>
      </c>
      <c r="W98" s="20"/>
      <c r="X98" s="20"/>
      <c r="Y98" s="20" t="s">
        <v>1397</v>
      </c>
      <c r="Z98" s="20"/>
      <c r="AA98" s="20">
        <v>266</v>
      </c>
      <c r="AB98" s="20"/>
      <c r="AC98" s="20"/>
      <c r="AD98" s="20"/>
    </row>
    <row r="99" spans="1:30" ht="15.75" customHeight="1">
      <c r="A99" s="8">
        <v>98</v>
      </c>
      <c r="B99" s="20" t="s">
        <v>696</v>
      </c>
      <c r="C99" s="20" t="s">
        <v>1398</v>
      </c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209">
        <v>50</v>
      </c>
      <c r="P99" s="167"/>
      <c r="Q99" s="178">
        <v>44234</v>
      </c>
      <c r="R99" s="169">
        <v>44235</v>
      </c>
      <c r="S99" s="169">
        <v>44235</v>
      </c>
      <c r="T99" s="8" t="s">
        <v>170</v>
      </c>
      <c r="U99" s="167" t="s">
        <v>1399</v>
      </c>
      <c r="V99" s="167" t="s">
        <v>1400</v>
      </c>
      <c r="W99" s="167">
        <v>506179464</v>
      </c>
      <c r="X99" s="20" t="s">
        <v>1401</v>
      </c>
      <c r="Y99" s="20" t="s">
        <v>1401</v>
      </c>
      <c r="Z99" s="20"/>
      <c r="AA99" s="20">
        <v>267</v>
      </c>
      <c r="AB99" s="20"/>
      <c r="AC99" s="20" t="s">
        <v>1402</v>
      </c>
      <c r="AD99" s="20"/>
    </row>
    <row r="100" spans="1:30" ht="15.75" customHeight="1">
      <c r="A100" s="8">
        <v>99</v>
      </c>
      <c r="B100" s="20" t="s">
        <v>1018</v>
      </c>
      <c r="C100" s="20" t="s">
        <v>1403</v>
      </c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209">
        <v>50</v>
      </c>
      <c r="P100" s="167"/>
      <c r="Q100" s="178">
        <v>44234</v>
      </c>
      <c r="R100" s="169">
        <v>44235</v>
      </c>
      <c r="S100" s="169">
        <v>44235</v>
      </c>
      <c r="T100" s="8" t="s">
        <v>170</v>
      </c>
      <c r="U100" s="167" t="s">
        <v>1404</v>
      </c>
      <c r="V100" s="167" t="s">
        <v>1405</v>
      </c>
      <c r="W100" s="167">
        <v>780113716</v>
      </c>
      <c r="X100" s="20"/>
      <c r="Y100" s="20" t="s">
        <v>1406</v>
      </c>
      <c r="Z100" s="20"/>
      <c r="AA100" s="20">
        <v>268</v>
      </c>
      <c r="AB100" s="20"/>
      <c r="AC100" s="20"/>
      <c r="AD100" s="20"/>
    </row>
    <row r="101" spans="1:30" ht="15.75" customHeight="1">
      <c r="A101" s="8">
        <v>100</v>
      </c>
      <c r="B101" s="20" t="s">
        <v>296</v>
      </c>
      <c r="C101" s="20" t="s">
        <v>1303</v>
      </c>
      <c r="D101" s="159"/>
      <c r="E101" s="159"/>
      <c r="F101" s="159"/>
      <c r="G101" s="159"/>
      <c r="H101" s="159"/>
      <c r="I101" s="159"/>
      <c r="J101" s="159"/>
      <c r="K101" s="159"/>
      <c r="L101" s="159"/>
      <c r="M101" s="159"/>
      <c r="N101" s="159"/>
      <c r="O101" s="209">
        <v>50</v>
      </c>
      <c r="P101" s="167"/>
      <c r="Q101" s="178">
        <v>44237</v>
      </c>
      <c r="R101" s="169">
        <v>44238</v>
      </c>
      <c r="S101" s="169">
        <v>44238</v>
      </c>
      <c r="T101" s="8" t="s">
        <v>170</v>
      </c>
      <c r="U101" s="167" t="s">
        <v>1407</v>
      </c>
      <c r="V101" s="167" t="s">
        <v>1408</v>
      </c>
      <c r="W101" s="167">
        <v>533988025</v>
      </c>
      <c r="X101" s="20"/>
      <c r="Y101" s="20" t="s">
        <v>1409</v>
      </c>
      <c r="Z101" s="20"/>
      <c r="AA101" s="20">
        <v>269</v>
      </c>
      <c r="AB101" s="20"/>
      <c r="AC101" s="20"/>
      <c r="AD101" s="20"/>
    </row>
    <row r="102" spans="1:30" ht="15.75" customHeight="1">
      <c r="A102" s="8">
        <v>101</v>
      </c>
      <c r="B102" s="20" t="s">
        <v>194</v>
      </c>
      <c r="C102" s="20" t="s">
        <v>1410</v>
      </c>
      <c r="D102" s="159"/>
      <c r="E102" s="159"/>
      <c r="F102" s="159"/>
      <c r="G102" s="159"/>
      <c r="H102" s="159"/>
      <c r="I102" s="159"/>
      <c r="J102" s="159"/>
      <c r="K102" s="159"/>
      <c r="L102" s="159"/>
      <c r="M102" s="159"/>
      <c r="N102" s="159"/>
      <c r="O102" s="209">
        <v>50</v>
      </c>
      <c r="P102" s="167"/>
      <c r="Q102" s="178">
        <v>44243</v>
      </c>
      <c r="R102" s="169">
        <v>44244</v>
      </c>
      <c r="S102" s="169">
        <v>44244</v>
      </c>
      <c r="T102" s="8" t="s">
        <v>170</v>
      </c>
      <c r="U102" s="167" t="s">
        <v>1411</v>
      </c>
      <c r="V102" s="167" t="s">
        <v>499</v>
      </c>
      <c r="W102" s="167">
        <v>502835333</v>
      </c>
      <c r="X102" s="20"/>
      <c r="Y102" s="20" t="s">
        <v>1412</v>
      </c>
      <c r="Z102" s="20"/>
      <c r="AA102" s="20">
        <v>270</v>
      </c>
      <c r="AB102" s="20"/>
      <c r="AC102" s="20" t="s">
        <v>1413</v>
      </c>
      <c r="AD102" s="20"/>
    </row>
    <row r="103" spans="1:30" ht="15.75" customHeight="1">
      <c r="A103" s="8">
        <v>102</v>
      </c>
      <c r="B103" s="20" t="s">
        <v>194</v>
      </c>
      <c r="C103" s="20" t="s">
        <v>1414</v>
      </c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209">
        <v>50</v>
      </c>
      <c r="P103" s="167"/>
      <c r="Q103" s="178">
        <v>44256</v>
      </c>
      <c r="R103" s="169">
        <v>44257</v>
      </c>
      <c r="S103" s="169">
        <v>44257</v>
      </c>
      <c r="T103" s="8" t="s">
        <v>170</v>
      </c>
      <c r="U103" s="167" t="s">
        <v>1415</v>
      </c>
      <c r="V103" s="167" t="s">
        <v>1416</v>
      </c>
      <c r="W103" s="167">
        <v>793703355</v>
      </c>
      <c r="X103" s="20"/>
      <c r="Y103" s="20" t="s">
        <v>1417</v>
      </c>
      <c r="Z103" s="20"/>
      <c r="AA103" s="20">
        <v>271</v>
      </c>
      <c r="AB103" s="20"/>
      <c r="AC103" s="20"/>
      <c r="AD103" s="20"/>
    </row>
    <row r="104" spans="1:30" ht="15.75" customHeight="1">
      <c r="A104" s="8">
        <v>103</v>
      </c>
      <c r="B104" s="20" t="s">
        <v>88</v>
      </c>
      <c r="C104" s="20" t="s">
        <v>1418</v>
      </c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209">
        <v>50</v>
      </c>
      <c r="P104" s="167"/>
      <c r="Q104" s="178">
        <v>44268</v>
      </c>
      <c r="R104" s="169">
        <v>44265</v>
      </c>
      <c r="S104" s="169">
        <v>44265</v>
      </c>
      <c r="T104" s="18" t="s">
        <v>689</v>
      </c>
      <c r="U104" s="167" t="s">
        <v>1419</v>
      </c>
      <c r="V104" s="167" t="s">
        <v>1420</v>
      </c>
      <c r="W104" s="167">
        <v>510486423</v>
      </c>
      <c r="X104" s="20"/>
      <c r="Y104" s="20" t="s">
        <v>1421</v>
      </c>
      <c r="Z104" s="20"/>
      <c r="AA104" s="20">
        <v>272</v>
      </c>
      <c r="AB104" s="20"/>
      <c r="AC104" s="20"/>
      <c r="AD104" s="20"/>
    </row>
    <row r="105" spans="1:30" ht="15.75" customHeight="1">
      <c r="A105" s="8">
        <v>104</v>
      </c>
      <c r="B105" s="20" t="s">
        <v>1422</v>
      </c>
      <c r="C105" s="20" t="s">
        <v>1423</v>
      </c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209">
        <v>50</v>
      </c>
      <c r="P105" s="167"/>
      <c r="Q105" s="178">
        <v>44268</v>
      </c>
      <c r="R105" s="169">
        <v>44270</v>
      </c>
      <c r="S105" s="169">
        <v>44270</v>
      </c>
      <c r="T105" s="8" t="s">
        <v>170</v>
      </c>
      <c r="U105" s="167" t="s">
        <v>1424</v>
      </c>
      <c r="V105" s="167" t="s">
        <v>1425</v>
      </c>
      <c r="W105" s="167">
        <v>532789141</v>
      </c>
      <c r="X105" s="20"/>
      <c r="Y105" s="20" t="s">
        <v>1426</v>
      </c>
      <c r="Z105" s="20"/>
      <c r="AA105" s="20">
        <v>273</v>
      </c>
      <c r="AB105" s="20"/>
      <c r="AC105" s="20"/>
      <c r="AD105" s="20"/>
    </row>
    <row r="106" spans="1:30" ht="15.75" customHeight="1">
      <c r="A106" s="8">
        <v>105</v>
      </c>
      <c r="B106" s="20" t="s">
        <v>1427</v>
      </c>
      <c r="C106" s="20" t="s">
        <v>1428</v>
      </c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209">
        <v>50</v>
      </c>
      <c r="P106" s="167"/>
      <c r="Q106" s="178">
        <v>44269</v>
      </c>
      <c r="R106" s="169">
        <v>44270</v>
      </c>
      <c r="S106" s="169">
        <v>44270</v>
      </c>
      <c r="T106" s="8" t="s">
        <v>170</v>
      </c>
      <c r="U106" s="167" t="s">
        <v>1429</v>
      </c>
      <c r="V106" s="167" t="s">
        <v>1430</v>
      </c>
      <c r="W106" s="167">
        <v>530853223</v>
      </c>
      <c r="X106" s="20"/>
      <c r="Y106" s="20" t="s">
        <v>1431</v>
      </c>
      <c r="Z106" s="20"/>
      <c r="AA106" s="20">
        <v>274</v>
      </c>
      <c r="AB106" s="20"/>
      <c r="AC106" s="20"/>
      <c r="AD106" s="20"/>
    </row>
    <row r="107" spans="1:30" ht="15.75" customHeight="1">
      <c r="A107" s="8">
        <v>106</v>
      </c>
      <c r="B107" s="20" t="s">
        <v>1432</v>
      </c>
      <c r="C107" s="20" t="s">
        <v>1433</v>
      </c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209">
        <v>50</v>
      </c>
      <c r="P107" s="167"/>
      <c r="Q107" s="178">
        <v>44273</v>
      </c>
      <c r="R107" s="169">
        <v>44273</v>
      </c>
      <c r="S107" s="169">
        <v>44273</v>
      </c>
      <c r="T107" s="8" t="s">
        <v>170</v>
      </c>
      <c r="U107" s="39" t="s">
        <v>1434</v>
      </c>
      <c r="V107" s="39" t="s">
        <v>1435</v>
      </c>
      <c r="W107" s="39">
        <v>500060631</v>
      </c>
      <c r="X107" s="20"/>
      <c r="Y107" s="141" t="s">
        <v>1436</v>
      </c>
      <c r="Z107" s="20"/>
      <c r="AA107" s="20">
        <v>275</v>
      </c>
      <c r="AB107" s="20"/>
      <c r="AC107" s="20"/>
      <c r="AD107" s="141" t="s">
        <v>1437</v>
      </c>
    </row>
    <row r="108" spans="1:30" ht="15.75" customHeight="1">
      <c r="A108" s="8">
        <v>107</v>
      </c>
      <c r="B108" s="20" t="s">
        <v>905</v>
      </c>
      <c r="C108" s="20" t="s">
        <v>1438</v>
      </c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209">
        <v>50</v>
      </c>
      <c r="P108" s="167"/>
      <c r="Q108" s="178">
        <v>44277</v>
      </c>
      <c r="R108" s="169">
        <v>44277</v>
      </c>
      <c r="S108" s="169">
        <v>44277</v>
      </c>
      <c r="T108" s="8" t="s">
        <v>170</v>
      </c>
      <c r="U108" s="167" t="s">
        <v>1439</v>
      </c>
      <c r="V108" s="167" t="s">
        <v>1440</v>
      </c>
      <c r="W108" s="167">
        <v>781173972</v>
      </c>
      <c r="X108" s="20"/>
      <c r="Y108" s="20" t="s">
        <v>1441</v>
      </c>
      <c r="Z108" s="20"/>
      <c r="AA108" s="20">
        <v>276</v>
      </c>
      <c r="AB108" s="20"/>
      <c r="AC108" s="20" t="s">
        <v>1442</v>
      </c>
      <c r="AD108" s="20"/>
    </row>
    <row r="109" spans="1:30" ht="15.75" customHeight="1">
      <c r="A109" s="8">
        <v>108</v>
      </c>
      <c r="B109" s="183" t="s">
        <v>13</v>
      </c>
      <c r="C109" s="183" t="s">
        <v>1186</v>
      </c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246">
        <v>50</v>
      </c>
      <c r="P109" s="167"/>
      <c r="Q109" s="225">
        <v>44288</v>
      </c>
      <c r="R109" s="182">
        <v>44292</v>
      </c>
      <c r="S109" s="182">
        <v>44292</v>
      </c>
      <c r="T109" s="47" t="s">
        <v>170</v>
      </c>
      <c r="U109" s="197" t="s">
        <v>1443</v>
      </c>
      <c r="V109" s="197" t="s">
        <v>1444</v>
      </c>
      <c r="W109" s="197">
        <v>693718421</v>
      </c>
      <c r="X109" s="183"/>
      <c r="Y109" s="183" t="s">
        <v>1445</v>
      </c>
      <c r="Z109" s="183"/>
      <c r="AA109" s="183">
        <v>277</v>
      </c>
      <c r="AB109" s="183"/>
      <c r="AC109" s="141" t="s">
        <v>1446</v>
      </c>
      <c r="AD109" s="183"/>
    </row>
    <row r="110" spans="1:30" ht="15.75" customHeight="1">
      <c r="A110" s="8">
        <v>109</v>
      </c>
      <c r="B110" s="20" t="s">
        <v>340</v>
      </c>
      <c r="C110" s="20" t="s">
        <v>1447</v>
      </c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246">
        <v>50</v>
      </c>
      <c r="P110" s="167"/>
      <c r="Q110" s="178">
        <v>44318</v>
      </c>
      <c r="R110" s="169">
        <v>44320</v>
      </c>
      <c r="S110" s="169">
        <v>44320</v>
      </c>
      <c r="T110" s="47" t="s">
        <v>170</v>
      </c>
      <c r="U110" s="167">
        <v>34</v>
      </c>
      <c r="V110" s="167" t="s">
        <v>1448</v>
      </c>
      <c r="W110" s="167">
        <v>533400194</v>
      </c>
      <c r="X110" s="20" t="s">
        <v>1449</v>
      </c>
      <c r="Y110" s="179" t="s">
        <v>1450</v>
      </c>
      <c r="Z110" s="20"/>
      <c r="AA110" s="183">
        <v>278</v>
      </c>
      <c r="AB110" s="40" t="s">
        <v>200</v>
      </c>
      <c r="AC110" s="20"/>
      <c r="AD110" s="20"/>
    </row>
    <row r="111" spans="1:30" ht="15.75" customHeight="1">
      <c r="A111" s="8">
        <v>110</v>
      </c>
      <c r="B111" s="20" t="s">
        <v>1451</v>
      </c>
      <c r="C111" s="20" t="s">
        <v>1452</v>
      </c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246">
        <v>50</v>
      </c>
      <c r="P111" s="167"/>
      <c r="Q111" s="178">
        <v>44321</v>
      </c>
      <c r="R111" s="169">
        <v>44321</v>
      </c>
      <c r="S111" s="169">
        <v>44321</v>
      </c>
      <c r="T111" s="47" t="s">
        <v>170</v>
      </c>
      <c r="U111" s="167" t="s">
        <v>1453</v>
      </c>
      <c r="V111" s="167" t="s">
        <v>1454</v>
      </c>
      <c r="W111" s="167">
        <v>797624548</v>
      </c>
      <c r="X111" s="20" t="s">
        <v>1455</v>
      </c>
      <c r="Y111" s="20" t="s">
        <v>1456</v>
      </c>
      <c r="Z111" s="20"/>
      <c r="AA111" s="183">
        <v>279</v>
      </c>
      <c r="AB111" s="20"/>
      <c r="AC111" s="20" t="s">
        <v>1457</v>
      </c>
      <c r="AD111" s="20" t="s">
        <v>1458</v>
      </c>
    </row>
    <row r="112" spans="1:30" ht="15.75" customHeight="1">
      <c r="A112" s="8">
        <v>111</v>
      </c>
      <c r="B112" s="183" t="s">
        <v>1459</v>
      </c>
      <c r="C112" s="183" t="s">
        <v>1460</v>
      </c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246">
        <v>50</v>
      </c>
      <c r="P112" s="167"/>
      <c r="Q112" s="225">
        <v>44323</v>
      </c>
      <c r="R112" s="182">
        <v>44324</v>
      </c>
      <c r="S112" s="182">
        <v>44324</v>
      </c>
      <c r="T112" s="47" t="s">
        <v>170</v>
      </c>
      <c r="U112" s="197" t="s">
        <v>1461</v>
      </c>
      <c r="V112" s="197" t="s">
        <v>1462</v>
      </c>
      <c r="W112" s="197">
        <v>512425202</v>
      </c>
      <c r="X112" s="183"/>
      <c r="Y112" s="183" t="s">
        <v>1463</v>
      </c>
      <c r="Z112" s="183"/>
      <c r="AA112" s="183">
        <v>280</v>
      </c>
      <c r="AB112" s="183"/>
      <c r="AC112" s="183"/>
      <c r="AD112" s="183"/>
    </row>
    <row r="113" spans="1:30" ht="15.75" customHeight="1">
      <c r="A113" s="8">
        <v>112</v>
      </c>
      <c r="B113" s="20" t="s">
        <v>1191</v>
      </c>
      <c r="C113" s="20" t="s">
        <v>1464</v>
      </c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209">
        <v>50</v>
      </c>
      <c r="P113" s="20"/>
      <c r="Q113" s="178">
        <v>44330</v>
      </c>
      <c r="R113" s="169">
        <v>44333</v>
      </c>
      <c r="S113" s="169">
        <v>44333</v>
      </c>
      <c r="T113" s="47" t="s">
        <v>170</v>
      </c>
      <c r="U113" s="167" t="s">
        <v>1465</v>
      </c>
      <c r="V113" s="167" t="s">
        <v>1466</v>
      </c>
      <c r="W113" s="167">
        <v>609445399</v>
      </c>
      <c r="X113" s="20"/>
      <c r="Y113" s="20" t="s">
        <v>1467</v>
      </c>
      <c r="Z113" s="20"/>
      <c r="AA113" s="183">
        <v>281</v>
      </c>
      <c r="AB113" s="20"/>
      <c r="AC113" s="20" t="s">
        <v>1468</v>
      </c>
      <c r="AD113" s="20"/>
    </row>
    <row r="114" spans="1:30" ht="15.75" customHeight="1">
      <c r="A114" s="8">
        <v>113</v>
      </c>
      <c r="B114" s="20" t="s">
        <v>212</v>
      </c>
      <c r="C114" s="20" t="s">
        <v>1469</v>
      </c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  <c r="O114" s="209">
        <v>50</v>
      </c>
      <c r="P114" s="20"/>
      <c r="Q114" s="178">
        <v>44336</v>
      </c>
      <c r="R114" s="169">
        <v>44337</v>
      </c>
      <c r="S114" s="169">
        <v>44337</v>
      </c>
      <c r="T114" s="47" t="s">
        <v>170</v>
      </c>
      <c r="U114" s="167" t="s">
        <v>1470</v>
      </c>
      <c r="V114" s="167" t="s">
        <v>1471</v>
      </c>
      <c r="W114" s="167">
        <v>609471885</v>
      </c>
      <c r="X114" s="20"/>
      <c r="Y114" s="20" t="s">
        <v>1472</v>
      </c>
      <c r="Z114" s="20"/>
      <c r="AA114" s="183">
        <v>282</v>
      </c>
      <c r="AB114" s="20"/>
      <c r="AC114" s="20"/>
      <c r="AD114" s="20"/>
    </row>
    <row r="115" spans="1:30" ht="15.75" customHeight="1">
      <c r="A115" s="8">
        <v>114</v>
      </c>
      <c r="B115" s="20" t="s">
        <v>1473</v>
      </c>
      <c r="C115" s="20" t="s">
        <v>1474</v>
      </c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209">
        <v>50</v>
      </c>
      <c r="P115" s="20"/>
      <c r="Q115" s="178">
        <v>44340</v>
      </c>
      <c r="R115" s="169">
        <v>44340</v>
      </c>
      <c r="S115" s="169">
        <v>44340</v>
      </c>
      <c r="T115" s="47" t="s">
        <v>170</v>
      </c>
      <c r="U115" s="167" t="s">
        <v>1475</v>
      </c>
      <c r="V115" s="167" t="s">
        <v>1476</v>
      </c>
      <c r="W115" s="167">
        <v>511969860</v>
      </c>
      <c r="X115" s="20"/>
      <c r="Y115" s="20" t="s">
        <v>1477</v>
      </c>
      <c r="Z115" s="20"/>
      <c r="AA115" s="183">
        <v>283</v>
      </c>
      <c r="AB115" s="20"/>
      <c r="AC115" s="20" t="s">
        <v>1478</v>
      </c>
      <c r="AD115" s="20"/>
    </row>
    <row r="116" spans="1:30" ht="15.75" customHeight="1">
      <c r="A116" s="8">
        <v>115</v>
      </c>
      <c r="B116" s="141" t="s">
        <v>980</v>
      </c>
      <c r="C116" s="20" t="s">
        <v>1479</v>
      </c>
      <c r="D116" s="163"/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209">
        <v>50</v>
      </c>
      <c r="P116" s="20"/>
      <c r="Q116" s="178">
        <v>44358</v>
      </c>
      <c r="R116" s="169">
        <v>44361</v>
      </c>
      <c r="S116" s="169">
        <v>44361</v>
      </c>
      <c r="T116" s="47" t="s">
        <v>170</v>
      </c>
      <c r="U116" s="39" t="s">
        <v>1480</v>
      </c>
      <c r="V116" s="39" t="s">
        <v>693</v>
      </c>
      <c r="W116" s="39">
        <v>504990446</v>
      </c>
      <c r="X116" s="20"/>
      <c r="Y116" s="141" t="s">
        <v>1481</v>
      </c>
      <c r="Z116" s="20"/>
      <c r="AA116" s="183">
        <v>284</v>
      </c>
      <c r="AB116" s="20"/>
      <c r="AC116" s="141" t="s">
        <v>1482</v>
      </c>
      <c r="AD116" s="20"/>
    </row>
    <row r="117" spans="1:30" ht="15.75" customHeight="1">
      <c r="A117" s="8">
        <v>116</v>
      </c>
      <c r="B117" s="20" t="s">
        <v>905</v>
      </c>
      <c r="C117" s="20" t="s">
        <v>1483</v>
      </c>
      <c r="D117" s="163"/>
      <c r="E117" s="163"/>
      <c r="F117" s="163"/>
      <c r="G117" s="163"/>
      <c r="H117" s="163"/>
      <c r="I117" s="163"/>
      <c r="J117" s="163"/>
      <c r="K117" s="163"/>
      <c r="L117" s="163"/>
      <c r="M117" s="163"/>
      <c r="N117" s="163"/>
      <c r="O117" s="209">
        <v>50</v>
      </c>
      <c r="P117" s="20"/>
      <c r="Q117" s="178">
        <v>44378</v>
      </c>
      <c r="R117" s="169">
        <v>44323</v>
      </c>
      <c r="S117" s="169">
        <v>44323</v>
      </c>
      <c r="T117" s="47" t="s">
        <v>170</v>
      </c>
      <c r="U117" s="167" t="s">
        <v>1484</v>
      </c>
      <c r="V117" s="167" t="s">
        <v>1485</v>
      </c>
      <c r="W117" s="167">
        <v>501591264</v>
      </c>
      <c r="X117" s="20"/>
      <c r="Y117" s="20" t="s">
        <v>1486</v>
      </c>
      <c r="Z117" s="20"/>
      <c r="AA117" s="183">
        <v>285</v>
      </c>
      <c r="AB117" s="20"/>
      <c r="AC117" s="20"/>
      <c r="AD117" s="20"/>
    </row>
    <row r="118" spans="1:30" ht="15.75" customHeight="1">
      <c r="A118" s="8">
        <v>117</v>
      </c>
      <c r="B118" s="20" t="s">
        <v>1422</v>
      </c>
      <c r="C118" s="20" t="s">
        <v>1487</v>
      </c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209">
        <v>50</v>
      </c>
      <c r="P118" s="20"/>
      <c r="Q118" s="178">
        <v>44381</v>
      </c>
      <c r="R118" s="169">
        <v>44323</v>
      </c>
      <c r="S118" s="169">
        <v>44323</v>
      </c>
      <c r="T118" s="47" t="s">
        <v>170</v>
      </c>
      <c r="U118" s="167" t="s">
        <v>1488</v>
      </c>
      <c r="V118" s="167" t="s">
        <v>1489</v>
      </c>
      <c r="W118" s="167">
        <v>533044550</v>
      </c>
      <c r="X118" s="20"/>
      <c r="Y118" s="20" t="s">
        <v>1490</v>
      </c>
      <c r="Z118" s="20"/>
      <c r="AA118" s="183">
        <v>286</v>
      </c>
      <c r="AB118" s="20"/>
      <c r="AC118" s="20" t="s">
        <v>511</v>
      </c>
      <c r="AD118" s="20"/>
    </row>
    <row r="119" spans="1:30" ht="15.75" customHeight="1">
      <c r="A119" s="8">
        <v>118</v>
      </c>
      <c r="B119" s="20" t="s">
        <v>559</v>
      </c>
      <c r="C119" s="20" t="s">
        <v>1491</v>
      </c>
      <c r="D119" s="163"/>
      <c r="E119" s="163"/>
      <c r="F119" s="163"/>
      <c r="G119" s="163"/>
      <c r="H119" s="163"/>
      <c r="I119" s="163"/>
      <c r="J119" s="163"/>
      <c r="K119" s="163"/>
      <c r="L119" s="163"/>
      <c r="M119" s="163"/>
      <c r="N119" s="163"/>
      <c r="O119" s="209">
        <v>50</v>
      </c>
      <c r="P119" s="20"/>
      <c r="Q119" s="178">
        <v>44397</v>
      </c>
      <c r="R119" s="169">
        <v>44397</v>
      </c>
      <c r="S119" s="169">
        <v>44397</v>
      </c>
      <c r="T119" s="47" t="s">
        <v>170</v>
      </c>
      <c r="U119" s="167" t="s">
        <v>1492</v>
      </c>
      <c r="V119" s="167" t="s">
        <v>1493</v>
      </c>
      <c r="W119" s="167">
        <v>574536978</v>
      </c>
      <c r="X119" s="20"/>
      <c r="Y119" s="20" t="s">
        <v>1494</v>
      </c>
      <c r="Z119" s="20"/>
      <c r="AA119" s="183">
        <v>287</v>
      </c>
      <c r="AB119" s="20"/>
      <c r="AC119" s="20"/>
      <c r="AD119" s="20"/>
    </row>
    <row r="120" spans="1:30" ht="15.75" customHeight="1">
      <c r="A120" s="8">
        <v>119</v>
      </c>
      <c r="B120" s="20" t="s">
        <v>122</v>
      </c>
      <c r="C120" s="20" t="s">
        <v>1495</v>
      </c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209">
        <v>50</v>
      </c>
      <c r="P120" s="20"/>
      <c r="Q120" s="178">
        <v>44399</v>
      </c>
      <c r="R120" s="169">
        <v>44334</v>
      </c>
      <c r="S120" s="169">
        <v>44334</v>
      </c>
      <c r="T120" s="130" t="s">
        <v>1322</v>
      </c>
      <c r="U120" s="167" t="s">
        <v>1496</v>
      </c>
      <c r="V120" s="167" t="s">
        <v>1497</v>
      </c>
      <c r="W120" s="167">
        <v>516771381</v>
      </c>
      <c r="X120" s="20"/>
      <c r="Y120" s="20" t="s">
        <v>1498</v>
      </c>
      <c r="Z120" s="20"/>
      <c r="AA120" s="20">
        <v>288</v>
      </c>
      <c r="AB120" s="20"/>
      <c r="AC120" s="20" t="s">
        <v>1499</v>
      </c>
      <c r="AD120" s="20"/>
    </row>
    <row r="121" spans="1:30" ht="15.75" customHeight="1">
      <c r="A121" s="8">
        <v>120</v>
      </c>
      <c r="B121" s="20" t="s">
        <v>895</v>
      </c>
      <c r="C121" s="20" t="s">
        <v>1500</v>
      </c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55">
        <v>50</v>
      </c>
      <c r="P121" s="10"/>
      <c r="Q121" s="178">
        <v>44408</v>
      </c>
      <c r="R121" s="169">
        <v>44445</v>
      </c>
      <c r="S121" s="169">
        <v>44445</v>
      </c>
      <c r="T121" s="47" t="s">
        <v>170</v>
      </c>
      <c r="U121" s="167" t="s">
        <v>1501</v>
      </c>
      <c r="V121" s="167" t="s">
        <v>1502</v>
      </c>
      <c r="W121" s="167">
        <v>516966302</v>
      </c>
      <c r="X121" s="20" t="s">
        <v>1503</v>
      </c>
      <c r="Y121" s="20" t="s">
        <v>1504</v>
      </c>
      <c r="Z121" s="20"/>
      <c r="AA121" s="20">
        <v>289</v>
      </c>
      <c r="AB121" s="20"/>
      <c r="AC121" s="20" t="s">
        <v>1505</v>
      </c>
      <c r="AD121" s="20"/>
    </row>
    <row r="122" spans="1:30" ht="15.75" customHeight="1">
      <c r="A122" s="8">
        <v>121</v>
      </c>
      <c r="B122" s="20" t="s">
        <v>1506</v>
      </c>
      <c r="C122" s="20" t="s">
        <v>1507</v>
      </c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55">
        <v>50</v>
      </c>
      <c r="P122" s="10"/>
      <c r="Q122" s="178">
        <v>44411</v>
      </c>
      <c r="R122" s="169">
        <v>44446</v>
      </c>
      <c r="S122" s="169">
        <v>44446</v>
      </c>
      <c r="T122" s="47" t="s">
        <v>170</v>
      </c>
      <c r="U122" s="167" t="s">
        <v>1508</v>
      </c>
      <c r="V122" s="167" t="s">
        <v>1509</v>
      </c>
      <c r="W122" s="186">
        <v>421940903552</v>
      </c>
      <c r="X122" s="20"/>
      <c r="Y122" s="20" t="s">
        <v>1510</v>
      </c>
      <c r="Z122" s="20"/>
      <c r="AA122" s="20">
        <v>290</v>
      </c>
      <c r="AB122" s="20"/>
      <c r="AC122" s="20"/>
      <c r="AD122" s="20"/>
    </row>
    <row r="123" spans="1:30" ht="15.75" customHeight="1">
      <c r="A123" s="8">
        <v>122</v>
      </c>
      <c r="B123" s="20" t="s">
        <v>1511</v>
      </c>
      <c r="C123" s="20" t="s">
        <v>1512</v>
      </c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55">
        <v>50</v>
      </c>
      <c r="P123" s="10"/>
      <c r="Q123" s="178">
        <v>44414</v>
      </c>
      <c r="R123" s="169">
        <v>44417</v>
      </c>
      <c r="S123" s="169">
        <v>44417</v>
      </c>
      <c r="T123" s="18" t="s">
        <v>689</v>
      </c>
      <c r="U123" s="167" t="s">
        <v>1513</v>
      </c>
      <c r="V123" s="167" t="s">
        <v>1514</v>
      </c>
      <c r="W123" s="167">
        <v>513987641</v>
      </c>
      <c r="X123" s="20"/>
      <c r="Y123" s="20" t="s">
        <v>1515</v>
      </c>
      <c r="Z123" s="20"/>
      <c r="AA123" s="20">
        <v>291</v>
      </c>
      <c r="AB123" s="40" t="s">
        <v>200</v>
      </c>
      <c r="AC123" s="20" t="s">
        <v>1516</v>
      </c>
      <c r="AD123" s="20"/>
    </row>
    <row r="124" spans="1:30" ht="15.75" customHeight="1">
      <c r="A124" s="8">
        <v>123</v>
      </c>
      <c r="B124" s="20" t="s">
        <v>325</v>
      </c>
      <c r="C124" s="20" t="s">
        <v>1517</v>
      </c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55">
        <v>50</v>
      </c>
      <c r="P124" s="10"/>
      <c r="Q124" s="178">
        <v>44415</v>
      </c>
      <c r="R124" s="169">
        <v>44417</v>
      </c>
      <c r="S124" s="169">
        <v>44417</v>
      </c>
      <c r="T124" s="47" t="s">
        <v>170</v>
      </c>
      <c r="U124" s="167" t="s">
        <v>1518</v>
      </c>
      <c r="V124" s="167" t="s">
        <v>1519</v>
      </c>
      <c r="W124" s="167">
        <v>692524728</v>
      </c>
      <c r="X124" s="20"/>
      <c r="Y124" s="20" t="s">
        <v>1520</v>
      </c>
      <c r="Z124" s="20"/>
      <c r="AA124" s="20">
        <v>292</v>
      </c>
      <c r="AB124" s="20"/>
      <c r="AC124" s="20"/>
      <c r="AD124" s="20" t="s">
        <v>1521</v>
      </c>
    </row>
    <row r="125" spans="1:30" ht="15.75" customHeight="1">
      <c r="A125" s="8">
        <v>124</v>
      </c>
      <c r="B125" s="20" t="s">
        <v>1522</v>
      </c>
      <c r="C125" s="20" t="s">
        <v>1523</v>
      </c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55">
        <v>50</v>
      </c>
      <c r="P125" s="10"/>
      <c r="Q125" s="178">
        <v>44415</v>
      </c>
      <c r="R125" s="169">
        <v>44417</v>
      </c>
      <c r="S125" s="169">
        <v>44417</v>
      </c>
      <c r="T125" s="47" t="s">
        <v>170</v>
      </c>
      <c r="U125" s="167" t="s">
        <v>1524</v>
      </c>
      <c r="V125" s="167" t="s">
        <v>1525</v>
      </c>
      <c r="W125" s="167">
        <v>504154737</v>
      </c>
      <c r="X125" s="20"/>
      <c r="Y125" s="20" t="s">
        <v>1526</v>
      </c>
      <c r="Z125" s="20"/>
      <c r="AA125" s="20">
        <v>293</v>
      </c>
      <c r="AB125" s="20"/>
      <c r="AC125" s="20"/>
      <c r="AD125" s="20"/>
    </row>
    <row r="126" spans="1:30" ht="15.75" customHeight="1">
      <c r="A126" s="8">
        <v>125</v>
      </c>
      <c r="B126" s="20" t="s">
        <v>1427</v>
      </c>
      <c r="C126" s="20" t="s">
        <v>1527</v>
      </c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55">
        <v>50</v>
      </c>
      <c r="P126" s="10"/>
      <c r="Q126" s="178">
        <v>44415</v>
      </c>
      <c r="R126" s="169">
        <v>44417</v>
      </c>
      <c r="S126" s="169">
        <v>44417</v>
      </c>
      <c r="T126" s="47" t="s">
        <v>170</v>
      </c>
      <c r="U126" s="167" t="s">
        <v>1528</v>
      </c>
      <c r="V126" s="167" t="s">
        <v>1529</v>
      </c>
      <c r="W126" s="167">
        <v>728869402</v>
      </c>
      <c r="X126" s="20"/>
      <c r="Y126" s="20" t="s">
        <v>1530</v>
      </c>
      <c r="Z126" s="20"/>
      <c r="AA126" s="20">
        <v>294</v>
      </c>
      <c r="AB126" s="40" t="s">
        <v>200</v>
      </c>
      <c r="AC126" s="20"/>
      <c r="AD126" s="20"/>
    </row>
    <row r="127" spans="1:30" ht="15.75" customHeight="1">
      <c r="A127" s="8">
        <v>126</v>
      </c>
      <c r="B127" s="20" t="s">
        <v>1531</v>
      </c>
      <c r="C127" s="20" t="s">
        <v>1532</v>
      </c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55">
        <v>50</v>
      </c>
      <c r="P127" s="10"/>
      <c r="Q127" s="178">
        <v>44425</v>
      </c>
      <c r="R127" s="169">
        <v>44426</v>
      </c>
      <c r="S127" s="169">
        <v>44426</v>
      </c>
      <c r="T127" s="47" t="s">
        <v>170</v>
      </c>
      <c r="U127" s="167" t="s">
        <v>1533</v>
      </c>
      <c r="V127" s="167" t="s">
        <v>1534</v>
      </c>
      <c r="W127" s="167">
        <v>537857286</v>
      </c>
      <c r="X127" s="20"/>
      <c r="Y127" s="20" t="s">
        <v>1535</v>
      </c>
      <c r="Z127" s="20"/>
      <c r="AA127" s="20">
        <v>295</v>
      </c>
      <c r="AB127" s="20"/>
      <c r="AC127" s="20"/>
      <c r="AD127" s="20"/>
    </row>
    <row r="128" spans="1:30" ht="15.75" customHeight="1">
      <c r="A128" s="8">
        <v>127</v>
      </c>
      <c r="B128" s="20" t="s">
        <v>568</v>
      </c>
      <c r="C128" s="20" t="s">
        <v>1536</v>
      </c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55">
        <v>50</v>
      </c>
      <c r="P128" s="10"/>
      <c r="Q128" s="178">
        <v>44428</v>
      </c>
      <c r="R128" s="169">
        <v>44428</v>
      </c>
      <c r="S128" s="169">
        <v>44428</v>
      </c>
      <c r="T128" s="18" t="s">
        <v>689</v>
      </c>
      <c r="U128" s="167" t="s">
        <v>1537</v>
      </c>
      <c r="V128" s="167" t="s">
        <v>1538</v>
      </c>
      <c r="W128" s="167">
        <v>512611925</v>
      </c>
      <c r="X128" s="20"/>
      <c r="Y128" s="20" t="s">
        <v>1539</v>
      </c>
      <c r="Z128" s="20"/>
      <c r="AA128" s="20">
        <v>296</v>
      </c>
      <c r="AB128" s="20"/>
      <c r="AC128" s="20"/>
      <c r="AD128" s="20"/>
    </row>
    <row r="129" spans="1:30" ht="15.75" customHeight="1">
      <c r="A129" s="8">
        <v>128</v>
      </c>
      <c r="B129" s="20" t="s">
        <v>1540</v>
      </c>
      <c r="C129" s="20" t="s">
        <v>1541</v>
      </c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55">
        <v>50</v>
      </c>
      <c r="P129" s="10"/>
      <c r="Q129" s="178">
        <v>44428</v>
      </c>
      <c r="R129" s="169">
        <v>44431</v>
      </c>
      <c r="S129" s="169">
        <v>44431</v>
      </c>
      <c r="T129" s="47" t="s">
        <v>170</v>
      </c>
      <c r="U129" s="167" t="s">
        <v>1542</v>
      </c>
      <c r="V129" s="167" t="s">
        <v>1543</v>
      </c>
      <c r="W129" s="167">
        <v>780177407</v>
      </c>
      <c r="X129" s="20"/>
      <c r="Y129" s="20" t="s">
        <v>1544</v>
      </c>
      <c r="Z129" s="20"/>
      <c r="AA129" s="20">
        <v>297</v>
      </c>
      <c r="AB129" s="40" t="s">
        <v>200</v>
      </c>
      <c r="AC129" s="20" t="s">
        <v>1545</v>
      </c>
      <c r="AD129" s="20"/>
    </row>
    <row r="130" spans="1:30" ht="15.75" customHeight="1">
      <c r="A130" s="8">
        <v>129</v>
      </c>
      <c r="B130" s="20" t="s">
        <v>1546</v>
      </c>
      <c r="C130" s="20" t="s">
        <v>1547</v>
      </c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55">
        <v>50</v>
      </c>
      <c r="P130" s="10"/>
      <c r="Q130" s="178">
        <v>44437</v>
      </c>
      <c r="R130" s="169">
        <v>44438</v>
      </c>
      <c r="S130" s="169">
        <v>44438</v>
      </c>
      <c r="T130" s="47" t="s">
        <v>170</v>
      </c>
      <c r="U130" s="167" t="s">
        <v>1548</v>
      </c>
      <c r="V130" s="167" t="s">
        <v>1549</v>
      </c>
      <c r="W130" s="167">
        <v>660351547</v>
      </c>
      <c r="X130" s="20"/>
      <c r="Y130" s="20" t="s">
        <v>1550</v>
      </c>
      <c r="Z130" s="20"/>
      <c r="AA130" s="20">
        <v>298</v>
      </c>
      <c r="AB130" s="20"/>
      <c r="AC130" s="20" t="s">
        <v>1551</v>
      </c>
      <c r="AD130" s="20"/>
    </row>
    <row r="131" spans="1:30" ht="15.75" customHeight="1">
      <c r="A131" s="8">
        <v>130</v>
      </c>
      <c r="B131" s="20" t="s">
        <v>481</v>
      </c>
      <c r="C131" s="20" t="s">
        <v>1552</v>
      </c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55">
        <v>50</v>
      </c>
      <c r="P131" s="10"/>
      <c r="Q131" s="178">
        <v>44440</v>
      </c>
      <c r="R131" s="169">
        <v>44440</v>
      </c>
      <c r="S131" s="169">
        <v>44440</v>
      </c>
      <c r="T131" s="47" t="s">
        <v>170</v>
      </c>
      <c r="U131" s="167" t="s">
        <v>1553</v>
      </c>
      <c r="V131" s="167" t="s">
        <v>1554</v>
      </c>
      <c r="W131" s="186">
        <v>883396083</v>
      </c>
      <c r="X131" s="20" t="s">
        <v>1555</v>
      </c>
      <c r="Y131" s="20" t="s">
        <v>1556</v>
      </c>
      <c r="Z131" s="20"/>
      <c r="AA131" s="20">
        <v>299</v>
      </c>
      <c r="AB131" s="20"/>
      <c r="AC131" s="20" t="s">
        <v>1557</v>
      </c>
      <c r="AD131" s="20"/>
    </row>
    <row r="132" spans="1:30" ht="15.75" customHeight="1">
      <c r="A132" s="8">
        <v>131</v>
      </c>
      <c r="B132" s="20" t="s">
        <v>1130</v>
      </c>
      <c r="C132" s="20" t="s">
        <v>1558</v>
      </c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55">
        <v>50</v>
      </c>
      <c r="P132" s="10"/>
      <c r="Q132" s="178">
        <v>44440</v>
      </c>
      <c r="R132" s="169">
        <v>44440</v>
      </c>
      <c r="S132" s="169">
        <v>44440</v>
      </c>
      <c r="T132" s="47" t="s">
        <v>170</v>
      </c>
      <c r="U132" s="167" t="s">
        <v>1559</v>
      </c>
      <c r="V132" s="167" t="s">
        <v>1560</v>
      </c>
      <c r="W132" s="167">
        <v>692193826</v>
      </c>
      <c r="X132" s="20" t="s">
        <v>1561</v>
      </c>
      <c r="Y132" s="20" t="s">
        <v>1562</v>
      </c>
      <c r="Z132" s="20"/>
      <c r="AA132" s="20">
        <v>300</v>
      </c>
      <c r="AB132" s="20"/>
      <c r="AC132" s="20" t="s">
        <v>1563</v>
      </c>
      <c r="AD132" s="20"/>
    </row>
    <row r="133" spans="1:30" ht="15.75" customHeight="1">
      <c r="A133" s="8">
        <v>132</v>
      </c>
      <c r="B133" s="20" t="s">
        <v>300</v>
      </c>
      <c r="C133" s="20" t="s">
        <v>1564</v>
      </c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55">
        <v>50</v>
      </c>
      <c r="P133" s="10"/>
      <c r="Q133" s="178">
        <v>44440</v>
      </c>
      <c r="R133" s="169">
        <v>44441</v>
      </c>
      <c r="S133" s="169">
        <v>44441</v>
      </c>
      <c r="T133" s="18" t="s">
        <v>689</v>
      </c>
      <c r="U133" s="167" t="s">
        <v>1565</v>
      </c>
      <c r="V133" s="167" t="s">
        <v>1566</v>
      </c>
      <c r="W133" s="186">
        <v>533537471</v>
      </c>
      <c r="X133" s="20"/>
      <c r="Y133" s="20" t="s">
        <v>1567</v>
      </c>
      <c r="Z133" s="20"/>
      <c r="AA133" s="20">
        <v>301</v>
      </c>
      <c r="AB133" s="40" t="s">
        <v>200</v>
      </c>
      <c r="AC133" s="20" t="s">
        <v>1568</v>
      </c>
      <c r="AD133" s="20"/>
    </row>
    <row r="134" spans="1:30" ht="15.75" customHeight="1">
      <c r="A134" s="8">
        <v>133</v>
      </c>
      <c r="B134" s="20" t="s">
        <v>759</v>
      </c>
      <c r="C134" s="20" t="s">
        <v>1569</v>
      </c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55">
        <v>50</v>
      </c>
      <c r="P134" s="10"/>
      <c r="Q134" s="178">
        <v>44444</v>
      </c>
      <c r="R134" s="169">
        <v>44445</v>
      </c>
      <c r="S134" s="169">
        <v>44445</v>
      </c>
      <c r="T134" s="47" t="s">
        <v>170</v>
      </c>
      <c r="U134" s="167" t="s">
        <v>1570</v>
      </c>
      <c r="V134" s="167" t="s">
        <v>1571</v>
      </c>
      <c r="W134" s="167">
        <v>693406910</v>
      </c>
      <c r="X134" s="20"/>
      <c r="Y134" s="20" t="s">
        <v>1572</v>
      </c>
      <c r="Z134" s="20"/>
      <c r="AA134" s="20">
        <v>302</v>
      </c>
      <c r="AB134" s="40" t="s">
        <v>200</v>
      </c>
      <c r="AC134" s="20"/>
      <c r="AD134" s="20"/>
    </row>
    <row r="135" spans="1:30" ht="15.75" customHeight="1">
      <c r="A135" s="8">
        <v>134</v>
      </c>
      <c r="B135" s="20" t="s">
        <v>1573</v>
      </c>
      <c r="C135" s="20" t="s">
        <v>1574</v>
      </c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55">
        <v>50</v>
      </c>
      <c r="P135" s="10"/>
      <c r="Q135" s="178">
        <v>44445</v>
      </c>
      <c r="R135" s="169">
        <v>44446</v>
      </c>
      <c r="S135" s="169">
        <v>44446</v>
      </c>
      <c r="T135" s="47" t="s">
        <v>170</v>
      </c>
      <c r="U135" s="167" t="s">
        <v>1575</v>
      </c>
      <c r="V135" s="167" t="s">
        <v>1576</v>
      </c>
      <c r="W135" s="186">
        <v>421903160030</v>
      </c>
      <c r="X135" s="20"/>
      <c r="Y135" s="20" t="s">
        <v>1577</v>
      </c>
      <c r="Z135" s="20"/>
      <c r="AA135" s="20">
        <v>303</v>
      </c>
      <c r="AB135" s="20"/>
      <c r="AC135" s="20"/>
      <c r="AD135" s="20"/>
    </row>
    <row r="136" spans="1:30" ht="15.75" customHeight="1">
      <c r="A136" s="8">
        <v>135</v>
      </c>
      <c r="B136" s="20" t="s">
        <v>296</v>
      </c>
      <c r="C136" s="20" t="s">
        <v>1578</v>
      </c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55">
        <v>50</v>
      </c>
      <c r="P136" s="10"/>
      <c r="Q136" s="178">
        <v>44445</v>
      </c>
      <c r="R136" s="169">
        <v>44445</v>
      </c>
      <c r="S136" s="169">
        <v>44445</v>
      </c>
      <c r="T136" s="47" t="s">
        <v>170</v>
      </c>
      <c r="U136" s="167" t="s">
        <v>1579</v>
      </c>
      <c r="V136" s="167" t="s">
        <v>1580</v>
      </c>
      <c r="W136" s="167">
        <v>793977513</v>
      </c>
      <c r="X136" s="20"/>
      <c r="Y136" s="20" t="s">
        <v>1581</v>
      </c>
      <c r="Z136" s="20"/>
      <c r="AA136" s="20">
        <v>304</v>
      </c>
      <c r="AB136" s="20"/>
      <c r="AC136" s="20" t="s">
        <v>1582</v>
      </c>
      <c r="AD136" s="20"/>
    </row>
    <row r="137" spans="1:30" ht="15.75" customHeight="1">
      <c r="A137" s="8">
        <v>136</v>
      </c>
      <c r="B137" s="20" t="s">
        <v>1583</v>
      </c>
      <c r="C137" s="20" t="s">
        <v>1584</v>
      </c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55">
        <v>50</v>
      </c>
      <c r="P137" s="10"/>
      <c r="Q137" s="178">
        <v>44445</v>
      </c>
      <c r="R137" s="169">
        <v>44446</v>
      </c>
      <c r="S137" s="169">
        <v>44446</v>
      </c>
      <c r="T137" s="47" t="s">
        <v>170</v>
      </c>
      <c r="U137" s="167" t="s">
        <v>1585</v>
      </c>
      <c r="V137" s="167" t="s">
        <v>1586</v>
      </c>
      <c r="W137" s="167">
        <v>905430767</v>
      </c>
      <c r="X137" s="20"/>
      <c r="Y137" s="20" t="s">
        <v>1587</v>
      </c>
      <c r="Z137" s="20"/>
      <c r="AA137" s="20">
        <v>305</v>
      </c>
      <c r="AB137" s="20"/>
      <c r="AC137" s="20"/>
      <c r="AD137" s="20"/>
    </row>
    <row r="138" spans="1:30" ht="15.75" customHeight="1">
      <c r="A138" s="8">
        <v>137</v>
      </c>
      <c r="B138" s="20" t="s">
        <v>1588</v>
      </c>
      <c r="C138" s="20" t="s">
        <v>1589</v>
      </c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55">
        <v>50</v>
      </c>
      <c r="P138" s="10"/>
      <c r="Q138" s="178">
        <v>44446</v>
      </c>
      <c r="R138" s="169">
        <v>44447</v>
      </c>
      <c r="S138" s="169">
        <v>44447</v>
      </c>
      <c r="T138" s="47" t="s">
        <v>170</v>
      </c>
      <c r="U138" s="167" t="s">
        <v>1590</v>
      </c>
      <c r="V138" s="167" t="s">
        <v>1591</v>
      </c>
      <c r="W138" s="167">
        <v>725199901</v>
      </c>
      <c r="X138" s="20"/>
      <c r="Y138" s="20" t="s">
        <v>1592</v>
      </c>
      <c r="Z138" s="20"/>
      <c r="AA138" s="20">
        <v>306</v>
      </c>
      <c r="AB138" s="20"/>
      <c r="AC138" s="20"/>
      <c r="AD138" s="20"/>
    </row>
    <row r="139" spans="1:30" ht="15.75" customHeight="1">
      <c r="A139" s="8">
        <v>138</v>
      </c>
      <c r="B139" s="20" t="s">
        <v>1593</v>
      </c>
      <c r="C139" s="20" t="s">
        <v>1594</v>
      </c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55">
        <v>50</v>
      </c>
      <c r="P139" s="10"/>
      <c r="Q139" s="178">
        <v>44451</v>
      </c>
      <c r="R139" s="169">
        <v>44451</v>
      </c>
      <c r="S139" s="169">
        <v>44451</v>
      </c>
      <c r="T139" s="18" t="s">
        <v>689</v>
      </c>
      <c r="U139" s="167" t="s">
        <v>1595</v>
      </c>
      <c r="V139" s="167" t="s">
        <v>1596</v>
      </c>
      <c r="W139" s="167">
        <v>693892734</v>
      </c>
      <c r="X139" s="20" t="s">
        <v>1597</v>
      </c>
      <c r="Y139" s="20" t="s">
        <v>1598</v>
      </c>
      <c r="Z139" s="20"/>
      <c r="AA139" s="20">
        <v>307</v>
      </c>
      <c r="AB139" s="20"/>
      <c r="AC139" s="20" t="s">
        <v>1599</v>
      </c>
      <c r="AD139" s="20"/>
    </row>
    <row r="140" spans="1:30" ht="15.75" customHeight="1">
      <c r="A140" s="8">
        <v>139</v>
      </c>
      <c r="B140" s="20" t="s">
        <v>1600</v>
      </c>
      <c r="C140" s="20" t="s">
        <v>1594</v>
      </c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55">
        <v>50</v>
      </c>
      <c r="P140" s="10"/>
      <c r="Q140" s="178">
        <v>44451</v>
      </c>
      <c r="R140" s="169">
        <v>44451</v>
      </c>
      <c r="S140" s="169">
        <v>44451</v>
      </c>
      <c r="T140" s="47" t="s">
        <v>170</v>
      </c>
      <c r="U140" s="167" t="s">
        <v>1595</v>
      </c>
      <c r="V140" s="167" t="s">
        <v>1596</v>
      </c>
      <c r="W140" s="167">
        <v>501281567</v>
      </c>
      <c r="X140" s="20" t="s">
        <v>1597</v>
      </c>
      <c r="Y140" s="20" t="s">
        <v>1601</v>
      </c>
      <c r="Z140" s="20"/>
      <c r="AA140" s="20">
        <v>308</v>
      </c>
      <c r="AB140" s="20"/>
      <c r="AC140" s="20" t="s">
        <v>1599</v>
      </c>
      <c r="AD140" s="20"/>
    </row>
    <row r="141" spans="1:30" ht="15.75" customHeight="1">
      <c r="A141" s="8">
        <v>140</v>
      </c>
      <c r="B141" s="20" t="s">
        <v>913</v>
      </c>
      <c r="C141" s="20" t="s">
        <v>1602</v>
      </c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55">
        <v>50</v>
      </c>
      <c r="P141" s="10"/>
      <c r="Q141" s="178">
        <v>44452</v>
      </c>
      <c r="R141" s="169">
        <v>44452</v>
      </c>
      <c r="S141" s="169">
        <v>44452</v>
      </c>
      <c r="T141" s="47" t="s">
        <v>170</v>
      </c>
      <c r="U141" s="167" t="s">
        <v>1603</v>
      </c>
      <c r="V141" s="167" t="s">
        <v>1604</v>
      </c>
      <c r="W141" s="167">
        <v>502254552</v>
      </c>
      <c r="X141" s="20" t="s">
        <v>1605</v>
      </c>
      <c r="Y141" s="20" t="s">
        <v>1606</v>
      </c>
      <c r="Z141" s="20"/>
      <c r="AA141" s="20">
        <v>309</v>
      </c>
      <c r="AB141" s="20"/>
      <c r="AC141" s="20" t="s">
        <v>1607</v>
      </c>
      <c r="AD141" s="20"/>
    </row>
    <row r="142" spans="1:30" ht="15.75" customHeight="1">
      <c r="A142" s="8">
        <v>141</v>
      </c>
      <c r="B142" s="20" t="s">
        <v>315</v>
      </c>
      <c r="C142" s="20" t="s">
        <v>1608</v>
      </c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55">
        <v>50</v>
      </c>
      <c r="P142" s="10"/>
      <c r="Q142" s="178">
        <v>44453</v>
      </c>
      <c r="R142" s="169">
        <v>44454</v>
      </c>
      <c r="S142" s="169">
        <v>44454</v>
      </c>
      <c r="T142" s="47" t="s">
        <v>170</v>
      </c>
      <c r="U142" s="167" t="s">
        <v>1609</v>
      </c>
      <c r="V142" s="167" t="s">
        <v>1610</v>
      </c>
      <c r="W142" s="167">
        <v>515567577</v>
      </c>
      <c r="X142" s="20" t="s">
        <v>1611</v>
      </c>
      <c r="Y142" s="20" t="s">
        <v>1612</v>
      </c>
      <c r="Z142" s="20"/>
      <c r="AA142" s="20">
        <v>310</v>
      </c>
      <c r="AB142" s="20"/>
      <c r="AC142" s="20" t="s">
        <v>1611</v>
      </c>
      <c r="AD142" s="20"/>
    </row>
    <row r="143" spans="1:30" ht="15.75" customHeight="1">
      <c r="A143" s="8">
        <v>142</v>
      </c>
      <c r="B143" s="20" t="s">
        <v>325</v>
      </c>
      <c r="C143" s="20" t="s">
        <v>1613</v>
      </c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249">
        <v>50</v>
      </c>
      <c r="P143" s="10"/>
      <c r="Q143" s="178">
        <v>44500</v>
      </c>
      <c r="R143" s="169">
        <v>44502</v>
      </c>
      <c r="S143" s="169">
        <v>44502</v>
      </c>
      <c r="T143" s="47" t="s">
        <v>170</v>
      </c>
      <c r="U143" s="167" t="s">
        <v>1614</v>
      </c>
      <c r="V143" s="167" t="s">
        <v>1615</v>
      </c>
      <c r="W143" s="167">
        <v>517458893</v>
      </c>
      <c r="X143" s="20"/>
      <c r="Y143" s="20" t="s">
        <v>1616</v>
      </c>
      <c r="Z143" s="20"/>
      <c r="AA143" s="20">
        <v>312</v>
      </c>
      <c r="AB143" s="20"/>
      <c r="AC143" s="20"/>
      <c r="AD143" s="20"/>
    </row>
    <row r="144" spans="1:30" ht="15.75" customHeight="1">
      <c r="A144" s="8">
        <v>143</v>
      </c>
      <c r="B144" s="183" t="s">
        <v>905</v>
      </c>
      <c r="C144" s="183" t="s">
        <v>1617</v>
      </c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249">
        <v>50</v>
      </c>
      <c r="P144" s="10"/>
      <c r="Q144" s="225">
        <v>44458</v>
      </c>
      <c r="R144" s="182">
        <v>44459</v>
      </c>
      <c r="S144" s="182">
        <v>44459</v>
      </c>
      <c r="T144" s="47" t="s">
        <v>170</v>
      </c>
      <c r="U144" s="197" t="s">
        <v>1618</v>
      </c>
      <c r="V144" s="197" t="s">
        <v>1619</v>
      </c>
      <c r="W144" s="197">
        <v>509336202</v>
      </c>
      <c r="X144" s="183" t="s">
        <v>1620</v>
      </c>
      <c r="Y144" s="183" t="s">
        <v>1621</v>
      </c>
      <c r="Z144" s="183"/>
      <c r="AA144" s="183">
        <v>311</v>
      </c>
      <c r="AB144" s="183"/>
      <c r="AC144" s="183"/>
      <c r="AD144" s="183"/>
    </row>
    <row r="145" spans="1:30" ht="15.75" customHeight="1">
      <c r="A145" s="8">
        <v>144</v>
      </c>
      <c r="B145" s="20" t="s">
        <v>1622</v>
      </c>
      <c r="C145" s="20" t="s">
        <v>1623</v>
      </c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249">
        <v>50</v>
      </c>
      <c r="P145" s="10"/>
      <c r="Q145" s="178">
        <v>44472</v>
      </c>
      <c r="R145" s="169">
        <v>44473</v>
      </c>
      <c r="S145" s="169">
        <v>44473</v>
      </c>
      <c r="T145" s="47" t="s">
        <v>170</v>
      </c>
      <c r="U145" s="167" t="s">
        <v>1624</v>
      </c>
      <c r="V145" s="167" t="s">
        <v>1625</v>
      </c>
      <c r="W145" s="167">
        <v>533814872</v>
      </c>
      <c r="X145" s="20" t="s">
        <v>1626</v>
      </c>
      <c r="Y145" s="20" t="s">
        <v>1627</v>
      </c>
      <c r="Z145" s="20"/>
      <c r="AA145" s="20">
        <v>313</v>
      </c>
      <c r="AB145" s="20"/>
      <c r="AC145" s="20" t="s">
        <v>1628</v>
      </c>
      <c r="AD145" s="20"/>
    </row>
    <row r="146" spans="1:30" ht="15.75" customHeight="1">
      <c r="A146" s="8">
        <v>145</v>
      </c>
      <c r="B146" s="20" t="s">
        <v>212</v>
      </c>
      <c r="C146" s="20" t="s">
        <v>1629</v>
      </c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249">
        <v>50</v>
      </c>
      <c r="P146" s="10"/>
      <c r="Q146" s="178">
        <v>44474</v>
      </c>
      <c r="R146" s="169">
        <v>44474</v>
      </c>
      <c r="S146" s="169">
        <v>44474</v>
      </c>
      <c r="T146" s="47" t="s">
        <v>170</v>
      </c>
      <c r="U146" s="167" t="s">
        <v>1630</v>
      </c>
      <c r="V146" s="167" t="s">
        <v>1631</v>
      </c>
      <c r="W146" s="167">
        <v>517958484</v>
      </c>
      <c r="X146" s="20"/>
      <c r="Y146" s="20" t="s">
        <v>1632</v>
      </c>
      <c r="Z146" s="20"/>
      <c r="AA146" s="20">
        <v>314</v>
      </c>
      <c r="AB146" s="20"/>
      <c r="AC146" s="20"/>
      <c r="AD146" s="20"/>
    </row>
    <row r="147" spans="1:30" ht="15.75" customHeight="1">
      <c r="A147" s="8">
        <v>146</v>
      </c>
      <c r="B147" s="20" t="s">
        <v>895</v>
      </c>
      <c r="C147" s="20" t="s">
        <v>1633</v>
      </c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249">
        <v>50</v>
      </c>
      <c r="P147" s="10"/>
      <c r="Q147" s="178">
        <v>44474</v>
      </c>
      <c r="R147" s="169">
        <v>44475</v>
      </c>
      <c r="S147" s="169">
        <v>44475</v>
      </c>
      <c r="T147" s="47" t="s">
        <v>170</v>
      </c>
      <c r="U147" s="167" t="s">
        <v>1634</v>
      </c>
      <c r="V147" s="167" t="s">
        <v>933</v>
      </c>
      <c r="W147" s="167">
        <v>781964432</v>
      </c>
      <c r="X147" s="20"/>
      <c r="Y147" s="20" t="s">
        <v>1635</v>
      </c>
      <c r="Z147" s="20"/>
      <c r="AA147" s="20">
        <v>315</v>
      </c>
      <c r="AB147" s="20"/>
      <c r="AC147" s="20"/>
      <c r="AD147" s="20"/>
    </row>
    <row r="148" spans="1:30" ht="15.75" customHeight="1">
      <c r="A148" s="8">
        <v>147</v>
      </c>
      <c r="B148" s="20" t="s">
        <v>1636</v>
      </c>
      <c r="C148" s="20" t="s">
        <v>1637</v>
      </c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249">
        <v>50</v>
      </c>
      <c r="P148" s="10"/>
      <c r="Q148" s="178">
        <v>44474</v>
      </c>
      <c r="R148" s="169">
        <v>44475</v>
      </c>
      <c r="S148" s="169">
        <v>44475</v>
      </c>
      <c r="T148" s="47" t="s">
        <v>170</v>
      </c>
      <c r="U148" s="167" t="s">
        <v>1638</v>
      </c>
      <c r="V148" s="167" t="s">
        <v>1639</v>
      </c>
      <c r="W148" s="167">
        <v>696661351</v>
      </c>
      <c r="X148" s="20"/>
      <c r="Y148" s="20" t="s">
        <v>1640</v>
      </c>
      <c r="Z148" s="20"/>
      <c r="AA148" s="20">
        <v>316</v>
      </c>
      <c r="AB148" s="20"/>
      <c r="AC148" s="20"/>
      <c r="AD148" s="20"/>
    </row>
    <row r="149" spans="1:30" ht="15.75" customHeight="1">
      <c r="A149" s="8">
        <v>148</v>
      </c>
      <c r="B149" s="20" t="s">
        <v>1641</v>
      </c>
      <c r="C149" s="20" t="s">
        <v>1642</v>
      </c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0">
        <v>50</v>
      </c>
      <c r="P149" s="10"/>
      <c r="Q149" s="178">
        <v>44474</v>
      </c>
      <c r="R149" s="169">
        <v>44475</v>
      </c>
      <c r="S149" s="169">
        <v>44475</v>
      </c>
      <c r="T149" s="47" t="s">
        <v>170</v>
      </c>
      <c r="U149" s="167" t="s">
        <v>1643</v>
      </c>
      <c r="V149" s="167" t="s">
        <v>1644</v>
      </c>
      <c r="W149" s="167">
        <v>883720662</v>
      </c>
      <c r="X149" s="20"/>
      <c r="Y149" s="20" t="s">
        <v>1645</v>
      </c>
      <c r="Z149" s="20"/>
      <c r="AA149" s="20">
        <v>317</v>
      </c>
      <c r="AB149" s="20"/>
      <c r="AC149" s="20"/>
      <c r="AD149" s="20"/>
    </row>
    <row r="150" spans="1:30" ht="15.75" customHeight="1">
      <c r="A150" s="8">
        <v>149</v>
      </c>
      <c r="B150" s="20" t="s">
        <v>296</v>
      </c>
      <c r="C150" s="20" t="s">
        <v>1659</v>
      </c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236">
        <v>50</v>
      </c>
      <c r="P150" s="20"/>
      <c r="Q150" s="169">
        <v>44528</v>
      </c>
      <c r="R150" s="169">
        <v>44529</v>
      </c>
      <c r="S150" s="169">
        <v>44529</v>
      </c>
      <c r="T150" s="8" t="s">
        <v>170</v>
      </c>
      <c r="U150" s="167" t="s">
        <v>1660</v>
      </c>
      <c r="V150" s="167" t="s">
        <v>933</v>
      </c>
      <c r="W150" s="167">
        <v>666974151</v>
      </c>
      <c r="X150" s="20"/>
      <c r="Y150" s="20" t="s">
        <v>1661</v>
      </c>
      <c r="Z150" s="20"/>
      <c r="AA150" s="20">
        <v>318</v>
      </c>
      <c r="AB150" s="20"/>
      <c r="AC150" s="20" t="s">
        <v>1662</v>
      </c>
      <c r="AD150" s="20"/>
    </row>
    <row r="151" spans="1:30" ht="15.75" customHeight="1">
      <c r="A151" s="8">
        <v>150</v>
      </c>
      <c r="B151" s="20" t="s">
        <v>1120</v>
      </c>
      <c r="C151" s="20" t="s">
        <v>1663</v>
      </c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236">
        <v>50</v>
      </c>
      <c r="P151" s="20"/>
      <c r="Q151" s="169">
        <v>44539</v>
      </c>
      <c r="R151" s="169">
        <v>44539</v>
      </c>
      <c r="S151" s="169">
        <v>44539</v>
      </c>
      <c r="T151" s="8" t="s">
        <v>170</v>
      </c>
      <c r="U151" s="167" t="s">
        <v>1664</v>
      </c>
      <c r="V151" s="167" t="s">
        <v>45</v>
      </c>
      <c r="W151" s="167">
        <v>788599543</v>
      </c>
      <c r="X151" s="20"/>
      <c r="Y151" s="20" t="s">
        <v>1665</v>
      </c>
      <c r="Z151" s="20"/>
      <c r="AA151" s="20">
        <v>319</v>
      </c>
      <c r="AB151" s="20"/>
      <c r="AC151" s="20"/>
      <c r="AD151" s="20"/>
    </row>
    <row r="152" spans="1:30" ht="15.75" customHeight="1">
      <c r="A152" s="8">
        <v>151</v>
      </c>
      <c r="B152" s="20" t="s">
        <v>1666</v>
      </c>
      <c r="C152" s="20" t="s">
        <v>1667</v>
      </c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236">
        <v>50</v>
      </c>
      <c r="P152" s="20"/>
      <c r="Q152" s="169">
        <v>44538</v>
      </c>
      <c r="R152" s="169">
        <v>44539</v>
      </c>
      <c r="S152" s="169">
        <v>44539</v>
      </c>
      <c r="T152" s="8" t="s">
        <v>170</v>
      </c>
      <c r="U152" s="167" t="s">
        <v>1668</v>
      </c>
      <c r="V152" s="167" t="s">
        <v>1669</v>
      </c>
      <c r="W152" s="167">
        <v>608242524</v>
      </c>
      <c r="X152" s="20" t="s">
        <v>1670</v>
      </c>
      <c r="Y152" s="20" t="s">
        <v>1671</v>
      </c>
      <c r="Z152" s="20"/>
      <c r="AA152" s="20">
        <v>320</v>
      </c>
      <c r="AB152" s="20"/>
      <c r="AC152" s="20" t="s">
        <v>1672</v>
      </c>
      <c r="AD152" s="20"/>
    </row>
    <row r="153" spans="1:30" ht="15.75" customHeight="1">
      <c r="A153" s="8">
        <v>152</v>
      </c>
      <c r="B153" s="20" t="s">
        <v>559</v>
      </c>
      <c r="C153" s="20" t="s">
        <v>1673</v>
      </c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236">
        <v>50</v>
      </c>
      <c r="Q153" s="169">
        <v>44564</v>
      </c>
      <c r="R153" s="169">
        <v>44564</v>
      </c>
      <c r="S153" s="169">
        <v>44564</v>
      </c>
      <c r="T153" s="8" t="s">
        <v>170</v>
      </c>
      <c r="U153" s="167" t="s">
        <v>1674</v>
      </c>
      <c r="V153" s="167" t="s">
        <v>1675</v>
      </c>
      <c r="W153" s="167">
        <v>536407187</v>
      </c>
      <c r="X153" s="20"/>
      <c r="Y153" s="20" t="s">
        <v>1676</v>
      </c>
      <c r="Z153" s="20"/>
      <c r="AA153" s="20">
        <v>321</v>
      </c>
      <c r="AB153" s="20"/>
      <c r="AC153" s="20" t="s">
        <v>1677</v>
      </c>
      <c r="AD153" s="20"/>
    </row>
    <row r="154" spans="1:30" ht="15.75" customHeight="1">
      <c r="A154" s="8">
        <v>153</v>
      </c>
      <c r="B154" s="20" t="s">
        <v>1678</v>
      </c>
      <c r="C154" s="20" t="s">
        <v>1679</v>
      </c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236">
        <v>50</v>
      </c>
      <c r="Q154" s="169">
        <v>44575</v>
      </c>
      <c r="R154" s="169">
        <v>44575</v>
      </c>
      <c r="S154" s="169">
        <v>44575</v>
      </c>
      <c r="T154" s="18" t="s">
        <v>689</v>
      </c>
      <c r="U154" s="167" t="s">
        <v>1680</v>
      </c>
      <c r="V154" s="167" t="s">
        <v>1681</v>
      </c>
      <c r="W154" s="167">
        <v>570040298</v>
      </c>
      <c r="X154" s="20"/>
      <c r="Y154" s="20" t="s">
        <v>1682</v>
      </c>
      <c r="Z154" s="20"/>
      <c r="AA154" s="20">
        <v>322</v>
      </c>
      <c r="AB154" s="20"/>
      <c r="AC154" s="20" t="s">
        <v>1683</v>
      </c>
      <c r="AD154" s="20"/>
    </row>
    <row r="155" spans="1:30" ht="15.75" customHeight="1">
      <c r="A155" s="22"/>
      <c r="O155" s="39"/>
    </row>
    <row r="156" spans="1:30" ht="15.75" customHeight="1">
      <c r="O156" s="39"/>
    </row>
    <row r="157" spans="1:30" ht="15.75" customHeight="1">
      <c r="O157" s="39"/>
    </row>
    <row r="158" spans="1:30" ht="15.75" customHeight="1">
      <c r="O158" s="39"/>
    </row>
    <row r="159" spans="1:30" ht="15.75" customHeight="1">
      <c r="O159" s="39"/>
    </row>
    <row r="160" spans="1:30" ht="15.75" customHeight="1">
      <c r="O160" s="39"/>
    </row>
    <row r="161" spans="15:15" ht="15.75" customHeight="1">
      <c r="O161" s="39"/>
    </row>
    <row r="162" spans="15:15" ht="15.75" customHeight="1">
      <c r="O162" s="39"/>
    </row>
    <row r="163" spans="15:15" ht="15.75" customHeight="1">
      <c r="O163" s="39"/>
    </row>
    <row r="164" spans="15:15" ht="15.75" customHeight="1">
      <c r="O164" s="39"/>
    </row>
    <row r="165" spans="15:15" ht="15.75" customHeight="1">
      <c r="O165" s="39"/>
    </row>
    <row r="166" spans="15:15" ht="15.75" customHeight="1">
      <c r="O166" s="39"/>
    </row>
    <row r="167" spans="15:15" ht="15.75" customHeight="1">
      <c r="O167" s="39"/>
    </row>
    <row r="168" spans="15:15" ht="15.75" customHeight="1">
      <c r="O168" s="39"/>
    </row>
    <row r="169" spans="15:15" ht="15.75" customHeight="1">
      <c r="O169" s="39"/>
    </row>
    <row r="170" spans="15:15" ht="15.75" customHeight="1">
      <c r="O170" s="39"/>
    </row>
    <row r="171" spans="15:15" ht="15.75" customHeight="1">
      <c r="O171" s="39"/>
    </row>
    <row r="172" spans="15:15" ht="15.75" customHeight="1">
      <c r="O172" s="39"/>
    </row>
    <row r="173" spans="15:15" ht="15.75" customHeight="1">
      <c r="O173" s="39"/>
    </row>
    <row r="174" spans="15:15" ht="15.75" customHeight="1">
      <c r="O174" s="39"/>
    </row>
    <row r="175" spans="15:15" ht="15.75" customHeight="1">
      <c r="O175" s="39"/>
    </row>
    <row r="176" spans="15:15" ht="15.75" customHeight="1">
      <c r="O176" s="39"/>
    </row>
    <row r="177" spans="15:15" ht="15.75" customHeight="1">
      <c r="O177" s="39"/>
    </row>
    <row r="178" spans="15:15" ht="15.75" customHeight="1">
      <c r="O178" s="39"/>
    </row>
    <row r="179" spans="15:15" ht="15.75" customHeight="1">
      <c r="O179" s="39"/>
    </row>
    <row r="180" spans="15:15" ht="15.75" customHeight="1">
      <c r="O180" s="39"/>
    </row>
    <row r="181" spans="15:15" ht="15.75" customHeight="1">
      <c r="O181" s="39"/>
    </row>
    <row r="182" spans="15:15" ht="15.75" customHeight="1">
      <c r="O182" s="39"/>
    </row>
    <row r="183" spans="15:15" ht="15.75" customHeight="1">
      <c r="O183" s="39"/>
    </row>
    <row r="184" spans="15:15" ht="15.75" customHeight="1">
      <c r="O184" s="39"/>
    </row>
    <row r="185" spans="15:15" ht="15.75" customHeight="1">
      <c r="O185" s="39"/>
    </row>
    <row r="186" spans="15:15" ht="15.75" customHeight="1">
      <c r="O186" s="39"/>
    </row>
    <row r="187" spans="15:15" ht="15.75" customHeight="1">
      <c r="O187" s="39"/>
    </row>
    <row r="188" spans="15:15" ht="15.75" customHeight="1">
      <c r="O188" s="39"/>
    </row>
    <row r="189" spans="15:15" ht="15.75" customHeight="1">
      <c r="O189" s="39"/>
    </row>
    <row r="190" spans="15:15" ht="15.75" customHeight="1">
      <c r="O190" s="39"/>
    </row>
    <row r="191" spans="15:15" ht="15.75" customHeight="1">
      <c r="O191" s="39"/>
    </row>
    <row r="192" spans="15:15" ht="15.75" customHeight="1">
      <c r="O192" s="39"/>
    </row>
    <row r="193" spans="15:15" ht="15.75" customHeight="1">
      <c r="O193" s="39"/>
    </row>
    <row r="194" spans="15:15" ht="15.75" customHeight="1">
      <c r="O194" s="39"/>
    </row>
    <row r="195" spans="15:15" ht="15.75" customHeight="1">
      <c r="O195" s="39"/>
    </row>
    <row r="196" spans="15:15" ht="15.75" customHeight="1">
      <c r="O196" s="39"/>
    </row>
    <row r="197" spans="15:15" ht="15.75" customHeight="1">
      <c r="O197" s="39"/>
    </row>
    <row r="198" spans="15:15" ht="15.75" customHeight="1">
      <c r="O198" s="39"/>
    </row>
    <row r="199" spans="15:15" ht="15.75" customHeight="1">
      <c r="O199" s="39"/>
    </row>
    <row r="200" spans="15:15" ht="15.75" customHeight="1">
      <c r="O200" s="39"/>
    </row>
    <row r="201" spans="15:15" ht="15.75" customHeight="1">
      <c r="O201" s="39"/>
    </row>
    <row r="202" spans="15:15" ht="15.75" customHeight="1">
      <c r="O202" s="39"/>
    </row>
    <row r="203" spans="15:15" ht="15.75" customHeight="1">
      <c r="O203" s="39"/>
    </row>
    <row r="204" spans="15:15" ht="15.75" customHeight="1">
      <c r="O204" s="39"/>
    </row>
    <row r="205" spans="15:15" ht="15.75" customHeight="1">
      <c r="O205" s="39"/>
    </row>
    <row r="206" spans="15:15" ht="15.75" customHeight="1">
      <c r="O206" s="39"/>
    </row>
    <row r="207" spans="15:15" ht="15.75" customHeight="1">
      <c r="O207" s="39"/>
    </row>
    <row r="208" spans="15:15" ht="15.75" customHeight="1">
      <c r="O208" s="39"/>
    </row>
    <row r="209" spans="15:15" ht="15.75" customHeight="1">
      <c r="O209" s="39"/>
    </row>
    <row r="210" spans="15:15" ht="15.75" customHeight="1">
      <c r="O210" s="39"/>
    </row>
    <row r="211" spans="15:15" ht="15.75" customHeight="1">
      <c r="O211" s="39"/>
    </row>
    <row r="212" spans="15:15" ht="15.75" customHeight="1">
      <c r="O212" s="39"/>
    </row>
    <row r="213" spans="15:15" ht="15.75" customHeight="1">
      <c r="O213" s="39"/>
    </row>
    <row r="214" spans="15:15" ht="15.75" customHeight="1">
      <c r="O214" s="39"/>
    </row>
    <row r="215" spans="15:15" ht="15.75" customHeight="1">
      <c r="O215" s="39"/>
    </row>
    <row r="216" spans="15:15" ht="15.75" customHeight="1">
      <c r="O216" s="39"/>
    </row>
    <row r="217" spans="15:15" ht="15.75" customHeight="1">
      <c r="O217" s="39"/>
    </row>
    <row r="218" spans="15:15" ht="15.75" customHeight="1">
      <c r="O218" s="39"/>
    </row>
    <row r="219" spans="15:15" ht="15.75" customHeight="1">
      <c r="O219" s="39"/>
    </row>
    <row r="220" spans="15:15" ht="15.75" customHeight="1">
      <c r="O220" s="39"/>
    </row>
    <row r="221" spans="15:15" ht="15.75" customHeight="1">
      <c r="O221" s="39"/>
    </row>
    <row r="222" spans="15:15" ht="15.75" customHeight="1">
      <c r="O222" s="39"/>
    </row>
    <row r="223" spans="15:15" ht="15.75" customHeight="1">
      <c r="O223" s="39"/>
    </row>
    <row r="224" spans="15:15" ht="15.75" customHeight="1">
      <c r="O224" s="39"/>
    </row>
    <row r="225" spans="15:15" ht="15.75" customHeight="1">
      <c r="O225" s="39"/>
    </row>
    <row r="226" spans="15:15" ht="15.75" customHeight="1">
      <c r="O226" s="39"/>
    </row>
    <row r="227" spans="15:15" ht="15.75" customHeight="1">
      <c r="O227" s="39"/>
    </row>
    <row r="228" spans="15:15" ht="15.75" customHeight="1">
      <c r="O228" s="39"/>
    </row>
    <row r="229" spans="15:15" ht="15.75" customHeight="1">
      <c r="O229" s="39"/>
    </row>
    <row r="230" spans="15:15" ht="15.75" customHeight="1">
      <c r="O230" s="39"/>
    </row>
    <row r="231" spans="15:15" ht="15.75" customHeight="1">
      <c r="O231" s="39"/>
    </row>
    <row r="232" spans="15:15" ht="15.75" customHeight="1">
      <c r="O232" s="39"/>
    </row>
    <row r="233" spans="15:15" ht="15.75" customHeight="1">
      <c r="O233" s="39"/>
    </row>
    <row r="234" spans="15:15" ht="15.75" customHeight="1">
      <c r="O234" s="39"/>
    </row>
    <row r="235" spans="15:15" ht="15.75" customHeight="1">
      <c r="O235" s="39"/>
    </row>
    <row r="236" spans="15:15" ht="15.75" customHeight="1">
      <c r="O236" s="39"/>
    </row>
    <row r="237" spans="15:15" ht="15.75" customHeight="1">
      <c r="O237" s="39"/>
    </row>
    <row r="238" spans="15:15" ht="15.75" customHeight="1">
      <c r="O238" s="39"/>
    </row>
    <row r="239" spans="15:15" ht="15.75" customHeight="1">
      <c r="O239" s="39"/>
    </row>
    <row r="240" spans="15:15" ht="15.75" customHeight="1">
      <c r="O240" s="39"/>
    </row>
    <row r="241" spans="15:15" ht="15.75" customHeight="1">
      <c r="O241" s="39"/>
    </row>
    <row r="242" spans="15:15" ht="15.75" customHeight="1">
      <c r="O242" s="39"/>
    </row>
    <row r="243" spans="15:15" ht="15.75" customHeight="1">
      <c r="O243" s="39"/>
    </row>
    <row r="244" spans="15:15" ht="15.75" customHeight="1">
      <c r="O244" s="39"/>
    </row>
    <row r="245" spans="15:15" ht="15.75" customHeight="1">
      <c r="O245" s="39"/>
    </row>
    <row r="246" spans="15:15" ht="15.75" customHeight="1">
      <c r="O246" s="39"/>
    </row>
    <row r="247" spans="15:15" ht="15.75" customHeight="1">
      <c r="O247" s="39"/>
    </row>
    <row r="248" spans="15:15" ht="15.75" customHeight="1">
      <c r="O248" s="39"/>
    </row>
    <row r="249" spans="15:15" ht="15.75" customHeight="1">
      <c r="O249" s="39"/>
    </row>
    <row r="250" spans="15:15" ht="15.75" customHeight="1">
      <c r="O250" s="39"/>
    </row>
    <row r="251" spans="15:15" ht="15.75" customHeight="1">
      <c r="O251" s="39"/>
    </row>
    <row r="252" spans="15:15" ht="15.75" customHeight="1">
      <c r="O252" s="39"/>
    </row>
    <row r="253" spans="15:15" ht="15.75" customHeight="1">
      <c r="O253" s="39"/>
    </row>
    <row r="254" spans="15:15" ht="15.75" customHeight="1">
      <c r="O254" s="39"/>
    </row>
    <row r="255" spans="15:15" ht="15.75" customHeight="1">
      <c r="O255" s="39"/>
    </row>
    <row r="256" spans="15:15" ht="15.75" customHeight="1">
      <c r="O256" s="39"/>
    </row>
    <row r="257" spans="15:15" ht="15.75" customHeight="1">
      <c r="O257" s="39"/>
    </row>
    <row r="258" spans="15:15" ht="15.75" customHeight="1">
      <c r="O258" s="39"/>
    </row>
    <row r="259" spans="15:15" ht="15.75" customHeight="1">
      <c r="O259" s="39"/>
    </row>
    <row r="260" spans="15:15" ht="15.75" customHeight="1">
      <c r="O260" s="39"/>
    </row>
    <row r="261" spans="15:15" ht="15.75" customHeight="1">
      <c r="O261" s="39"/>
    </row>
    <row r="262" spans="15:15" ht="15.75" customHeight="1">
      <c r="O262" s="39"/>
    </row>
    <row r="263" spans="15:15" ht="15.75" customHeight="1">
      <c r="O263" s="39"/>
    </row>
    <row r="264" spans="15:15" ht="15.75" customHeight="1">
      <c r="O264" s="39"/>
    </row>
    <row r="265" spans="15:15" ht="15.75" customHeight="1">
      <c r="O265" s="39"/>
    </row>
    <row r="266" spans="15:15" ht="15.75" customHeight="1">
      <c r="O266" s="39"/>
    </row>
    <row r="267" spans="15:15" ht="15.75" customHeight="1">
      <c r="O267" s="39"/>
    </row>
    <row r="268" spans="15:15" ht="15.75" customHeight="1">
      <c r="O268" s="39"/>
    </row>
    <row r="269" spans="15:15" ht="15.75" customHeight="1">
      <c r="O269" s="39"/>
    </row>
    <row r="270" spans="15:15" ht="15.75" customHeight="1">
      <c r="O270" s="39"/>
    </row>
    <row r="271" spans="15:15" ht="15.75" customHeight="1">
      <c r="O271" s="39"/>
    </row>
    <row r="272" spans="15:15" ht="15.75" customHeight="1">
      <c r="O272" s="39"/>
    </row>
    <row r="273" spans="15:15" ht="15.75" customHeight="1">
      <c r="O273" s="39"/>
    </row>
    <row r="274" spans="15:15" ht="15.75" customHeight="1">
      <c r="O274" s="39"/>
    </row>
    <row r="275" spans="15:15" ht="15.75" customHeight="1">
      <c r="O275" s="39"/>
    </row>
    <row r="276" spans="15:15" ht="15.75" customHeight="1">
      <c r="O276" s="39"/>
    </row>
    <row r="277" spans="15:15" ht="15.75" customHeight="1">
      <c r="O277" s="39"/>
    </row>
    <row r="278" spans="15:15" ht="15.75" customHeight="1">
      <c r="O278" s="39"/>
    </row>
    <row r="279" spans="15:15" ht="15.75" customHeight="1">
      <c r="O279" s="39"/>
    </row>
    <row r="280" spans="15:15" ht="15.75" customHeight="1">
      <c r="O280" s="39"/>
    </row>
    <row r="281" spans="15:15" ht="15.75" customHeight="1">
      <c r="O281" s="39"/>
    </row>
    <row r="282" spans="15:15" ht="15.75" customHeight="1">
      <c r="O282" s="39"/>
    </row>
    <row r="283" spans="15:15" ht="15.75" customHeight="1">
      <c r="O283" s="39"/>
    </row>
    <row r="284" spans="15:15" ht="15.75" customHeight="1">
      <c r="O284" s="39"/>
    </row>
    <row r="285" spans="15:15" ht="15.75" customHeight="1">
      <c r="O285" s="39"/>
    </row>
    <row r="286" spans="15:15" ht="15.75" customHeight="1">
      <c r="O286" s="39"/>
    </row>
    <row r="287" spans="15:15" ht="15.75" customHeight="1">
      <c r="O287" s="39"/>
    </row>
    <row r="288" spans="15:15" ht="15.75" customHeight="1">
      <c r="O288" s="39"/>
    </row>
    <row r="289" spans="15:15" ht="15.75" customHeight="1">
      <c r="O289" s="39"/>
    </row>
    <row r="290" spans="15:15" ht="15.75" customHeight="1">
      <c r="O290" s="39"/>
    </row>
    <row r="291" spans="15:15" ht="15.75" customHeight="1">
      <c r="O291" s="39"/>
    </row>
    <row r="292" spans="15:15" ht="15.75" customHeight="1">
      <c r="O292" s="39"/>
    </row>
    <row r="293" spans="15:15" ht="15.75" customHeight="1">
      <c r="O293" s="39"/>
    </row>
    <row r="294" spans="15:15" ht="15.75" customHeight="1">
      <c r="O294" s="39"/>
    </row>
    <row r="295" spans="15:15" ht="15.75" customHeight="1">
      <c r="O295" s="39"/>
    </row>
    <row r="296" spans="15:15" ht="15.75" customHeight="1">
      <c r="O296" s="39"/>
    </row>
    <row r="297" spans="15:15" ht="15.75" customHeight="1">
      <c r="O297" s="39"/>
    </row>
    <row r="298" spans="15:15" ht="15.75" customHeight="1">
      <c r="O298" s="39"/>
    </row>
    <row r="299" spans="15:15" ht="15.75" customHeight="1">
      <c r="O299" s="39"/>
    </row>
    <row r="300" spans="15:15" ht="15.75" customHeight="1">
      <c r="O300" s="39"/>
    </row>
    <row r="301" spans="15:15" ht="15.75" customHeight="1">
      <c r="O301" s="39"/>
    </row>
    <row r="302" spans="15:15" ht="15.75" customHeight="1">
      <c r="O302" s="39"/>
    </row>
    <row r="303" spans="15:15" ht="15.75" customHeight="1">
      <c r="O303" s="39"/>
    </row>
    <row r="304" spans="15:15" ht="15.75" customHeight="1">
      <c r="O304" s="39"/>
    </row>
    <row r="305" spans="15:15" ht="15.75" customHeight="1">
      <c r="O305" s="39"/>
    </row>
    <row r="306" spans="15:15" ht="15.75" customHeight="1">
      <c r="O306" s="39"/>
    </row>
    <row r="307" spans="15:15" ht="15.75" customHeight="1">
      <c r="O307" s="39"/>
    </row>
    <row r="308" spans="15:15" ht="15.75" customHeight="1">
      <c r="O308" s="39"/>
    </row>
    <row r="309" spans="15:15" ht="15.75" customHeight="1">
      <c r="O309" s="39"/>
    </row>
    <row r="310" spans="15:15" ht="15.75" customHeight="1">
      <c r="O310" s="39"/>
    </row>
    <row r="311" spans="15:15" ht="15.75" customHeight="1">
      <c r="O311" s="39"/>
    </row>
    <row r="312" spans="15:15" ht="15.75" customHeight="1">
      <c r="O312" s="39"/>
    </row>
    <row r="313" spans="15:15" ht="15.75" customHeight="1">
      <c r="O313" s="39"/>
    </row>
    <row r="314" spans="15:15" ht="15.75" customHeight="1">
      <c r="O314" s="39"/>
    </row>
    <row r="315" spans="15:15" ht="15.75" customHeight="1">
      <c r="O315" s="39"/>
    </row>
    <row r="316" spans="15:15" ht="15.75" customHeight="1">
      <c r="O316" s="39"/>
    </row>
    <row r="317" spans="15:15" ht="15.75" customHeight="1">
      <c r="O317" s="39"/>
    </row>
    <row r="318" spans="15:15" ht="15.75" customHeight="1">
      <c r="O318" s="39"/>
    </row>
    <row r="319" spans="15:15" ht="15.75" customHeight="1">
      <c r="O319" s="39"/>
    </row>
    <row r="320" spans="15:15" ht="15.75" customHeight="1">
      <c r="O320" s="39"/>
    </row>
    <row r="321" spans="15:15" ht="15.75" customHeight="1">
      <c r="O321" s="39"/>
    </row>
    <row r="322" spans="15:15" ht="15.75" customHeight="1">
      <c r="O322" s="39"/>
    </row>
    <row r="323" spans="15:15" ht="15.75" customHeight="1">
      <c r="O323" s="39"/>
    </row>
    <row r="324" spans="15:15" ht="15.75" customHeight="1">
      <c r="O324" s="39"/>
    </row>
    <row r="325" spans="15:15" ht="15.75" customHeight="1">
      <c r="O325" s="39"/>
    </row>
    <row r="326" spans="15:15" ht="15.75" customHeight="1">
      <c r="O326" s="39"/>
    </row>
    <row r="327" spans="15:15" ht="15.75" customHeight="1">
      <c r="O327" s="39"/>
    </row>
    <row r="328" spans="15:15" ht="15.75" customHeight="1">
      <c r="O328" s="39"/>
    </row>
    <row r="329" spans="15:15" ht="15.75" customHeight="1">
      <c r="O329" s="39"/>
    </row>
    <row r="330" spans="15:15" ht="15.75" customHeight="1">
      <c r="O330" s="39"/>
    </row>
    <row r="331" spans="15:15" ht="15.75" customHeight="1">
      <c r="O331" s="39"/>
    </row>
    <row r="332" spans="15:15" ht="15.75" customHeight="1">
      <c r="O332" s="39"/>
    </row>
    <row r="333" spans="15:15" ht="15.75" customHeight="1">
      <c r="O333" s="39"/>
    </row>
    <row r="334" spans="15:15" ht="15.75" customHeight="1">
      <c r="O334" s="39"/>
    </row>
    <row r="335" spans="15:15" ht="15.75" customHeight="1">
      <c r="O335" s="39"/>
    </row>
    <row r="336" spans="15:15" ht="15.75" customHeight="1">
      <c r="O336" s="39"/>
    </row>
    <row r="337" spans="15:15" ht="15.75" customHeight="1">
      <c r="O337" s="39"/>
    </row>
    <row r="338" spans="15:15" ht="15.75" customHeight="1">
      <c r="O338" s="39"/>
    </row>
    <row r="339" spans="15:15" ht="15.75" customHeight="1">
      <c r="O339" s="39"/>
    </row>
    <row r="340" spans="15:15" ht="15.75" customHeight="1">
      <c r="O340" s="39"/>
    </row>
    <row r="341" spans="15:15" ht="15.75" customHeight="1">
      <c r="O341" s="39"/>
    </row>
    <row r="342" spans="15:15" ht="15.75" customHeight="1">
      <c r="O342" s="39"/>
    </row>
    <row r="343" spans="15:15" ht="15.75" customHeight="1">
      <c r="O343" s="39"/>
    </row>
    <row r="344" spans="15:15" ht="15.75" customHeight="1">
      <c r="O344" s="39"/>
    </row>
    <row r="345" spans="15:15" ht="15.75" customHeight="1">
      <c r="O345" s="39"/>
    </row>
    <row r="346" spans="15:15" ht="15.75" customHeight="1">
      <c r="O346" s="39"/>
    </row>
    <row r="347" spans="15:15" ht="15.75" customHeight="1">
      <c r="O347" s="39"/>
    </row>
    <row r="348" spans="15:15" ht="15.75" customHeight="1">
      <c r="O348" s="39"/>
    </row>
    <row r="349" spans="15:15" ht="15.75" customHeight="1">
      <c r="O349" s="39"/>
    </row>
    <row r="350" spans="15:15" ht="15.75" customHeight="1">
      <c r="O350" s="39"/>
    </row>
    <row r="351" spans="15:15" ht="15.75" customHeight="1">
      <c r="O351" s="39"/>
    </row>
    <row r="352" spans="15:15" ht="15.75" customHeight="1">
      <c r="O352" s="39"/>
    </row>
    <row r="353" spans="15:15" ht="15.75" customHeight="1">
      <c r="O353" s="39"/>
    </row>
    <row r="354" spans="15:15" ht="15.75" customHeight="1">
      <c r="O354" s="39"/>
    </row>
    <row r="355" spans="15:15" ht="15.75" customHeight="1">
      <c r="O355" s="39"/>
    </row>
    <row r="356" spans="15:15" ht="15.75" customHeight="1">
      <c r="O356" s="39"/>
    </row>
    <row r="357" spans="15:15" ht="15.75" customHeight="1">
      <c r="O357" s="39"/>
    </row>
    <row r="358" spans="15:15" ht="15.75" customHeight="1">
      <c r="O358" s="39"/>
    </row>
    <row r="359" spans="15:15" ht="15.75" customHeight="1">
      <c r="O359" s="39"/>
    </row>
    <row r="360" spans="15:15" ht="15.75" customHeight="1">
      <c r="O360" s="39"/>
    </row>
    <row r="361" spans="15:15" ht="15.75" customHeight="1">
      <c r="O361" s="39"/>
    </row>
    <row r="362" spans="15:15" ht="15.75" customHeight="1">
      <c r="O362" s="39"/>
    </row>
    <row r="363" spans="15:15" ht="15.75" customHeight="1">
      <c r="O363" s="39"/>
    </row>
    <row r="364" spans="15:15" ht="15.75" customHeight="1">
      <c r="O364" s="39"/>
    </row>
    <row r="365" spans="15:15" ht="15.75" customHeight="1">
      <c r="O365" s="39"/>
    </row>
    <row r="366" spans="15:15" ht="15.75" customHeight="1">
      <c r="O366" s="39"/>
    </row>
    <row r="367" spans="15:15" ht="15.75" customHeight="1">
      <c r="O367" s="39"/>
    </row>
    <row r="368" spans="15:15" ht="15.75" customHeight="1">
      <c r="O368" s="39"/>
    </row>
    <row r="369" spans="15:15" ht="15.75" customHeight="1">
      <c r="O369" s="39"/>
    </row>
    <row r="370" spans="15:15" ht="15.75" customHeight="1">
      <c r="O370" s="39"/>
    </row>
    <row r="371" spans="15:15" ht="15.75" customHeight="1">
      <c r="O371" s="39"/>
    </row>
    <row r="372" spans="15:15" ht="15.75" customHeight="1">
      <c r="O372" s="39"/>
    </row>
    <row r="373" spans="15:15" ht="15.75" customHeight="1">
      <c r="O373" s="39"/>
    </row>
    <row r="374" spans="15:15" ht="15.75" customHeight="1">
      <c r="O374" s="39"/>
    </row>
    <row r="375" spans="15:15" ht="15.75" customHeight="1">
      <c r="O375" s="39"/>
    </row>
    <row r="376" spans="15:15" ht="15.75" customHeight="1">
      <c r="O376" s="39"/>
    </row>
    <row r="377" spans="15:15" ht="15.75" customHeight="1">
      <c r="O377" s="39"/>
    </row>
    <row r="378" spans="15:15" ht="15.75" customHeight="1">
      <c r="O378" s="39"/>
    </row>
    <row r="379" spans="15:15" ht="15.75" customHeight="1">
      <c r="O379" s="39"/>
    </row>
    <row r="380" spans="15:15" ht="15.75" customHeight="1">
      <c r="O380" s="39"/>
    </row>
    <row r="381" spans="15:15" ht="15.75" customHeight="1">
      <c r="O381" s="39"/>
    </row>
    <row r="382" spans="15:15" ht="15.75" customHeight="1">
      <c r="O382" s="39"/>
    </row>
    <row r="383" spans="15:15" ht="15.75" customHeight="1">
      <c r="O383" s="39"/>
    </row>
    <row r="384" spans="15:15" ht="15.75" customHeight="1">
      <c r="O384" s="39"/>
    </row>
    <row r="385" spans="15:15" ht="15.75" customHeight="1">
      <c r="O385" s="39"/>
    </row>
    <row r="386" spans="15:15" ht="15.75" customHeight="1">
      <c r="O386" s="39"/>
    </row>
    <row r="387" spans="15:15" ht="15.75" customHeight="1">
      <c r="O387" s="39"/>
    </row>
    <row r="388" spans="15:15" ht="15.75" customHeight="1">
      <c r="O388" s="39"/>
    </row>
    <row r="389" spans="15:15" ht="15.75" customHeight="1">
      <c r="O389" s="39"/>
    </row>
    <row r="390" spans="15:15" ht="15.75" customHeight="1">
      <c r="O390" s="39"/>
    </row>
    <row r="391" spans="15:15" ht="15.75" customHeight="1">
      <c r="O391" s="39"/>
    </row>
    <row r="392" spans="15:15" ht="15.75" customHeight="1">
      <c r="O392" s="39"/>
    </row>
    <row r="393" spans="15:15" ht="15.75" customHeight="1">
      <c r="O393" s="39"/>
    </row>
    <row r="394" spans="15:15" ht="15.75" customHeight="1">
      <c r="O394" s="39"/>
    </row>
    <row r="395" spans="15:15" ht="15.75" customHeight="1">
      <c r="O395" s="39"/>
    </row>
    <row r="396" spans="15:15" ht="15.75" customHeight="1">
      <c r="O396" s="39"/>
    </row>
    <row r="397" spans="15:15" ht="15.75" customHeight="1">
      <c r="O397" s="39"/>
    </row>
    <row r="398" spans="15:15" ht="15.75" customHeight="1">
      <c r="O398" s="39"/>
    </row>
    <row r="399" spans="15:15" ht="15.75" customHeight="1">
      <c r="O399" s="39"/>
    </row>
    <row r="400" spans="15:15" ht="15.75" customHeight="1">
      <c r="O400" s="39"/>
    </row>
    <row r="401" spans="15:15" ht="15.75" customHeight="1">
      <c r="O401" s="39"/>
    </row>
    <row r="402" spans="15:15" ht="15.75" customHeight="1">
      <c r="O402" s="39"/>
    </row>
    <row r="403" spans="15:15" ht="15.75" customHeight="1">
      <c r="O403" s="39"/>
    </row>
    <row r="404" spans="15:15" ht="15.75" customHeight="1">
      <c r="O404" s="39"/>
    </row>
    <row r="405" spans="15:15" ht="15.75" customHeight="1">
      <c r="O405" s="39"/>
    </row>
    <row r="406" spans="15:15" ht="15.75" customHeight="1">
      <c r="O406" s="39"/>
    </row>
    <row r="407" spans="15:15" ht="15.75" customHeight="1">
      <c r="O407" s="39"/>
    </row>
    <row r="408" spans="15:15" ht="15.75" customHeight="1">
      <c r="O408" s="39"/>
    </row>
    <row r="409" spans="15:15" ht="15.75" customHeight="1">
      <c r="O409" s="39"/>
    </row>
    <row r="410" spans="15:15" ht="15.75" customHeight="1">
      <c r="O410" s="39"/>
    </row>
    <row r="411" spans="15:15" ht="15.75" customHeight="1">
      <c r="O411" s="39"/>
    </row>
    <row r="412" spans="15:15" ht="15.75" customHeight="1">
      <c r="O412" s="39"/>
    </row>
    <row r="413" spans="15:15" ht="15.75" customHeight="1">
      <c r="O413" s="39"/>
    </row>
    <row r="414" spans="15:15" ht="15.75" customHeight="1">
      <c r="O414" s="39"/>
    </row>
    <row r="415" spans="15:15" ht="15.75" customHeight="1">
      <c r="O415" s="39"/>
    </row>
    <row r="416" spans="15:15" ht="15.75" customHeight="1">
      <c r="O416" s="39"/>
    </row>
    <row r="417" spans="15:15" ht="15.75" customHeight="1">
      <c r="O417" s="39"/>
    </row>
    <row r="418" spans="15:15" ht="15.75" customHeight="1">
      <c r="O418" s="39"/>
    </row>
    <row r="419" spans="15:15" ht="15.75" customHeight="1">
      <c r="O419" s="39"/>
    </row>
    <row r="420" spans="15:15" ht="15.75" customHeight="1">
      <c r="O420" s="39"/>
    </row>
    <row r="421" spans="15:15" ht="15.75" customHeight="1">
      <c r="O421" s="39"/>
    </row>
    <row r="422" spans="15:15" ht="15.75" customHeight="1">
      <c r="O422" s="39"/>
    </row>
    <row r="423" spans="15:15" ht="15.75" customHeight="1">
      <c r="O423" s="39"/>
    </row>
    <row r="424" spans="15:15" ht="15.75" customHeight="1">
      <c r="O424" s="39"/>
    </row>
    <row r="425" spans="15:15" ht="15.75" customHeight="1">
      <c r="O425" s="39"/>
    </row>
    <row r="426" spans="15:15" ht="15.75" customHeight="1">
      <c r="O426" s="39"/>
    </row>
    <row r="427" spans="15:15" ht="15.75" customHeight="1">
      <c r="O427" s="39"/>
    </row>
    <row r="428" spans="15:15" ht="15.75" customHeight="1">
      <c r="O428" s="39"/>
    </row>
    <row r="429" spans="15:15" ht="15.75" customHeight="1">
      <c r="O429" s="39"/>
    </row>
    <row r="430" spans="15:15" ht="15.75" customHeight="1">
      <c r="O430" s="39"/>
    </row>
    <row r="431" spans="15:15" ht="15.75" customHeight="1">
      <c r="O431" s="39"/>
    </row>
    <row r="432" spans="15:15" ht="15.75" customHeight="1">
      <c r="O432" s="39"/>
    </row>
    <row r="433" spans="15:15" ht="15.75" customHeight="1">
      <c r="O433" s="39"/>
    </row>
    <row r="434" spans="15:15" ht="15.75" customHeight="1">
      <c r="O434" s="39"/>
    </row>
    <row r="435" spans="15:15" ht="15.75" customHeight="1">
      <c r="O435" s="39"/>
    </row>
    <row r="436" spans="15:15" ht="15.75" customHeight="1">
      <c r="O436" s="39"/>
    </row>
    <row r="437" spans="15:15" ht="15.75" customHeight="1">
      <c r="O437" s="39"/>
    </row>
    <row r="438" spans="15:15" ht="15.75" customHeight="1">
      <c r="O438" s="39"/>
    </row>
    <row r="439" spans="15:15" ht="15.75" customHeight="1">
      <c r="O439" s="39"/>
    </row>
    <row r="440" spans="15:15" ht="15.75" customHeight="1">
      <c r="O440" s="39"/>
    </row>
    <row r="441" spans="15:15" ht="15.75" customHeight="1">
      <c r="O441" s="39"/>
    </row>
    <row r="442" spans="15:15" ht="15.75" customHeight="1">
      <c r="O442" s="39"/>
    </row>
    <row r="443" spans="15:15" ht="15.75" customHeight="1">
      <c r="O443" s="39"/>
    </row>
    <row r="444" spans="15:15" ht="15.75" customHeight="1">
      <c r="O444" s="39"/>
    </row>
    <row r="445" spans="15:15" ht="15.75" customHeight="1">
      <c r="O445" s="39"/>
    </row>
    <row r="446" spans="15:15" ht="15.75" customHeight="1">
      <c r="O446" s="39"/>
    </row>
    <row r="447" spans="15:15" ht="15.75" customHeight="1">
      <c r="O447" s="39"/>
    </row>
    <row r="448" spans="15:15" ht="15.75" customHeight="1">
      <c r="O448" s="39"/>
    </row>
    <row r="449" spans="15:15" ht="15.75" customHeight="1">
      <c r="O449" s="39"/>
    </row>
    <row r="450" spans="15:15" ht="15.75" customHeight="1">
      <c r="O450" s="39"/>
    </row>
    <row r="451" spans="15:15" ht="15.75" customHeight="1">
      <c r="O451" s="39"/>
    </row>
    <row r="452" spans="15:15" ht="15.75" customHeight="1">
      <c r="O452" s="39"/>
    </row>
    <row r="453" spans="15:15" ht="15.75" customHeight="1">
      <c r="O453" s="39"/>
    </row>
    <row r="454" spans="15:15" ht="15.75" customHeight="1">
      <c r="O454" s="39"/>
    </row>
    <row r="455" spans="15:15" ht="15.75" customHeight="1">
      <c r="O455" s="39"/>
    </row>
    <row r="456" spans="15:15" ht="15.75" customHeight="1">
      <c r="O456" s="39"/>
    </row>
    <row r="457" spans="15:15" ht="15.75" customHeight="1">
      <c r="O457" s="39"/>
    </row>
    <row r="458" spans="15:15" ht="15.75" customHeight="1">
      <c r="O458" s="39"/>
    </row>
    <row r="459" spans="15:15" ht="15.75" customHeight="1">
      <c r="O459" s="39"/>
    </row>
    <row r="460" spans="15:15" ht="15.75" customHeight="1">
      <c r="O460" s="39"/>
    </row>
    <row r="461" spans="15:15" ht="15.75" customHeight="1">
      <c r="O461" s="39"/>
    </row>
    <row r="462" spans="15:15" ht="15.75" customHeight="1">
      <c r="O462" s="39"/>
    </row>
    <row r="463" spans="15:15" ht="15.75" customHeight="1">
      <c r="O463" s="39"/>
    </row>
    <row r="464" spans="15:15" ht="15.75" customHeight="1">
      <c r="O464" s="39"/>
    </row>
    <row r="465" spans="15:15" ht="15.75" customHeight="1">
      <c r="O465" s="39"/>
    </row>
    <row r="466" spans="15:15" ht="15.75" customHeight="1">
      <c r="O466" s="39"/>
    </row>
    <row r="467" spans="15:15" ht="15.75" customHeight="1">
      <c r="O467" s="39"/>
    </row>
    <row r="468" spans="15:15" ht="15.75" customHeight="1">
      <c r="O468" s="39"/>
    </row>
    <row r="469" spans="15:15" ht="15.75" customHeight="1">
      <c r="O469" s="39"/>
    </row>
    <row r="470" spans="15:15" ht="15.75" customHeight="1">
      <c r="O470" s="39"/>
    </row>
    <row r="471" spans="15:15" ht="15.75" customHeight="1">
      <c r="O471" s="39"/>
    </row>
    <row r="472" spans="15:15" ht="15.75" customHeight="1">
      <c r="O472" s="39"/>
    </row>
    <row r="473" spans="15:15" ht="15.75" customHeight="1">
      <c r="O473" s="39"/>
    </row>
    <row r="474" spans="15:15" ht="15.75" customHeight="1">
      <c r="O474" s="39"/>
    </row>
    <row r="475" spans="15:15" ht="15.75" customHeight="1">
      <c r="O475" s="39"/>
    </row>
    <row r="476" spans="15:15" ht="15.75" customHeight="1">
      <c r="O476" s="39"/>
    </row>
    <row r="477" spans="15:15" ht="15.75" customHeight="1">
      <c r="O477" s="39"/>
    </row>
    <row r="478" spans="15:15" ht="15.75" customHeight="1">
      <c r="O478" s="39"/>
    </row>
    <row r="479" spans="15:15" ht="15.75" customHeight="1">
      <c r="O479" s="39"/>
    </row>
    <row r="480" spans="15:15" ht="15.75" customHeight="1">
      <c r="O480" s="39"/>
    </row>
    <row r="481" spans="15:15" ht="15.75" customHeight="1">
      <c r="O481" s="39"/>
    </row>
    <row r="482" spans="15:15" ht="15.75" customHeight="1">
      <c r="O482" s="39"/>
    </row>
    <row r="483" spans="15:15" ht="15.75" customHeight="1">
      <c r="O483" s="39"/>
    </row>
    <row r="484" spans="15:15" ht="15.75" customHeight="1">
      <c r="O484" s="39"/>
    </row>
    <row r="485" spans="15:15" ht="15.75" customHeight="1">
      <c r="O485" s="39"/>
    </row>
    <row r="486" spans="15:15" ht="15.75" customHeight="1">
      <c r="O486" s="39"/>
    </row>
    <row r="487" spans="15:15" ht="15.75" customHeight="1">
      <c r="O487" s="39"/>
    </row>
    <row r="488" spans="15:15" ht="15.75" customHeight="1">
      <c r="O488" s="39"/>
    </row>
    <row r="489" spans="15:15" ht="15.75" customHeight="1">
      <c r="O489" s="39"/>
    </row>
    <row r="490" spans="15:15" ht="15.75" customHeight="1">
      <c r="O490" s="39"/>
    </row>
    <row r="491" spans="15:15" ht="15.75" customHeight="1">
      <c r="O491" s="39"/>
    </row>
    <row r="492" spans="15:15" ht="15.75" customHeight="1">
      <c r="O492" s="39"/>
    </row>
    <row r="493" spans="15:15" ht="15.75" customHeight="1">
      <c r="O493" s="39"/>
    </row>
    <row r="494" spans="15:15" ht="15.75" customHeight="1">
      <c r="O494" s="39"/>
    </row>
    <row r="495" spans="15:15" ht="15.75" customHeight="1">
      <c r="O495" s="39"/>
    </row>
    <row r="496" spans="15:15" ht="15.75" customHeight="1">
      <c r="O496" s="39"/>
    </row>
    <row r="497" spans="15:15" ht="15.75" customHeight="1">
      <c r="O497" s="39"/>
    </row>
    <row r="498" spans="15:15" ht="15.75" customHeight="1">
      <c r="O498" s="39"/>
    </row>
    <row r="499" spans="15:15" ht="15.75" customHeight="1">
      <c r="O499" s="39"/>
    </row>
    <row r="500" spans="15:15" ht="15.75" customHeight="1">
      <c r="O500" s="39"/>
    </row>
    <row r="501" spans="15:15" ht="15.75" customHeight="1">
      <c r="O501" s="39"/>
    </row>
    <row r="502" spans="15:15" ht="15.75" customHeight="1">
      <c r="O502" s="39"/>
    </row>
    <row r="503" spans="15:15" ht="15.75" customHeight="1">
      <c r="O503" s="39"/>
    </row>
    <row r="504" spans="15:15" ht="15.75" customHeight="1">
      <c r="O504" s="39"/>
    </row>
    <row r="505" spans="15:15" ht="15.75" customHeight="1">
      <c r="O505" s="39"/>
    </row>
    <row r="506" spans="15:15" ht="15.75" customHeight="1">
      <c r="O506" s="39"/>
    </row>
    <row r="507" spans="15:15" ht="15.75" customHeight="1">
      <c r="O507" s="39"/>
    </row>
    <row r="508" spans="15:15" ht="15.75" customHeight="1">
      <c r="O508" s="39"/>
    </row>
    <row r="509" spans="15:15" ht="15.75" customHeight="1">
      <c r="O509" s="39"/>
    </row>
    <row r="510" spans="15:15" ht="15.75" customHeight="1">
      <c r="O510" s="39"/>
    </row>
    <row r="511" spans="15:15" ht="15.75" customHeight="1">
      <c r="O511" s="39"/>
    </row>
    <row r="512" spans="15:15" ht="15.75" customHeight="1">
      <c r="O512" s="39"/>
    </row>
    <row r="513" spans="15:15" ht="15.75" customHeight="1">
      <c r="O513" s="39"/>
    </row>
    <row r="514" spans="15:15" ht="15.75" customHeight="1">
      <c r="O514" s="39"/>
    </row>
    <row r="515" spans="15:15" ht="15.75" customHeight="1">
      <c r="O515" s="39"/>
    </row>
    <row r="516" spans="15:15" ht="15.75" customHeight="1">
      <c r="O516" s="39"/>
    </row>
    <row r="517" spans="15:15" ht="15.75" customHeight="1">
      <c r="O517" s="39"/>
    </row>
    <row r="518" spans="15:15" ht="15.75" customHeight="1">
      <c r="O518" s="39"/>
    </row>
    <row r="519" spans="15:15" ht="15.75" customHeight="1">
      <c r="O519" s="39"/>
    </row>
    <row r="520" spans="15:15" ht="15.75" customHeight="1">
      <c r="O520" s="39"/>
    </row>
    <row r="521" spans="15:15" ht="15.75" customHeight="1">
      <c r="O521" s="39"/>
    </row>
    <row r="522" spans="15:15" ht="15.75" customHeight="1">
      <c r="O522" s="39"/>
    </row>
    <row r="523" spans="15:15" ht="15.75" customHeight="1">
      <c r="O523" s="39"/>
    </row>
    <row r="524" spans="15:15" ht="15.75" customHeight="1">
      <c r="O524" s="39"/>
    </row>
    <row r="525" spans="15:15" ht="15.75" customHeight="1">
      <c r="O525" s="39"/>
    </row>
    <row r="526" spans="15:15" ht="15.75" customHeight="1">
      <c r="O526" s="39"/>
    </row>
    <row r="527" spans="15:15" ht="15.75" customHeight="1">
      <c r="O527" s="39"/>
    </row>
    <row r="528" spans="15:15" ht="15.75" customHeight="1">
      <c r="O528" s="39"/>
    </row>
    <row r="529" spans="15:15" ht="15.75" customHeight="1">
      <c r="O529" s="39"/>
    </row>
    <row r="530" spans="15:15" ht="15.75" customHeight="1">
      <c r="O530" s="39"/>
    </row>
    <row r="531" spans="15:15" ht="15.75" customHeight="1">
      <c r="O531" s="39"/>
    </row>
    <row r="532" spans="15:15" ht="15.75" customHeight="1">
      <c r="O532" s="39"/>
    </row>
    <row r="533" spans="15:15" ht="15.75" customHeight="1">
      <c r="O533" s="39"/>
    </row>
    <row r="534" spans="15:15" ht="15.75" customHeight="1">
      <c r="O534" s="39"/>
    </row>
    <row r="535" spans="15:15" ht="15.75" customHeight="1">
      <c r="O535" s="39"/>
    </row>
    <row r="536" spans="15:15" ht="15.75" customHeight="1">
      <c r="O536" s="39"/>
    </row>
    <row r="537" spans="15:15" ht="15.75" customHeight="1">
      <c r="O537" s="39"/>
    </row>
    <row r="538" spans="15:15" ht="15.75" customHeight="1">
      <c r="O538" s="39"/>
    </row>
    <row r="539" spans="15:15" ht="15.75" customHeight="1">
      <c r="O539" s="39"/>
    </row>
    <row r="540" spans="15:15" ht="15.75" customHeight="1">
      <c r="O540" s="39"/>
    </row>
    <row r="541" spans="15:15" ht="15.75" customHeight="1">
      <c r="O541" s="39"/>
    </row>
    <row r="542" spans="15:15" ht="15.75" customHeight="1">
      <c r="O542" s="39"/>
    </row>
    <row r="543" spans="15:15" ht="15.75" customHeight="1">
      <c r="O543" s="39"/>
    </row>
    <row r="544" spans="15:15" ht="15.75" customHeight="1">
      <c r="O544" s="39"/>
    </row>
    <row r="545" spans="15:15" ht="15.75" customHeight="1">
      <c r="O545" s="39"/>
    </row>
    <row r="546" spans="15:15" ht="15.75" customHeight="1">
      <c r="O546" s="39"/>
    </row>
    <row r="547" spans="15:15" ht="15.75" customHeight="1">
      <c r="O547" s="39"/>
    </row>
    <row r="548" spans="15:15" ht="15.75" customHeight="1">
      <c r="O548" s="39"/>
    </row>
    <row r="549" spans="15:15" ht="15.75" customHeight="1">
      <c r="O549" s="39"/>
    </row>
    <row r="550" spans="15:15" ht="15.75" customHeight="1">
      <c r="O550" s="39"/>
    </row>
    <row r="551" spans="15:15" ht="15.75" customHeight="1">
      <c r="O551" s="39"/>
    </row>
    <row r="552" spans="15:15" ht="15.75" customHeight="1">
      <c r="O552" s="39"/>
    </row>
    <row r="553" spans="15:15" ht="15.75" customHeight="1">
      <c r="O553" s="39"/>
    </row>
    <row r="554" spans="15:15" ht="15.75" customHeight="1">
      <c r="O554" s="39"/>
    </row>
    <row r="555" spans="15:15" ht="15.75" customHeight="1">
      <c r="O555" s="39"/>
    </row>
    <row r="556" spans="15:15" ht="15.75" customHeight="1">
      <c r="O556" s="39"/>
    </row>
    <row r="557" spans="15:15" ht="15.75" customHeight="1">
      <c r="O557" s="39"/>
    </row>
    <row r="558" spans="15:15" ht="15.75" customHeight="1">
      <c r="O558" s="39"/>
    </row>
    <row r="559" spans="15:15" ht="15.75" customHeight="1">
      <c r="O559" s="39"/>
    </row>
    <row r="560" spans="15:15" ht="15.75" customHeight="1">
      <c r="O560" s="39"/>
    </row>
    <row r="561" spans="15:15" ht="15.75" customHeight="1">
      <c r="O561" s="39"/>
    </row>
    <row r="562" spans="15:15" ht="15.75" customHeight="1">
      <c r="O562" s="39"/>
    </row>
    <row r="563" spans="15:15" ht="15.75" customHeight="1">
      <c r="O563" s="39"/>
    </row>
    <row r="564" spans="15:15" ht="15.75" customHeight="1">
      <c r="O564" s="39"/>
    </row>
    <row r="565" spans="15:15" ht="15.75" customHeight="1">
      <c r="O565" s="39"/>
    </row>
    <row r="566" spans="15:15" ht="15.75" customHeight="1">
      <c r="O566" s="39"/>
    </row>
    <row r="567" spans="15:15" ht="15.75" customHeight="1">
      <c r="O567" s="39"/>
    </row>
    <row r="568" spans="15:15" ht="15.75" customHeight="1">
      <c r="O568" s="39"/>
    </row>
    <row r="569" spans="15:15" ht="15.75" customHeight="1">
      <c r="O569" s="39"/>
    </row>
    <row r="570" spans="15:15" ht="15.75" customHeight="1">
      <c r="O570" s="39"/>
    </row>
    <row r="571" spans="15:15" ht="15.75" customHeight="1">
      <c r="O571" s="39"/>
    </row>
    <row r="572" spans="15:15" ht="15.75" customHeight="1">
      <c r="O572" s="39"/>
    </row>
    <row r="573" spans="15:15" ht="15.75" customHeight="1">
      <c r="O573" s="39"/>
    </row>
    <row r="574" spans="15:15" ht="15.75" customHeight="1">
      <c r="O574" s="39"/>
    </row>
    <row r="575" spans="15:15" ht="15.75" customHeight="1">
      <c r="O575" s="39"/>
    </row>
    <row r="576" spans="15:15" ht="15.75" customHeight="1">
      <c r="O576" s="39"/>
    </row>
    <row r="577" spans="15:15" ht="15.75" customHeight="1">
      <c r="O577" s="39"/>
    </row>
    <row r="578" spans="15:15" ht="15.75" customHeight="1">
      <c r="O578" s="39"/>
    </row>
    <row r="579" spans="15:15" ht="15.75" customHeight="1">
      <c r="O579" s="39"/>
    </row>
    <row r="580" spans="15:15" ht="15.75" customHeight="1">
      <c r="O580" s="39"/>
    </row>
    <row r="581" spans="15:15" ht="15.75" customHeight="1">
      <c r="O581" s="39"/>
    </row>
    <row r="582" spans="15:15" ht="15.75" customHeight="1">
      <c r="O582" s="39"/>
    </row>
    <row r="583" spans="15:15" ht="15.75" customHeight="1">
      <c r="O583" s="39"/>
    </row>
    <row r="584" spans="15:15" ht="15.75" customHeight="1">
      <c r="O584" s="39"/>
    </row>
    <row r="585" spans="15:15" ht="15.75" customHeight="1">
      <c r="O585" s="39"/>
    </row>
    <row r="586" spans="15:15" ht="15.75" customHeight="1">
      <c r="O586" s="39"/>
    </row>
    <row r="587" spans="15:15" ht="15.75" customHeight="1">
      <c r="O587" s="39"/>
    </row>
    <row r="588" spans="15:15" ht="15.75" customHeight="1">
      <c r="O588" s="39"/>
    </row>
    <row r="589" spans="15:15" ht="15.75" customHeight="1">
      <c r="O589" s="39"/>
    </row>
    <row r="590" spans="15:15" ht="15.75" customHeight="1">
      <c r="O590" s="39"/>
    </row>
    <row r="591" spans="15:15" ht="15.75" customHeight="1">
      <c r="O591" s="39"/>
    </row>
    <row r="592" spans="15:15" ht="15.75" customHeight="1">
      <c r="O592" s="39"/>
    </row>
    <row r="593" spans="15:15" ht="15.75" customHeight="1">
      <c r="O593" s="39"/>
    </row>
    <row r="594" spans="15:15" ht="15.75" customHeight="1">
      <c r="O594" s="39"/>
    </row>
    <row r="595" spans="15:15" ht="15.75" customHeight="1">
      <c r="O595" s="39"/>
    </row>
    <row r="596" spans="15:15" ht="15.75" customHeight="1">
      <c r="O596" s="39"/>
    </row>
    <row r="597" spans="15:15" ht="15.75" customHeight="1">
      <c r="O597" s="39"/>
    </row>
    <row r="598" spans="15:15" ht="15.75" customHeight="1">
      <c r="O598" s="39"/>
    </row>
    <row r="599" spans="15:15" ht="15.75" customHeight="1">
      <c r="O599" s="39"/>
    </row>
    <row r="600" spans="15:15" ht="15.75" customHeight="1">
      <c r="O600" s="39"/>
    </row>
    <row r="601" spans="15:15" ht="15.75" customHeight="1">
      <c r="O601" s="39"/>
    </row>
    <row r="602" spans="15:15" ht="15.75" customHeight="1">
      <c r="O602" s="39"/>
    </row>
    <row r="603" spans="15:15" ht="15.75" customHeight="1">
      <c r="O603" s="39"/>
    </row>
    <row r="604" spans="15:15" ht="15.75" customHeight="1">
      <c r="O604" s="39"/>
    </row>
    <row r="605" spans="15:15" ht="15.75" customHeight="1">
      <c r="O605" s="39"/>
    </row>
    <row r="606" spans="15:15" ht="15.75" customHeight="1">
      <c r="O606" s="39"/>
    </row>
    <row r="607" spans="15:15" ht="15.75" customHeight="1">
      <c r="O607" s="39"/>
    </row>
    <row r="608" spans="15:15" ht="15.75" customHeight="1">
      <c r="O608" s="39"/>
    </row>
    <row r="609" spans="15:15" ht="15.75" customHeight="1">
      <c r="O609" s="39"/>
    </row>
    <row r="610" spans="15:15" ht="15.75" customHeight="1">
      <c r="O610" s="39"/>
    </row>
    <row r="611" spans="15:15" ht="15.75" customHeight="1">
      <c r="O611" s="39"/>
    </row>
    <row r="612" spans="15:15" ht="15.75" customHeight="1">
      <c r="O612" s="39"/>
    </row>
    <row r="613" spans="15:15" ht="15.75" customHeight="1">
      <c r="O613" s="39"/>
    </row>
    <row r="614" spans="15:15" ht="15.75" customHeight="1">
      <c r="O614" s="39"/>
    </row>
    <row r="615" spans="15:15" ht="15.75" customHeight="1">
      <c r="O615" s="39"/>
    </row>
    <row r="616" spans="15:15" ht="15.75" customHeight="1">
      <c r="O616" s="39"/>
    </row>
    <row r="617" spans="15:15" ht="15.75" customHeight="1">
      <c r="O617" s="39"/>
    </row>
    <row r="618" spans="15:15" ht="15.75" customHeight="1">
      <c r="O618" s="39"/>
    </row>
    <row r="619" spans="15:15" ht="15.75" customHeight="1">
      <c r="O619" s="39"/>
    </row>
    <row r="620" spans="15:15" ht="15.75" customHeight="1">
      <c r="O620" s="39"/>
    </row>
    <row r="621" spans="15:15" ht="15.75" customHeight="1">
      <c r="O621" s="39"/>
    </row>
    <row r="622" spans="15:15" ht="15.75" customHeight="1">
      <c r="O622" s="39"/>
    </row>
    <row r="623" spans="15:15" ht="15.75" customHeight="1">
      <c r="O623" s="39"/>
    </row>
    <row r="624" spans="15:15" ht="15.75" customHeight="1">
      <c r="O624" s="39"/>
    </row>
    <row r="625" spans="15:15" ht="15.75" customHeight="1">
      <c r="O625" s="39"/>
    </row>
    <row r="626" spans="15:15" ht="15.75" customHeight="1">
      <c r="O626" s="39"/>
    </row>
    <row r="627" spans="15:15" ht="15.75" customHeight="1">
      <c r="O627" s="39"/>
    </row>
    <row r="628" spans="15:15" ht="15.75" customHeight="1">
      <c r="O628" s="39"/>
    </row>
    <row r="629" spans="15:15" ht="15.75" customHeight="1">
      <c r="O629" s="39"/>
    </row>
    <row r="630" spans="15:15" ht="15.75" customHeight="1">
      <c r="O630" s="39"/>
    </row>
    <row r="631" spans="15:15" ht="15.75" customHeight="1">
      <c r="O631" s="39"/>
    </row>
    <row r="632" spans="15:15" ht="15.75" customHeight="1">
      <c r="O632" s="39"/>
    </row>
    <row r="633" spans="15:15" ht="15.75" customHeight="1">
      <c r="O633" s="39"/>
    </row>
    <row r="634" spans="15:15" ht="15.75" customHeight="1">
      <c r="O634" s="39"/>
    </row>
    <row r="635" spans="15:15" ht="15.75" customHeight="1">
      <c r="O635" s="39"/>
    </row>
    <row r="636" spans="15:15" ht="15.75" customHeight="1">
      <c r="O636" s="39"/>
    </row>
    <row r="637" spans="15:15" ht="15.75" customHeight="1">
      <c r="O637" s="39"/>
    </row>
    <row r="638" spans="15:15" ht="15.75" customHeight="1">
      <c r="O638" s="39"/>
    </row>
    <row r="639" spans="15:15" ht="15.75" customHeight="1">
      <c r="O639" s="39"/>
    </row>
    <row r="640" spans="15:15" ht="15.75" customHeight="1">
      <c r="O640" s="39"/>
    </row>
    <row r="641" spans="15:15" ht="15.75" customHeight="1">
      <c r="O641" s="39"/>
    </row>
    <row r="642" spans="15:15" ht="15.75" customHeight="1">
      <c r="O642" s="39"/>
    </row>
    <row r="643" spans="15:15" ht="15.75" customHeight="1">
      <c r="O643" s="39"/>
    </row>
    <row r="644" spans="15:15" ht="15.75" customHeight="1">
      <c r="O644" s="39"/>
    </row>
    <row r="645" spans="15:15" ht="15.75" customHeight="1">
      <c r="O645" s="39"/>
    </row>
    <row r="646" spans="15:15" ht="15.75" customHeight="1">
      <c r="O646" s="39"/>
    </row>
    <row r="647" spans="15:15" ht="15.75" customHeight="1">
      <c r="O647" s="39"/>
    </row>
    <row r="648" spans="15:15" ht="15.75" customHeight="1">
      <c r="O648" s="39"/>
    </row>
    <row r="649" spans="15:15" ht="15.75" customHeight="1">
      <c r="O649" s="39"/>
    </row>
    <row r="650" spans="15:15" ht="15.75" customHeight="1">
      <c r="O650" s="39"/>
    </row>
    <row r="651" spans="15:15" ht="15.75" customHeight="1">
      <c r="O651" s="39"/>
    </row>
    <row r="652" spans="15:15" ht="15.75" customHeight="1">
      <c r="O652" s="39"/>
    </row>
    <row r="653" spans="15:15" ht="15.75" customHeight="1">
      <c r="O653" s="39"/>
    </row>
    <row r="654" spans="15:15" ht="15.75" customHeight="1">
      <c r="O654" s="39"/>
    </row>
    <row r="655" spans="15:15" ht="15.75" customHeight="1">
      <c r="O655" s="39"/>
    </row>
    <row r="656" spans="15:15" ht="15.75" customHeight="1">
      <c r="O656" s="39"/>
    </row>
    <row r="657" spans="15:15" ht="15.75" customHeight="1">
      <c r="O657" s="39"/>
    </row>
    <row r="658" spans="15:15" ht="15.75" customHeight="1">
      <c r="O658" s="39"/>
    </row>
    <row r="659" spans="15:15" ht="15.75" customHeight="1">
      <c r="O659" s="39"/>
    </row>
    <row r="660" spans="15:15" ht="15.75" customHeight="1">
      <c r="O660" s="39"/>
    </row>
    <row r="661" spans="15:15" ht="15.75" customHeight="1">
      <c r="O661" s="39"/>
    </row>
    <row r="662" spans="15:15" ht="15.75" customHeight="1">
      <c r="O662" s="39"/>
    </row>
    <row r="663" spans="15:15" ht="15.75" customHeight="1">
      <c r="O663" s="39"/>
    </row>
    <row r="664" spans="15:15" ht="15.75" customHeight="1">
      <c r="O664" s="39"/>
    </row>
    <row r="665" spans="15:15" ht="15.75" customHeight="1">
      <c r="O665" s="39"/>
    </row>
    <row r="666" spans="15:15" ht="15.75" customHeight="1">
      <c r="O666" s="39"/>
    </row>
    <row r="667" spans="15:15" ht="15.75" customHeight="1">
      <c r="O667" s="39"/>
    </row>
    <row r="668" spans="15:15" ht="15.75" customHeight="1">
      <c r="O668" s="39"/>
    </row>
    <row r="669" spans="15:15" ht="15.75" customHeight="1">
      <c r="O669" s="39"/>
    </row>
    <row r="670" spans="15:15" ht="15.75" customHeight="1">
      <c r="O670" s="39"/>
    </row>
    <row r="671" spans="15:15" ht="15.75" customHeight="1">
      <c r="O671" s="39"/>
    </row>
    <row r="672" spans="15:15" ht="15.75" customHeight="1">
      <c r="O672" s="39"/>
    </row>
    <row r="673" spans="15:15" ht="15.75" customHeight="1">
      <c r="O673" s="39"/>
    </row>
    <row r="674" spans="15:15" ht="15.75" customHeight="1">
      <c r="O674" s="39"/>
    </row>
    <row r="675" spans="15:15" ht="15.75" customHeight="1">
      <c r="O675" s="39"/>
    </row>
    <row r="676" spans="15:15" ht="15.75" customHeight="1">
      <c r="O676" s="39"/>
    </row>
    <row r="677" spans="15:15" ht="15.75" customHeight="1">
      <c r="O677" s="39"/>
    </row>
    <row r="678" spans="15:15" ht="15.75" customHeight="1">
      <c r="O678" s="39"/>
    </row>
    <row r="679" spans="15:15" ht="15.75" customHeight="1">
      <c r="O679" s="39"/>
    </row>
    <row r="680" spans="15:15" ht="15.75" customHeight="1">
      <c r="O680" s="39"/>
    </row>
    <row r="681" spans="15:15" ht="15.75" customHeight="1">
      <c r="O681" s="39"/>
    </row>
    <row r="682" spans="15:15" ht="15.75" customHeight="1">
      <c r="O682" s="39"/>
    </row>
    <row r="683" spans="15:15" ht="15.75" customHeight="1">
      <c r="O683" s="39"/>
    </row>
    <row r="684" spans="15:15" ht="15.75" customHeight="1">
      <c r="O684" s="39"/>
    </row>
    <row r="685" spans="15:15" ht="15.75" customHeight="1">
      <c r="O685" s="39"/>
    </row>
    <row r="686" spans="15:15" ht="15.75" customHeight="1">
      <c r="O686" s="39"/>
    </row>
    <row r="687" spans="15:15" ht="15.75" customHeight="1">
      <c r="O687" s="39"/>
    </row>
    <row r="688" spans="15:15" ht="15.75" customHeight="1">
      <c r="O688" s="39"/>
    </row>
    <row r="689" spans="15:15" ht="15.75" customHeight="1">
      <c r="O689" s="39"/>
    </row>
    <row r="690" spans="15:15" ht="15.75" customHeight="1">
      <c r="O690" s="39"/>
    </row>
    <row r="691" spans="15:15" ht="15.75" customHeight="1">
      <c r="O691" s="39"/>
    </row>
    <row r="692" spans="15:15" ht="15.75" customHeight="1">
      <c r="O692" s="39"/>
    </row>
    <row r="693" spans="15:15" ht="15.75" customHeight="1">
      <c r="O693" s="39"/>
    </row>
    <row r="694" spans="15:15" ht="15.75" customHeight="1">
      <c r="O694" s="39"/>
    </row>
    <row r="695" spans="15:15" ht="15.75" customHeight="1">
      <c r="O695" s="39"/>
    </row>
    <row r="696" spans="15:15" ht="15.75" customHeight="1">
      <c r="O696" s="39"/>
    </row>
    <row r="697" spans="15:15" ht="15.75" customHeight="1">
      <c r="O697" s="39"/>
    </row>
    <row r="698" spans="15:15" ht="15.75" customHeight="1">
      <c r="O698" s="39"/>
    </row>
    <row r="699" spans="15:15" ht="15.75" customHeight="1">
      <c r="O699" s="39"/>
    </row>
    <row r="700" spans="15:15" ht="15.75" customHeight="1">
      <c r="O700" s="39"/>
    </row>
    <row r="701" spans="15:15" ht="15.75" customHeight="1">
      <c r="O701" s="39"/>
    </row>
    <row r="702" spans="15:15" ht="15.75" customHeight="1">
      <c r="O702" s="39"/>
    </row>
    <row r="703" spans="15:15" ht="15.75" customHeight="1">
      <c r="O703" s="39"/>
    </row>
    <row r="704" spans="15:15" ht="15.75" customHeight="1">
      <c r="O704" s="39"/>
    </row>
    <row r="705" spans="15:15" ht="15.75" customHeight="1">
      <c r="O705" s="39"/>
    </row>
    <row r="706" spans="15:15" ht="15.75" customHeight="1">
      <c r="O706" s="39"/>
    </row>
    <row r="707" spans="15:15" ht="15.75" customHeight="1">
      <c r="O707" s="39"/>
    </row>
    <row r="708" spans="15:15" ht="15.75" customHeight="1">
      <c r="O708" s="39"/>
    </row>
    <row r="709" spans="15:15" ht="15.75" customHeight="1">
      <c r="O709" s="39"/>
    </row>
    <row r="710" spans="15:15" ht="15.75" customHeight="1">
      <c r="O710" s="39"/>
    </row>
    <row r="711" spans="15:15" ht="15.75" customHeight="1">
      <c r="O711" s="39"/>
    </row>
    <row r="712" spans="15:15" ht="15.75" customHeight="1">
      <c r="O712" s="39"/>
    </row>
    <row r="713" spans="15:15" ht="15.75" customHeight="1">
      <c r="O713" s="39"/>
    </row>
    <row r="714" spans="15:15" ht="15.75" customHeight="1">
      <c r="O714" s="39"/>
    </row>
    <row r="715" spans="15:15" ht="15.75" customHeight="1">
      <c r="O715" s="39"/>
    </row>
    <row r="716" spans="15:15" ht="15.75" customHeight="1">
      <c r="O716" s="39"/>
    </row>
    <row r="717" spans="15:15" ht="15.75" customHeight="1">
      <c r="O717" s="39"/>
    </row>
    <row r="718" spans="15:15" ht="15.75" customHeight="1">
      <c r="O718" s="39"/>
    </row>
    <row r="719" spans="15:15" ht="15.75" customHeight="1">
      <c r="O719" s="39"/>
    </row>
    <row r="720" spans="15:15" ht="15.75" customHeight="1">
      <c r="O720" s="39"/>
    </row>
    <row r="721" spans="15:15" ht="15.75" customHeight="1">
      <c r="O721" s="39"/>
    </row>
    <row r="722" spans="15:15" ht="15.75" customHeight="1">
      <c r="O722" s="39"/>
    </row>
    <row r="723" spans="15:15" ht="15.75" customHeight="1">
      <c r="O723" s="39"/>
    </row>
    <row r="724" spans="15:15" ht="15.75" customHeight="1">
      <c r="O724" s="39"/>
    </row>
    <row r="725" spans="15:15" ht="15.75" customHeight="1">
      <c r="O725" s="39"/>
    </row>
    <row r="726" spans="15:15" ht="15.75" customHeight="1">
      <c r="O726" s="39"/>
    </row>
    <row r="727" spans="15:15" ht="15.75" customHeight="1">
      <c r="O727" s="39"/>
    </row>
    <row r="728" spans="15:15" ht="15.75" customHeight="1">
      <c r="O728" s="39"/>
    </row>
    <row r="729" spans="15:15" ht="15.75" customHeight="1">
      <c r="O729" s="39"/>
    </row>
    <row r="730" spans="15:15" ht="15.75" customHeight="1">
      <c r="O730" s="39"/>
    </row>
    <row r="731" spans="15:15" ht="15.75" customHeight="1">
      <c r="O731" s="39"/>
    </row>
    <row r="732" spans="15:15" ht="15.75" customHeight="1">
      <c r="O732" s="39"/>
    </row>
    <row r="733" spans="15:15" ht="15.75" customHeight="1">
      <c r="O733" s="39"/>
    </row>
    <row r="734" spans="15:15" ht="15.75" customHeight="1">
      <c r="O734" s="39"/>
    </row>
    <row r="735" spans="15:15" ht="15.75" customHeight="1">
      <c r="O735" s="39"/>
    </row>
    <row r="736" spans="15:15" ht="15.75" customHeight="1">
      <c r="O736" s="39"/>
    </row>
    <row r="737" spans="15:15" ht="15.75" customHeight="1">
      <c r="O737" s="39"/>
    </row>
    <row r="738" spans="15:15" ht="15.75" customHeight="1">
      <c r="O738" s="39"/>
    </row>
    <row r="739" spans="15:15" ht="15.75" customHeight="1">
      <c r="O739" s="39"/>
    </row>
    <row r="740" spans="15:15" ht="15.75" customHeight="1">
      <c r="O740" s="39"/>
    </row>
    <row r="741" spans="15:15" ht="15.75" customHeight="1">
      <c r="O741" s="39"/>
    </row>
    <row r="742" spans="15:15" ht="15.75" customHeight="1">
      <c r="O742" s="39"/>
    </row>
    <row r="743" spans="15:15" ht="15.75" customHeight="1">
      <c r="O743" s="39"/>
    </row>
    <row r="744" spans="15:15" ht="15.75" customHeight="1">
      <c r="O744" s="39"/>
    </row>
    <row r="745" spans="15:15" ht="15.75" customHeight="1">
      <c r="O745" s="39"/>
    </row>
    <row r="746" spans="15:15" ht="15.75" customHeight="1">
      <c r="O746" s="39"/>
    </row>
    <row r="747" spans="15:15" ht="15.75" customHeight="1">
      <c r="O747" s="39"/>
    </row>
    <row r="748" spans="15:15" ht="15.75" customHeight="1">
      <c r="O748" s="39"/>
    </row>
    <row r="749" spans="15:15" ht="15.75" customHeight="1">
      <c r="O749" s="39"/>
    </row>
    <row r="750" spans="15:15" ht="15.75" customHeight="1">
      <c r="O750" s="39"/>
    </row>
    <row r="751" spans="15:15" ht="15.75" customHeight="1">
      <c r="O751" s="39"/>
    </row>
    <row r="752" spans="15:15" ht="15.75" customHeight="1">
      <c r="O752" s="39"/>
    </row>
    <row r="753" spans="15:15" ht="15.75" customHeight="1">
      <c r="O753" s="39"/>
    </row>
    <row r="754" spans="15:15" ht="15.75" customHeight="1">
      <c r="O754" s="39"/>
    </row>
    <row r="755" spans="15:15" ht="15.75" customHeight="1">
      <c r="O755" s="39"/>
    </row>
    <row r="756" spans="15:15" ht="15.75" customHeight="1">
      <c r="O756" s="39"/>
    </row>
    <row r="757" spans="15:15" ht="15.75" customHeight="1">
      <c r="O757" s="39"/>
    </row>
    <row r="758" spans="15:15" ht="15.75" customHeight="1">
      <c r="O758" s="39"/>
    </row>
    <row r="759" spans="15:15" ht="15.75" customHeight="1">
      <c r="O759" s="39"/>
    </row>
    <row r="760" spans="15:15" ht="15.75" customHeight="1">
      <c r="O760" s="39"/>
    </row>
    <row r="761" spans="15:15" ht="15.75" customHeight="1">
      <c r="O761" s="39"/>
    </row>
    <row r="762" spans="15:15" ht="15.75" customHeight="1">
      <c r="O762" s="39"/>
    </row>
    <row r="763" spans="15:15" ht="15.75" customHeight="1">
      <c r="O763" s="39"/>
    </row>
    <row r="764" spans="15:15" ht="15.75" customHeight="1">
      <c r="O764" s="39"/>
    </row>
    <row r="765" spans="15:15" ht="15.75" customHeight="1">
      <c r="O765" s="39"/>
    </row>
    <row r="766" spans="15:15" ht="15.75" customHeight="1">
      <c r="O766" s="39"/>
    </row>
    <row r="767" spans="15:15" ht="15.75" customHeight="1">
      <c r="O767" s="39"/>
    </row>
    <row r="768" spans="15:15" ht="15.75" customHeight="1">
      <c r="O768" s="39"/>
    </row>
    <row r="769" spans="15:15" ht="15.75" customHeight="1">
      <c r="O769" s="39"/>
    </row>
    <row r="770" spans="15:15" ht="15.75" customHeight="1">
      <c r="O770" s="39"/>
    </row>
    <row r="771" spans="15:15" ht="15.75" customHeight="1">
      <c r="O771" s="39"/>
    </row>
    <row r="772" spans="15:15" ht="15.75" customHeight="1">
      <c r="O772" s="39"/>
    </row>
    <row r="773" spans="15:15" ht="15.75" customHeight="1">
      <c r="O773" s="39"/>
    </row>
    <row r="774" spans="15:15" ht="15.75" customHeight="1">
      <c r="O774" s="39"/>
    </row>
    <row r="775" spans="15:15" ht="15.75" customHeight="1">
      <c r="O775" s="39"/>
    </row>
    <row r="776" spans="15:15" ht="15.75" customHeight="1">
      <c r="O776" s="39"/>
    </row>
    <row r="777" spans="15:15" ht="15.75" customHeight="1">
      <c r="O777" s="39"/>
    </row>
    <row r="778" spans="15:15" ht="15.75" customHeight="1">
      <c r="O778" s="39"/>
    </row>
    <row r="779" spans="15:15" ht="15.75" customHeight="1">
      <c r="O779" s="39"/>
    </row>
    <row r="780" spans="15:15" ht="15.75" customHeight="1">
      <c r="O780" s="39"/>
    </row>
    <row r="781" spans="15:15" ht="15.75" customHeight="1">
      <c r="O781" s="39"/>
    </row>
    <row r="782" spans="15:15" ht="15.75" customHeight="1">
      <c r="O782" s="39"/>
    </row>
    <row r="783" spans="15:15" ht="15.75" customHeight="1">
      <c r="O783" s="39"/>
    </row>
    <row r="784" spans="15:15" ht="15.75" customHeight="1">
      <c r="O784" s="39"/>
    </row>
    <row r="785" spans="15:15" ht="15.75" customHeight="1">
      <c r="O785" s="39"/>
    </row>
    <row r="786" spans="15:15" ht="15.75" customHeight="1">
      <c r="O786" s="39"/>
    </row>
    <row r="787" spans="15:15" ht="15.75" customHeight="1">
      <c r="O787" s="39"/>
    </row>
    <row r="788" spans="15:15" ht="15.75" customHeight="1">
      <c r="O788" s="39"/>
    </row>
    <row r="789" spans="15:15" ht="15.75" customHeight="1">
      <c r="O789" s="39"/>
    </row>
    <row r="790" spans="15:15" ht="15.75" customHeight="1">
      <c r="O790" s="39"/>
    </row>
    <row r="791" spans="15:15" ht="15.75" customHeight="1">
      <c r="O791" s="39"/>
    </row>
    <row r="792" spans="15:15" ht="15.75" customHeight="1">
      <c r="O792" s="39"/>
    </row>
    <row r="793" spans="15:15" ht="15.75" customHeight="1">
      <c r="O793" s="39"/>
    </row>
    <row r="794" spans="15:15" ht="15.75" customHeight="1">
      <c r="O794" s="39"/>
    </row>
    <row r="795" spans="15:15" ht="15.75" customHeight="1">
      <c r="O795" s="39"/>
    </row>
    <row r="796" spans="15:15" ht="15.75" customHeight="1">
      <c r="O796" s="39"/>
    </row>
    <row r="797" spans="15:15" ht="15.75" customHeight="1">
      <c r="O797" s="39"/>
    </row>
    <row r="798" spans="15:15" ht="15.75" customHeight="1">
      <c r="O798" s="39"/>
    </row>
    <row r="799" spans="15:15" ht="15.75" customHeight="1">
      <c r="O799" s="39"/>
    </row>
    <row r="800" spans="15:15" ht="15.75" customHeight="1">
      <c r="O800" s="39"/>
    </row>
    <row r="801" spans="15:15" ht="15.75" customHeight="1">
      <c r="O801" s="39"/>
    </row>
    <row r="802" spans="15:15" ht="15.75" customHeight="1">
      <c r="O802" s="39"/>
    </row>
    <row r="803" spans="15:15" ht="15.75" customHeight="1">
      <c r="O803" s="39"/>
    </row>
    <row r="804" spans="15:15" ht="15.75" customHeight="1">
      <c r="O804" s="39"/>
    </row>
    <row r="805" spans="15:15" ht="15.75" customHeight="1">
      <c r="O805" s="39"/>
    </row>
    <row r="806" spans="15:15" ht="15.75" customHeight="1">
      <c r="O806" s="39"/>
    </row>
    <row r="807" spans="15:15" ht="15.75" customHeight="1">
      <c r="O807" s="39"/>
    </row>
    <row r="808" spans="15:15" ht="15.75" customHeight="1">
      <c r="O808" s="39"/>
    </row>
    <row r="809" spans="15:15" ht="15.75" customHeight="1">
      <c r="O809" s="39"/>
    </row>
    <row r="810" spans="15:15" ht="15.75" customHeight="1">
      <c r="O810" s="39"/>
    </row>
    <row r="811" spans="15:15" ht="15.75" customHeight="1">
      <c r="O811" s="39"/>
    </row>
    <row r="812" spans="15:15" ht="15.75" customHeight="1">
      <c r="O812" s="39"/>
    </row>
    <row r="813" spans="15:15" ht="15.75" customHeight="1">
      <c r="O813" s="39"/>
    </row>
    <row r="814" spans="15:15" ht="15.75" customHeight="1">
      <c r="O814" s="39"/>
    </row>
    <row r="815" spans="15:15" ht="15.75" customHeight="1">
      <c r="O815" s="39"/>
    </row>
    <row r="816" spans="15:15" ht="15.75" customHeight="1">
      <c r="O816" s="39"/>
    </row>
    <row r="817" spans="15:15" ht="15.75" customHeight="1">
      <c r="O817" s="39"/>
    </row>
    <row r="818" spans="15:15" ht="15.75" customHeight="1">
      <c r="O818" s="39"/>
    </row>
    <row r="819" spans="15:15" ht="15.75" customHeight="1">
      <c r="O819" s="39"/>
    </row>
    <row r="820" spans="15:15" ht="15.75" customHeight="1">
      <c r="O820" s="39"/>
    </row>
    <row r="821" spans="15:15" ht="15.75" customHeight="1">
      <c r="O821" s="39"/>
    </row>
    <row r="822" spans="15:15" ht="15.75" customHeight="1">
      <c r="O822" s="39"/>
    </row>
    <row r="823" spans="15:15" ht="15.75" customHeight="1">
      <c r="O823" s="39"/>
    </row>
    <row r="824" spans="15:15" ht="15.75" customHeight="1">
      <c r="O824" s="39"/>
    </row>
    <row r="825" spans="15:15" ht="15.75" customHeight="1">
      <c r="O825" s="39"/>
    </row>
    <row r="826" spans="15:15" ht="15.75" customHeight="1">
      <c r="O826" s="39"/>
    </row>
    <row r="827" spans="15:15" ht="15.75" customHeight="1">
      <c r="O827" s="39"/>
    </row>
    <row r="828" spans="15:15" ht="15.75" customHeight="1">
      <c r="O828" s="39"/>
    </row>
    <row r="829" spans="15:15" ht="15.75" customHeight="1">
      <c r="O829" s="39"/>
    </row>
    <row r="830" spans="15:15" ht="15.75" customHeight="1">
      <c r="O830" s="39"/>
    </row>
    <row r="831" spans="15:15" ht="15.75" customHeight="1">
      <c r="O831" s="39"/>
    </row>
    <row r="832" spans="15:15" ht="15.75" customHeight="1">
      <c r="O832" s="39"/>
    </row>
    <row r="833" spans="15:15" ht="15.75" customHeight="1">
      <c r="O833" s="39"/>
    </row>
    <row r="834" spans="15:15" ht="15.75" customHeight="1">
      <c r="O834" s="39"/>
    </row>
    <row r="835" spans="15:15" ht="15.75" customHeight="1">
      <c r="O835" s="39"/>
    </row>
    <row r="836" spans="15:15" ht="15.75" customHeight="1">
      <c r="O836" s="39"/>
    </row>
    <row r="837" spans="15:15" ht="15.75" customHeight="1">
      <c r="O837" s="39"/>
    </row>
    <row r="838" spans="15:15" ht="15.75" customHeight="1">
      <c r="O838" s="39"/>
    </row>
    <row r="839" spans="15:15" ht="15.75" customHeight="1">
      <c r="O839" s="39"/>
    </row>
    <row r="840" spans="15:15" ht="15.75" customHeight="1">
      <c r="O840" s="39"/>
    </row>
    <row r="841" spans="15:15" ht="15.75" customHeight="1">
      <c r="O841" s="39"/>
    </row>
    <row r="842" spans="15:15" ht="15.75" customHeight="1">
      <c r="O842" s="39"/>
    </row>
    <row r="843" spans="15:15" ht="15.75" customHeight="1">
      <c r="O843" s="39"/>
    </row>
    <row r="844" spans="15:15" ht="15.75" customHeight="1">
      <c r="O844" s="39"/>
    </row>
    <row r="845" spans="15:15" ht="15.75" customHeight="1">
      <c r="O845" s="39"/>
    </row>
    <row r="846" spans="15:15" ht="15.75" customHeight="1">
      <c r="O846" s="39"/>
    </row>
    <row r="847" spans="15:15" ht="15.75" customHeight="1">
      <c r="O847" s="39"/>
    </row>
    <row r="848" spans="15:15" ht="15.75" customHeight="1">
      <c r="O848" s="39"/>
    </row>
    <row r="849" spans="15:15" ht="15.75" customHeight="1">
      <c r="O849" s="39"/>
    </row>
    <row r="850" spans="15:15" ht="15.75" customHeight="1">
      <c r="O850" s="39"/>
    </row>
    <row r="851" spans="15:15" ht="15.75" customHeight="1">
      <c r="O851" s="39"/>
    </row>
    <row r="852" spans="15:15" ht="15.75" customHeight="1">
      <c r="O852" s="39"/>
    </row>
    <row r="853" spans="15:15" ht="15.75" customHeight="1">
      <c r="O853" s="39"/>
    </row>
    <row r="854" spans="15:15" ht="15.75" customHeight="1">
      <c r="O854" s="39"/>
    </row>
    <row r="855" spans="15:15" ht="15.75" customHeight="1">
      <c r="O855" s="39"/>
    </row>
    <row r="856" spans="15:15" ht="15.75" customHeight="1">
      <c r="O856" s="39"/>
    </row>
    <row r="857" spans="15:15" ht="15.75" customHeight="1">
      <c r="O857" s="39"/>
    </row>
    <row r="858" spans="15:15" ht="15.75" customHeight="1">
      <c r="O858" s="39"/>
    </row>
    <row r="859" spans="15:15" ht="15.75" customHeight="1">
      <c r="O859" s="39"/>
    </row>
    <row r="860" spans="15:15" ht="15.75" customHeight="1">
      <c r="O860" s="39"/>
    </row>
    <row r="861" spans="15:15" ht="15.75" customHeight="1">
      <c r="O861" s="39"/>
    </row>
    <row r="862" spans="15:15" ht="15.75" customHeight="1">
      <c r="O862" s="39"/>
    </row>
    <row r="863" spans="15:15" ht="15.75" customHeight="1">
      <c r="O863" s="39"/>
    </row>
    <row r="864" spans="15:15" ht="15.75" customHeight="1">
      <c r="O864" s="39"/>
    </row>
    <row r="865" spans="15:15" ht="15.75" customHeight="1">
      <c r="O865" s="39"/>
    </row>
    <row r="866" spans="15:15" ht="15.75" customHeight="1">
      <c r="O866" s="39"/>
    </row>
    <row r="867" spans="15:15" ht="15.75" customHeight="1">
      <c r="O867" s="39"/>
    </row>
    <row r="868" spans="15:15" ht="15.75" customHeight="1">
      <c r="O868" s="39"/>
    </row>
    <row r="869" spans="15:15" ht="15.75" customHeight="1">
      <c r="O869" s="39"/>
    </row>
    <row r="870" spans="15:15" ht="15.75" customHeight="1">
      <c r="O870" s="39"/>
    </row>
    <row r="871" spans="15:15" ht="15.75" customHeight="1">
      <c r="O871" s="39"/>
    </row>
    <row r="872" spans="15:15" ht="15.75" customHeight="1">
      <c r="O872" s="39"/>
    </row>
    <row r="873" spans="15:15" ht="15.75" customHeight="1">
      <c r="O873" s="39"/>
    </row>
    <row r="874" spans="15:15" ht="15.75" customHeight="1">
      <c r="O874" s="39"/>
    </row>
    <row r="875" spans="15:15" ht="15.75" customHeight="1">
      <c r="O875" s="39"/>
    </row>
    <row r="876" spans="15:15" ht="15.75" customHeight="1">
      <c r="O876" s="39"/>
    </row>
    <row r="877" spans="15:15" ht="15.75" customHeight="1">
      <c r="O877" s="39"/>
    </row>
    <row r="878" spans="15:15" ht="15.75" customHeight="1">
      <c r="O878" s="39"/>
    </row>
    <row r="879" spans="15:15" ht="15.75" customHeight="1">
      <c r="O879" s="39"/>
    </row>
    <row r="880" spans="15:15" ht="15.75" customHeight="1">
      <c r="O880" s="39"/>
    </row>
    <row r="881" spans="15:15" ht="15.75" customHeight="1">
      <c r="O881" s="39"/>
    </row>
    <row r="882" spans="15:15" ht="15.75" customHeight="1">
      <c r="O882" s="39"/>
    </row>
    <row r="883" spans="15:15" ht="15.75" customHeight="1">
      <c r="O883" s="39"/>
    </row>
    <row r="884" spans="15:15" ht="15.75" customHeight="1">
      <c r="O884" s="39"/>
    </row>
    <row r="885" spans="15:15" ht="15.75" customHeight="1">
      <c r="O885" s="39"/>
    </row>
    <row r="886" spans="15:15" ht="15.75" customHeight="1">
      <c r="O886" s="39"/>
    </row>
    <row r="887" spans="15:15" ht="15.75" customHeight="1">
      <c r="O887" s="39"/>
    </row>
    <row r="888" spans="15:15" ht="15.75" customHeight="1">
      <c r="O888" s="39"/>
    </row>
    <row r="889" spans="15:15" ht="15.75" customHeight="1">
      <c r="O889" s="39"/>
    </row>
    <row r="890" spans="15:15" ht="15.75" customHeight="1">
      <c r="O890" s="39"/>
    </row>
    <row r="891" spans="15:15" ht="15.75" customHeight="1">
      <c r="O891" s="39"/>
    </row>
    <row r="892" spans="15:15" ht="15.75" customHeight="1">
      <c r="O892" s="39"/>
    </row>
    <row r="893" spans="15:15" ht="15.75" customHeight="1">
      <c r="O893" s="39"/>
    </row>
    <row r="894" spans="15:15" ht="15.75" customHeight="1">
      <c r="O894" s="39"/>
    </row>
    <row r="895" spans="15:15" ht="15.75" customHeight="1">
      <c r="O895" s="39"/>
    </row>
    <row r="896" spans="15:15" ht="15.75" customHeight="1">
      <c r="O896" s="39"/>
    </row>
    <row r="897" spans="15:15" ht="15.75" customHeight="1">
      <c r="O897" s="39"/>
    </row>
    <row r="898" spans="15:15" ht="15.75" customHeight="1">
      <c r="O898" s="39"/>
    </row>
    <row r="899" spans="15:15" ht="15.75" customHeight="1">
      <c r="O899" s="39"/>
    </row>
    <row r="900" spans="15:15" ht="15.75" customHeight="1">
      <c r="O900" s="39"/>
    </row>
    <row r="901" spans="15:15" ht="15.75" customHeight="1">
      <c r="O901" s="39"/>
    </row>
    <row r="902" spans="15:15" ht="15.75" customHeight="1">
      <c r="O902" s="39"/>
    </row>
    <row r="903" spans="15:15" ht="15.75" customHeight="1">
      <c r="O903" s="39"/>
    </row>
    <row r="904" spans="15:15" ht="15.75" customHeight="1">
      <c r="O904" s="39"/>
    </row>
    <row r="905" spans="15:15" ht="15.75" customHeight="1">
      <c r="O905" s="39"/>
    </row>
    <row r="906" spans="15:15" ht="15.75" customHeight="1">
      <c r="O906" s="39"/>
    </row>
    <row r="907" spans="15:15" ht="15.75" customHeight="1">
      <c r="O907" s="39"/>
    </row>
    <row r="908" spans="15:15" ht="15.75" customHeight="1">
      <c r="O908" s="39"/>
    </row>
    <row r="909" spans="15:15" ht="15.75" customHeight="1">
      <c r="O909" s="39"/>
    </row>
    <row r="910" spans="15:15" ht="15.75" customHeight="1">
      <c r="O910" s="39"/>
    </row>
    <row r="911" spans="15:15" ht="15.75" customHeight="1">
      <c r="O911" s="39"/>
    </row>
    <row r="912" spans="15:15" ht="15.75" customHeight="1">
      <c r="O912" s="39"/>
    </row>
    <row r="913" spans="15:15" ht="15.75" customHeight="1">
      <c r="O913" s="39"/>
    </row>
    <row r="914" spans="15:15" ht="15.75" customHeight="1">
      <c r="O914" s="39"/>
    </row>
    <row r="915" spans="15:15" ht="15.75" customHeight="1">
      <c r="O915" s="39"/>
    </row>
    <row r="916" spans="15:15" ht="15.75" customHeight="1">
      <c r="O916" s="39"/>
    </row>
    <row r="917" spans="15:15" ht="15.75" customHeight="1">
      <c r="O917" s="39"/>
    </row>
    <row r="918" spans="15:15" ht="15.75" customHeight="1">
      <c r="O918" s="39"/>
    </row>
    <row r="919" spans="15:15" ht="15.75" customHeight="1">
      <c r="O919" s="39"/>
    </row>
    <row r="920" spans="15:15" ht="15.75" customHeight="1">
      <c r="O920" s="39"/>
    </row>
    <row r="921" spans="15:15" ht="15.75" customHeight="1">
      <c r="O921" s="39"/>
    </row>
    <row r="922" spans="15:15" ht="15.75" customHeight="1">
      <c r="O922" s="39"/>
    </row>
    <row r="923" spans="15:15" ht="15.75" customHeight="1">
      <c r="O923" s="39"/>
    </row>
    <row r="924" spans="15:15" ht="15.75" customHeight="1">
      <c r="O924" s="39"/>
    </row>
    <row r="925" spans="15:15" ht="15.75" customHeight="1">
      <c r="O925" s="39"/>
    </row>
    <row r="926" spans="15:15" ht="15.75" customHeight="1">
      <c r="O926" s="39"/>
    </row>
    <row r="927" spans="15:15" ht="15.75" customHeight="1">
      <c r="O927" s="39"/>
    </row>
    <row r="928" spans="15:15" ht="15.75" customHeight="1">
      <c r="O928" s="39"/>
    </row>
    <row r="929" spans="15:15" ht="15.75" customHeight="1">
      <c r="O929" s="39"/>
    </row>
    <row r="930" spans="15:15" ht="15.75" customHeight="1">
      <c r="O930" s="39"/>
    </row>
    <row r="931" spans="15:15" ht="15.75" customHeight="1">
      <c r="O931" s="39"/>
    </row>
    <row r="932" spans="15:15" ht="15.75" customHeight="1">
      <c r="O932" s="39"/>
    </row>
    <row r="933" spans="15:15" ht="15.75" customHeight="1">
      <c r="O933" s="39"/>
    </row>
    <row r="934" spans="15:15" ht="15.75" customHeight="1">
      <c r="O934" s="39"/>
    </row>
    <row r="935" spans="15:15" ht="15.75" customHeight="1">
      <c r="O935" s="39"/>
    </row>
    <row r="936" spans="15:15" ht="15.75" customHeight="1">
      <c r="O936" s="39"/>
    </row>
    <row r="937" spans="15:15" ht="15.75" customHeight="1">
      <c r="O937" s="39"/>
    </row>
    <row r="938" spans="15:15" ht="15.75" customHeight="1">
      <c r="O938" s="39"/>
    </row>
    <row r="939" spans="15:15" ht="15.75" customHeight="1">
      <c r="O939" s="39"/>
    </row>
    <row r="940" spans="15:15" ht="15.75" customHeight="1">
      <c r="O940" s="39"/>
    </row>
    <row r="941" spans="15:15" ht="15.75" customHeight="1">
      <c r="O941" s="39"/>
    </row>
    <row r="942" spans="15:15" ht="15.75" customHeight="1">
      <c r="O942" s="39"/>
    </row>
    <row r="943" spans="15:15" ht="15.75" customHeight="1">
      <c r="O943" s="39"/>
    </row>
    <row r="944" spans="15:15" ht="15.75" customHeight="1">
      <c r="O944" s="39"/>
    </row>
    <row r="945" spans="15:15" ht="15.75" customHeight="1">
      <c r="O945" s="39"/>
    </row>
    <row r="946" spans="15:15" ht="15.75" customHeight="1">
      <c r="O946" s="39"/>
    </row>
    <row r="947" spans="15:15" ht="15.75" customHeight="1">
      <c r="O947" s="39"/>
    </row>
    <row r="948" spans="15:15" ht="15.75" customHeight="1">
      <c r="O948" s="39"/>
    </row>
    <row r="949" spans="15:15" ht="15.75" customHeight="1">
      <c r="O949" s="39"/>
    </row>
    <row r="950" spans="15:15" ht="15.75" customHeight="1">
      <c r="O950" s="39"/>
    </row>
    <row r="951" spans="15:15" ht="15.75" customHeight="1">
      <c r="O951" s="39"/>
    </row>
    <row r="952" spans="15:15" ht="15.75" customHeight="1">
      <c r="O952" s="39"/>
    </row>
    <row r="953" spans="15:15" ht="15.75" customHeight="1">
      <c r="O953" s="39"/>
    </row>
    <row r="954" spans="15:15" ht="15.75" customHeight="1">
      <c r="O954" s="39"/>
    </row>
    <row r="955" spans="15:15" ht="15.75" customHeight="1">
      <c r="O955" s="39"/>
    </row>
    <row r="956" spans="15:15" ht="15.75" customHeight="1">
      <c r="O956" s="39"/>
    </row>
    <row r="957" spans="15:15" ht="15.75" customHeight="1">
      <c r="O957" s="39"/>
    </row>
    <row r="958" spans="15:15" ht="15.75" customHeight="1">
      <c r="O958" s="39"/>
    </row>
    <row r="959" spans="15:15" ht="15.75" customHeight="1">
      <c r="O959" s="39"/>
    </row>
    <row r="960" spans="15:15" ht="15.75" customHeight="1">
      <c r="O960" s="39"/>
    </row>
    <row r="961" spans="15:15" ht="15.75" customHeight="1">
      <c r="O961" s="39"/>
    </row>
    <row r="962" spans="15:15" ht="15.75" customHeight="1">
      <c r="O962" s="39"/>
    </row>
    <row r="963" spans="15:15" ht="15.75" customHeight="1">
      <c r="O963" s="39"/>
    </row>
    <row r="964" spans="15:15" ht="15.75" customHeight="1">
      <c r="O964" s="39"/>
    </row>
    <row r="965" spans="15:15" ht="15.75" customHeight="1">
      <c r="O965" s="39"/>
    </row>
    <row r="966" spans="15:15" ht="15.75" customHeight="1">
      <c r="O966" s="39"/>
    </row>
    <row r="967" spans="15:15" ht="15.75" customHeight="1">
      <c r="O967" s="39"/>
    </row>
    <row r="968" spans="15:15" ht="15.75" customHeight="1">
      <c r="O968" s="39"/>
    </row>
    <row r="969" spans="15:15" ht="15.75" customHeight="1">
      <c r="O969" s="39"/>
    </row>
    <row r="970" spans="15:15" ht="15.75" customHeight="1">
      <c r="O970" s="39"/>
    </row>
    <row r="971" spans="15:15" ht="15.75" customHeight="1">
      <c r="O971" s="39"/>
    </row>
    <row r="972" spans="15:15" ht="15.75" customHeight="1">
      <c r="O972" s="39"/>
    </row>
    <row r="973" spans="15:15" ht="15.75" customHeight="1">
      <c r="O973" s="39"/>
    </row>
    <row r="974" spans="15:15" ht="15.75" customHeight="1">
      <c r="O974" s="39"/>
    </row>
    <row r="975" spans="15:15" ht="15.75" customHeight="1">
      <c r="O975" s="39"/>
    </row>
    <row r="976" spans="15:15" ht="15.75" customHeight="1">
      <c r="O976" s="39"/>
    </row>
    <row r="977" spans="15:15" ht="15.75" customHeight="1">
      <c r="O977" s="39"/>
    </row>
    <row r="978" spans="15:15" ht="15.75" customHeight="1">
      <c r="O978" s="39"/>
    </row>
    <row r="979" spans="15:15" ht="15.75" customHeight="1">
      <c r="O979" s="39"/>
    </row>
    <row r="980" spans="15:15" ht="15.75" customHeight="1">
      <c r="O980" s="39"/>
    </row>
    <row r="981" spans="15:15" ht="15.75" customHeight="1">
      <c r="O981" s="39"/>
    </row>
    <row r="982" spans="15:15" ht="15.75" customHeight="1">
      <c r="O982" s="39"/>
    </row>
    <row r="983" spans="15:15" ht="15.75" customHeight="1">
      <c r="O983" s="39"/>
    </row>
    <row r="984" spans="15:15" ht="15.75" customHeight="1">
      <c r="O984" s="39"/>
    </row>
    <row r="985" spans="15:15" ht="15.75" customHeight="1">
      <c r="O985" s="39"/>
    </row>
    <row r="986" spans="15:15" ht="15.75" customHeight="1">
      <c r="O986" s="39"/>
    </row>
    <row r="987" spans="15:15" ht="15.75" customHeight="1">
      <c r="O987" s="39"/>
    </row>
    <row r="988" spans="15:15" ht="15.75" customHeight="1">
      <c r="O988" s="39"/>
    </row>
    <row r="989" spans="15:15" ht="15.75" customHeight="1">
      <c r="O989" s="39"/>
    </row>
    <row r="990" spans="15:15" ht="15.75" customHeight="1">
      <c r="O990" s="39"/>
    </row>
    <row r="991" spans="15:15" ht="15.75" customHeight="1">
      <c r="O991" s="39"/>
    </row>
    <row r="992" spans="15:15" ht="15.75" customHeight="1">
      <c r="O992" s="39"/>
    </row>
    <row r="993" spans="15:15" ht="15.75" customHeight="1">
      <c r="O993" s="39"/>
    </row>
    <row r="994" spans="15:15" ht="15.75" customHeight="1">
      <c r="O994" s="39"/>
    </row>
    <row r="995" spans="15:15" ht="15.75" customHeight="1">
      <c r="O995" s="39"/>
    </row>
    <row r="996" spans="15:15" ht="15.75" customHeight="1">
      <c r="O996" s="39"/>
    </row>
    <row r="997" spans="15:15" ht="15.75" customHeight="1">
      <c r="O997" s="39"/>
    </row>
    <row r="998" spans="15:15" ht="15.75" customHeight="1">
      <c r="O998" s="39"/>
    </row>
    <row r="999" spans="15:15" ht="15.75" customHeight="1">
      <c r="O999" s="39"/>
    </row>
    <row r="1000" spans="15:15" ht="15.75" customHeight="1">
      <c r="O1000" s="39"/>
    </row>
  </sheetData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F840B-AEEE-498C-9EF2-7E8D240C0BE4}">
  <sheetPr codeName="Arkusz28"/>
  <dimension ref="A1:C7"/>
  <sheetViews>
    <sheetView workbookViewId="0">
      <selection activeCell="A8" sqref="A8"/>
    </sheetView>
  </sheetViews>
  <sheetFormatPr defaultRowHeight="14.4"/>
  <sheetData>
    <row r="1" spans="1:3">
      <c r="A1">
        <v>47000</v>
      </c>
      <c r="C1">
        <f>A1-SUM(A2:A33)</f>
        <v>12000</v>
      </c>
    </row>
    <row r="2" spans="1:3">
      <c r="A2">
        <v>6000</v>
      </c>
      <c r="B2" t="s">
        <v>1769</v>
      </c>
    </row>
    <row r="3" spans="1:3">
      <c r="A3">
        <v>7000</v>
      </c>
      <c r="B3" t="s">
        <v>1770</v>
      </c>
    </row>
    <row r="4" spans="1:3">
      <c r="A4">
        <v>4000</v>
      </c>
      <c r="B4" t="s">
        <v>1771</v>
      </c>
    </row>
    <row r="5" spans="1:3">
      <c r="A5">
        <v>10000</v>
      </c>
      <c r="B5" t="s">
        <v>1772</v>
      </c>
    </row>
    <row r="6" spans="1:3">
      <c r="A6">
        <v>5500</v>
      </c>
      <c r="B6" t="s">
        <v>1773</v>
      </c>
    </row>
    <row r="7" spans="1:3">
      <c r="A7">
        <v>2500</v>
      </c>
      <c r="B7" t="s">
        <v>1774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usz14"/>
  <dimension ref="A1:AE1000"/>
  <sheetViews>
    <sheetView workbookViewId="0">
      <selection activeCell="D2" sqref="D2"/>
    </sheetView>
  </sheetViews>
  <sheetFormatPr defaultColWidth="14.44140625" defaultRowHeight="15" customHeight="1"/>
  <cols>
    <col min="1" max="1" width="9.109375" customWidth="1"/>
    <col min="2" max="2" width="6.33203125" style="368" customWidth="1"/>
    <col min="3" max="3" width="20.5546875" style="368" customWidth="1"/>
    <col min="4" max="4" width="10.6640625" customWidth="1"/>
    <col min="5" max="9" width="9.109375" customWidth="1"/>
    <col min="10" max="10" width="14" customWidth="1"/>
    <col min="11" max="11" width="25" customWidth="1"/>
    <col min="12" max="31" width="9.109375" customWidth="1"/>
  </cols>
  <sheetData>
    <row r="1" spans="1:31" ht="18.600000000000001" thickBot="1">
      <c r="A1" s="250"/>
      <c r="B1" s="251"/>
      <c r="C1" s="251"/>
      <c r="D1" s="251"/>
      <c r="E1" s="251"/>
      <c r="F1" s="251"/>
      <c r="G1" s="251"/>
      <c r="H1" s="251"/>
      <c r="I1" s="376" t="s">
        <v>1684</v>
      </c>
      <c r="J1" s="377"/>
      <c r="K1" s="377"/>
      <c r="L1" s="378"/>
      <c r="M1" s="252"/>
      <c r="N1" s="253"/>
      <c r="O1" s="253"/>
      <c r="P1" s="253"/>
      <c r="Q1" s="254"/>
      <c r="R1" s="251"/>
      <c r="S1" s="251"/>
      <c r="T1" s="251"/>
      <c r="U1" s="251"/>
      <c r="V1" s="251"/>
      <c r="W1" s="251"/>
      <c r="X1" s="251"/>
      <c r="Y1" s="251"/>
      <c r="Z1" s="251"/>
      <c r="AA1" s="251"/>
      <c r="AB1" s="251"/>
      <c r="AC1" s="251"/>
      <c r="AD1" s="251"/>
      <c r="AE1" s="251"/>
    </row>
    <row r="2" spans="1:31" ht="21.6" thickBot="1">
      <c r="A2" s="251"/>
      <c r="B2" s="251"/>
      <c r="C2" s="250" t="s">
        <v>1767</v>
      </c>
      <c r="D2" s="371">
        <v>0</v>
      </c>
      <c r="E2" s="251"/>
      <c r="F2" s="251"/>
      <c r="G2" s="251"/>
      <c r="H2" s="251"/>
      <c r="I2" s="255"/>
      <c r="J2" s="256"/>
      <c r="K2" s="256"/>
      <c r="L2" s="256"/>
      <c r="M2" s="256"/>
      <c r="N2" s="256"/>
      <c r="O2" s="256"/>
      <c r="P2" s="256"/>
      <c r="Q2" s="257"/>
      <c r="R2" s="251"/>
      <c r="S2" s="251"/>
      <c r="T2" s="251"/>
      <c r="U2" s="251"/>
      <c r="V2" s="251"/>
      <c r="W2" s="251"/>
      <c r="X2" s="251"/>
      <c r="Y2" s="251"/>
      <c r="Z2" s="251"/>
      <c r="AA2" s="251"/>
      <c r="AB2" s="251"/>
      <c r="AC2" s="251"/>
      <c r="AD2" s="251"/>
      <c r="AE2" s="251"/>
    </row>
    <row r="3" spans="1:31" ht="14.4">
      <c r="A3" s="251"/>
      <c r="B3" s="251"/>
      <c r="C3" s="251"/>
      <c r="D3" s="251"/>
      <c r="E3" s="251"/>
      <c r="F3" s="251"/>
      <c r="G3" s="251"/>
      <c r="H3" s="251"/>
      <c r="I3" s="255"/>
      <c r="J3" s="258" t="s">
        <v>1685</v>
      </c>
      <c r="K3" s="379" t="s">
        <v>1686</v>
      </c>
      <c r="L3" s="380"/>
      <c r="M3" s="380"/>
      <c r="N3" s="380"/>
      <c r="O3" s="381"/>
      <c r="P3" s="256"/>
      <c r="Q3" s="257"/>
      <c r="R3" s="251"/>
      <c r="S3" s="251"/>
      <c r="T3" s="251"/>
      <c r="U3" s="251"/>
      <c r="V3" s="251"/>
      <c r="W3" s="251"/>
      <c r="X3" s="251"/>
      <c r="Y3" s="251"/>
      <c r="Z3" s="251"/>
      <c r="AA3" s="251"/>
      <c r="AB3" s="251"/>
      <c r="AC3" s="251"/>
      <c r="AD3" s="251"/>
      <c r="AE3" s="251"/>
    </row>
    <row r="4" spans="1:31" ht="14.4">
      <c r="A4" s="251"/>
      <c r="B4" s="251"/>
      <c r="C4" s="251"/>
      <c r="D4" s="251"/>
      <c r="E4" s="251"/>
      <c r="F4" s="251"/>
      <c r="G4" s="251"/>
      <c r="H4" s="251"/>
      <c r="I4" s="255"/>
      <c r="J4" s="256"/>
      <c r="K4" s="256"/>
      <c r="L4" s="256"/>
      <c r="M4" s="256"/>
      <c r="N4" s="256"/>
      <c r="O4" s="256"/>
      <c r="P4" s="256"/>
      <c r="Q4" s="257"/>
      <c r="R4" s="251"/>
      <c r="S4" s="251"/>
      <c r="T4" s="251"/>
      <c r="U4" s="251"/>
      <c r="V4" s="251"/>
      <c r="W4" s="251"/>
      <c r="X4" s="251"/>
      <c r="Y4" s="251"/>
      <c r="Z4" s="251"/>
      <c r="AA4" s="251"/>
      <c r="AB4" s="251"/>
      <c r="AC4" s="251"/>
      <c r="AD4" s="251"/>
      <c r="AE4" s="251"/>
    </row>
    <row r="5" spans="1:31" ht="14.4">
      <c r="A5" s="251"/>
      <c r="B5" s="251"/>
      <c r="C5" s="251"/>
      <c r="D5" s="251"/>
      <c r="E5" s="251"/>
      <c r="F5" s="251"/>
      <c r="G5" s="251"/>
      <c r="H5" s="251"/>
      <c r="I5" s="255"/>
      <c r="J5" s="259" t="s">
        <v>1687</v>
      </c>
      <c r="K5" s="256"/>
      <c r="L5" s="256"/>
      <c r="M5" s="256"/>
      <c r="N5" s="256"/>
      <c r="O5" s="256"/>
      <c r="P5" s="256"/>
      <c r="Q5" s="257"/>
      <c r="R5" s="251"/>
      <c r="S5" s="251"/>
      <c r="T5" s="251"/>
      <c r="U5" s="251"/>
      <c r="V5" s="251"/>
      <c r="W5" s="251"/>
      <c r="X5" s="251"/>
      <c r="Y5" s="251"/>
      <c r="Z5" s="251"/>
      <c r="AA5" s="251"/>
      <c r="AB5" s="251"/>
      <c r="AC5" s="251"/>
      <c r="AD5" s="251"/>
      <c r="AE5" s="251"/>
    </row>
    <row r="6" spans="1:31" ht="14.4">
      <c r="A6" s="251"/>
      <c r="B6" s="251"/>
      <c r="C6" s="251"/>
      <c r="D6" s="251"/>
      <c r="E6" s="251"/>
      <c r="F6" s="251"/>
      <c r="G6" s="251"/>
      <c r="H6" s="251"/>
      <c r="I6" s="255"/>
      <c r="J6" s="256" t="s">
        <v>1688</v>
      </c>
      <c r="K6" s="256"/>
      <c r="L6" s="256"/>
      <c r="M6" s="256"/>
      <c r="N6" s="256"/>
      <c r="O6" s="256"/>
      <c r="P6" s="256"/>
      <c r="Q6" s="257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</row>
    <row r="7" spans="1:31" ht="14.4">
      <c r="A7" s="251"/>
      <c r="B7" s="251"/>
      <c r="C7" s="251"/>
      <c r="D7" s="251"/>
      <c r="E7" s="251"/>
      <c r="F7" s="251"/>
      <c r="G7" s="251"/>
      <c r="H7" s="251"/>
      <c r="I7" s="255"/>
      <c r="J7" s="256" t="s">
        <v>1689</v>
      </c>
      <c r="K7" s="256"/>
      <c r="L7" s="256"/>
      <c r="M7" s="256"/>
      <c r="N7" s="256"/>
      <c r="O7" s="256"/>
      <c r="P7" s="256"/>
      <c r="Q7" s="257"/>
      <c r="R7" s="251"/>
      <c r="S7" s="251"/>
      <c r="T7" s="251"/>
      <c r="U7" s="251"/>
      <c r="V7" s="251"/>
      <c r="W7" s="251"/>
      <c r="X7" s="251"/>
      <c r="Y7" s="251"/>
      <c r="Z7" s="251"/>
      <c r="AA7" s="251"/>
      <c r="AB7" s="251"/>
      <c r="AC7" s="251"/>
      <c r="AD7" s="251"/>
      <c r="AE7" s="251"/>
    </row>
    <row r="8" spans="1:31" ht="14.4">
      <c r="A8" s="251"/>
      <c r="B8" s="367"/>
      <c r="C8" s="367"/>
      <c r="D8" s="251"/>
      <c r="E8" s="251"/>
      <c r="F8" s="251"/>
      <c r="G8" s="251"/>
      <c r="H8" s="251"/>
      <c r="I8" s="255"/>
      <c r="J8" s="256" t="s">
        <v>1690</v>
      </c>
      <c r="K8" s="256"/>
      <c r="L8" s="256"/>
      <c r="M8" s="256"/>
      <c r="N8" s="256"/>
      <c r="O8" s="256"/>
      <c r="P8" s="256"/>
      <c r="Q8" s="257"/>
      <c r="R8" s="251"/>
      <c r="S8" s="251"/>
      <c r="T8" s="251"/>
      <c r="U8" s="251"/>
      <c r="V8" s="251"/>
      <c r="W8" s="251"/>
      <c r="X8" s="251"/>
      <c r="Y8" s="251"/>
      <c r="Z8" s="251"/>
      <c r="AA8" s="251"/>
      <c r="AB8" s="251"/>
      <c r="AC8" s="251"/>
      <c r="AD8" s="251"/>
      <c r="AE8" s="251"/>
    </row>
    <row r="9" spans="1:31" ht="14.4">
      <c r="A9" s="251"/>
      <c r="B9" s="367"/>
      <c r="C9" s="367"/>
      <c r="D9" s="251"/>
      <c r="E9" s="251"/>
      <c r="F9" s="251"/>
      <c r="G9" s="251"/>
      <c r="H9" s="251"/>
      <c r="I9" s="255"/>
      <c r="J9" s="260"/>
      <c r="K9" s="256"/>
      <c r="L9" s="256"/>
      <c r="M9" s="256"/>
      <c r="N9" s="256"/>
      <c r="O9" s="256"/>
      <c r="P9" s="256"/>
      <c r="Q9" s="257"/>
      <c r="R9" s="251"/>
      <c r="S9" s="251"/>
      <c r="T9" s="251"/>
      <c r="U9" s="251"/>
      <c r="V9" s="251"/>
      <c r="W9" s="251"/>
      <c r="X9" s="251"/>
      <c r="Y9" s="251"/>
      <c r="Z9" s="251"/>
      <c r="AA9" s="251"/>
      <c r="AB9" s="251"/>
      <c r="AC9" s="251"/>
      <c r="AD9" s="251"/>
      <c r="AE9" s="251"/>
    </row>
    <row r="10" spans="1:31" ht="14.4">
      <c r="A10" s="251"/>
      <c r="B10" s="367"/>
      <c r="C10" s="367"/>
      <c r="D10" s="251"/>
      <c r="E10" s="251"/>
      <c r="F10" s="251"/>
      <c r="G10" s="251"/>
      <c r="H10" s="251"/>
      <c r="I10" s="255"/>
      <c r="J10" s="256"/>
      <c r="K10" s="256"/>
      <c r="L10" s="256"/>
      <c r="M10" s="256"/>
      <c r="N10" s="256"/>
      <c r="O10" s="256"/>
      <c r="P10" s="256"/>
      <c r="Q10" s="257"/>
      <c r="R10" s="251"/>
      <c r="S10" s="251"/>
      <c r="T10" s="251"/>
      <c r="U10" s="251"/>
      <c r="V10" s="251"/>
      <c r="W10" s="251"/>
      <c r="X10" s="251"/>
      <c r="Y10" s="251"/>
      <c r="Z10" s="251"/>
      <c r="AA10" s="251"/>
      <c r="AB10" s="251"/>
      <c r="AC10" s="251"/>
      <c r="AD10" s="251"/>
      <c r="AE10" s="251"/>
    </row>
    <row r="11" spans="1:31" thickBot="1">
      <c r="A11" s="251"/>
      <c r="B11" s="367"/>
      <c r="C11" s="367"/>
      <c r="D11" s="251"/>
      <c r="E11" s="251"/>
      <c r="F11" s="251"/>
      <c r="G11" s="251"/>
      <c r="H11" s="251"/>
      <c r="I11" s="255"/>
      <c r="J11" s="256"/>
      <c r="K11" s="256"/>
      <c r="L11" s="256"/>
      <c r="M11" s="256"/>
      <c r="N11" s="256"/>
      <c r="O11" s="256"/>
      <c r="P11" s="256"/>
      <c r="Q11" s="257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</row>
    <row r="12" spans="1:31" ht="14.4">
      <c r="A12" s="251"/>
      <c r="B12" s="367"/>
      <c r="C12" s="367"/>
      <c r="D12" s="251"/>
      <c r="E12" s="251"/>
      <c r="F12" s="251"/>
      <c r="G12" s="251"/>
      <c r="H12" s="251"/>
      <c r="I12" s="255"/>
      <c r="J12" s="261" t="s">
        <v>1691</v>
      </c>
      <c r="K12" s="262"/>
      <c r="L12" s="262"/>
      <c r="M12" s="262"/>
      <c r="N12" s="262"/>
      <c r="O12" s="262"/>
      <c r="P12" s="263"/>
      <c r="Q12" s="257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B12" s="251"/>
      <c r="AC12" s="251"/>
      <c r="AD12" s="251"/>
      <c r="AE12" s="251"/>
    </row>
    <row r="13" spans="1:31" ht="14.4">
      <c r="A13" s="251"/>
      <c r="B13" s="367"/>
      <c r="C13" s="367"/>
      <c r="D13" s="251"/>
      <c r="E13" s="251"/>
      <c r="F13" s="251"/>
      <c r="G13" s="251"/>
      <c r="H13" s="251"/>
      <c r="I13" s="255"/>
      <c r="J13" s="264"/>
      <c r="K13" s="265"/>
      <c r="L13" s="266"/>
      <c r="M13" s="266"/>
      <c r="N13" s="266"/>
      <c r="O13" s="266"/>
      <c r="P13" s="267"/>
      <c r="Q13" s="257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51"/>
      <c r="AC13" s="251"/>
      <c r="AD13" s="251"/>
      <c r="AE13" s="251"/>
    </row>
    <row r="14" spans="1:31" ht="14.4">
      <c r="A14" s="251"/>
      <c r="B14" s="367"/>
      <c r="C14" s="367"/>
      <c r="D14" s="251"/>
      <c r="E14" s="251"/>
      <c r="F14" s="251"/>
      <c r="G14" s="251"/>
      <c r="H14" s="251"/>
      <c r="I14" s="255"/>
      <c r="J14" s="264" t="s">
        <v>1692</v>
      </c>
      <c r="K14" s="268"/>
      <c r="L14" s="266"/>
      <c r="M14" s="266"/>
      <c r="N14" s="266"/>
      <c r="O14" s="266"/>
      <c r="P14" s="267"/>
      <c r="Q14" s="257"/>
      <c r="R14" s="251"/>
      <c r="S14" s="251"/>
      <c r="T14" s="251"/>
      <c r="U14" s="251"/>
      <c r="V14" s="251"/>
      <c r="W14" s="251"/>
      <c r="X14" s="251"/>
      <c r="Y14" s="251"/>
      <c r="Z14" s="251"/>
      <c r="AA14" s="251"/>
      <c r="AB14" s="251"/>
      <c r="AC14" s="251"/>
      <c r="AD14" s="251"/>
      <c r="AE14" s="251"/>
    </row>
    <row r="15" spans="1:31" ht="14.4">
      <c r="A15" s="251"/>
      <c r="B15" s="367"/>
      <c r="C15" s="367"/>
      <c r="D15" s="251"/>
      <c r="E15" s="251"/>
      <c r="F15" s="251"/>
      <c r="G15" s="251"/>
      <c r="H15" s="251"/>
      <c r="I15" s="255"/>
      <c r="J15" s="264" t="s">
        <v>1693</v>
      </c>
      <c r="K15" s="269"/>
      <c r="L15" s="266"/>
      <c r="M15" s="266"/>
      <c r="N15" s="266"/>
      <c r="O15" s="266"/>
      <c r="P15" s="267"/>
      <c r="Q15" s="257"/>
      <c r="R15" s="251"/>
      <c r="S15" s="251"/>
      <c r="T15" s="251"/>
      <c r="U15" s="251"/>
      <c r="V15" s="251"/>
      <c r="W15" s="251"/>
      <c r="X15" s="251"/>
      <c r="Y15" s="251"/>
      <c r="Z15" s="251"/>
      <c r="AA15" s="251"/>
      <c r="AB15" s="251"/>
      <c r="AC15" s="251"/>
      <c r="AD15" s="251"/>
      <c r="AE15" s="251"/>
    </row>
    <row r="16" spans="1:31" ht="14.4">
      <c r="A16" s="251"/>
      <c r="B16" s="367"/>
      <c r="C16" s="367"/>
      <c r="D16" s="251"/>
      <c r="E16" s="251"/>
      <c r="F16" s="251"/>
      <c r="G16" s="251"/>
      <c r="H16" s="251"/>
      <c r="I16" s="255"/>
      <c r="J16" s="264" t="s">
        <v>1694</v>
      </c>
      <c r="K16" s="268"/>
      <c r="L16" s="266"/>
      <c r="M16" s="266"/>
      <c r="N16" s="266"/>
      <c r="O16" s="266"/>
      <c r="P16" s="267"/>
      <c r="Q16" s="257"/>
      <c r="R16" s="251"/>
      <c r="S16" s="251"/>
      <c r="T16" s="251"/>
      <c r="U16" s="251"/>
      <c r="V16" s="251"/>
      <c r="W16" s="251"/>
      <c r="X16" s="251"/>
      <c r="Y16" s="251"/>
      <c r="Z16" s="251"/>
      <c r="AA16" s="251"/>
      <c r="AB16" s="251"/>
      <c r="AC16" s="251"/>
      <c r="AD16" s="251"/>
      <c r="AE16" s="251"/>
    </row>
    <row r="17" spans="1:31" ht="14.4">
      <c r="A17" s="251"/>
      <c r="B17" s="367"/>
      <c r="C17" s="367"/>
      <c r="D17" s="251"/>
      <c r="E17" s="251"/>
      <c r="F17" s="251"/>
      <c r="G17" s="251"/>
      <c r="H17" s="251"/>
      <c r="I17" s="255"/>
      <c r="J17" s="264" t="s">
        <v>1695</v>
      </c>
      <c r="K17" s="270"/>
      <c r="L17" s="266"/>
      <c r="M17" s="266"/>
      <c r="N17" s="266"/>
      <c r="O17" s="266"/>
      <c r="P17" s="267"/>
      <c r="Q17" s="257"/>
      <c r="R17" s="251"/>
      <c r="S17" s="251"/>
      <c r="T17" s="251"/>
      <c r="U17" s="251"/>
      <c r="V17" s="251"/>
      <c r="W17" s="251"/>
      <c r="X17" s="251"/>
      <c r="Y17" s="251"/>
      <c r="Z17" s="251"/>
      <c r="AA17" s="251"/>
      <c r="AB17" s="251"/>
      <c r="AC17" s="251"/>
      <c r="AD17" s="251"/>
      <c r="AE17" s="251"/>
    </row>
    <row r="18" spans="1:31" ht="14.4">
      <c r="A18" s="251"/>
      <c r="B18" s="367"/>
      <c r="C18" s="367"/>
      <c r="D18" s="251"/>
      <c r="E18" s="251"/>
      <c r="F18" s="251"/>
      <c r="G18" s="251"/>
      <c r="H18" s="251"/>
      <c r="I18" s="255"/>
      <c r="J18" s="264"/>
      <c r="K18" s="265"/>
      <c r="L18" s="266"/>
      <c r="M18" s="266"/>
      <c r="N18" s="266"/>
      <c r="O18" s="266"/>
      <c r="P18" s="267"/>
      <c r="Q18" s="257"/>
      <c r="R18" s="251"/>
      <c r="S18" s="251"/>
      <c r="T18" s="251"/>
      <c r="U18" s="251"/>
      <c r="V18" s="251"/>
      <c r="W18" s="251"/>
      <c r="X18" s="251"/>
      <c r="Y18" s="251"/>
      <c r="Z18" s="251"/>
      <c r="AA18" s="251"/>
      <c r="AB18" s="251"/>
      <c r="AC18" s="251"/>
      <c r="AD18" s="251"/>
      <c r="AE18" s="251"/>
    </row>
    <row r="19" spans="1:31" ht="14.4">
      <c r="A19" s="251"/>
      <c r="B19" s="367"/>
      <c r="C19" s="367"/>
      <c r="D19" s="251"/>
      <c r="E19" s="251"/>
      <c r="F19" s="251"/>
      <c r="G19" s="251"/>
      <c r="H19" s="251"/>
      <c r="I19" s="255"/>
      <c r="J19" s="264" t="s">
        <v>1696</v>
      </c>
      <c r="K19" s="265"/>
      <c r="L19" s="266"/>
      <c r="M19" s="266"/>
      <c r="N19" s="266"/>
      <c r="O19" s="266"/>
      <c r="P19" s="267"/>
      <c r="Q19" s="257"/>
      <c r="R19" s="251"/>
      <c r="S19" s="251"/>
      <c r="T19" s="251"/>
      <c r="U19" s="251"/>
      <c r="V19" s="251"/>
      <c r="W19" s="251"/>
      <c r="X19" s="251"/>
      <c r="Y19" s="251"/>
      <c r="Z19" s="251"/>
      <c r="AA19" s="251"/>
      <c r="AB19" s="251"/>
      <c r="AC19" s="251"/>
      <c r="AD19" s="251"/>
      <c r="AE19" s="251"/>
    </row>
    <row r="20" spans="1:31" ht="14.4">
      <c r="A20" s="251"/>
      <c r="B20" s="367"/>
      <c r="C20" s="367"/>
      <c r="D20" s="251"/>
      <c r="E20" s="251"/>
      <c r="F20" s="251"/>
      <c r="G20" s="251"/>
      <c r="H20" s="251"/>
      <c r="I20" s="255"/>
      <c r="J20" s="264" t="s">
        <v>32</v>
      </c>
      <c r="K20" s="265"/>
      <c r="L20" s="266"/>
      <c r="M20" s="266"/>
      <c r="N20" s="266"/>
      <c r="O20" s="266"/>
      <c r="P20" s="267"/>
      <c r="Q20" s="257"/>
      <c r="R20" s="251"/>
      <c r="S20" s="251"/>
      <c r="T20" s="251"/>
      <c r="U20" s="251"/>
      <c r="V20" s="251"/>
      <c r="W20" s="251"/>
      <c r="X20" s="251"/>
      <c r="Y20" s="251"/>
      <c r="Z20" s="251"/>
      <c r="AA20" s="251"/>
      <c r="AB20" s="251"/>
      <c r="AC20" s="251"/>
      <c r="AD20" s="251"/>
      <c r="AE20" s="251"/>
    </row>
    <row r="21" spans="1:31" ht="15.75" customHeight="1">
      <c r="A21" s="251"/>
      <c r="B21" s="367"/>
      <c r="C21" s="367"/>
      <c r="D21" s="251"/>
      <c r="E21" s="251"/>
      <c r="F21" s="251"/>
      <c r="G21" s="251"/>
      <c r="H21" s="251"/>
      <c r="I21" s="255"/>
      <c r="J21" s="264" t="s">
        <v>32</v>
      </c>
      <c r="K21" s="265"/>
      <c r="L21" s="266"/>
      <c r="M21" s="266"/>
      <c r="N21" s="266"/>
      <c r="O21" s="266"/>
      <c r="P21" s="267"/>
      <c r="Q21" s="257"/>
      <c r="R21" s="251"/>
      <c r="S21" s="251"/>
      <c r="T21" s="251"/>
      <c r="U21" s="251"/>
      <c r="V21" s="251"/>
      <c r="W21" s="251"/>
      <c r="X21" s="251"/>
      <c r="Y21" s="251"/>
      <c r="Z21" s="251"/>
      <c r="AA21" s="251"/>
      <c r="AB21" s="251"/>
      <c r="AC21" s="251"/>
      <c r="AD21" s="251"/>
      <c r="AE21" s="251"/>
    </row>
    <row r="22" spans="1:31" ht="15.75" customHeight="1">
      <c r="A22" s="251"/>
      <c r="B22" s="367"/>
      <c r="C22" s="367"/>
      <c r="D22" s="251"/>
      <c r="E22" s="251"/>
      <c r="F22" s="251"/>
      <c r="G22" s="251"/>
      <c r="H22" s="251"/>
      <c r="I22" s="255"/>
      <c r="J22" s="264"/>
      <c r="K22" s="265"/>
      <c r="L22" s="266"/>
      <c r="M22" s="266"/>
      <c r="N22" s="266"/>
      <c r="O22" s="266"/>
      <c r="P22" s="267"/>
      <c r="Q22" s="257"/>
      <c r="R22" s="251"/>
      <c r="S22" s="251"/>
      <c r="T22" s="251"/>
      <c r="U22" s="251"/>
      <c r="V22" s="251"/>
      <c r="W22" s="251"/>
      <c r="X22" s="251"/>
      <c r="Y22" s="251"/>
      <c r="Z22" s="251"/>
      <c r="AA22" s="251"/>
      <c r="AB22" s="251"/>
      <c r="AC22" s="251"/>
      <c r="AD22" s="251"/>
      <c r="AE22" s="251"/>
    </row>
    <row r="23" spans="1:31" ht="15.75" customHeight="1">
      <c r="A23" s="251"/>
      <c r="B23" s="367"/>
      <c r="C23" s="367"/>
      <c r="D23" s="251"/>
      <c r="E23" s="251"/>
      <c r="F23" s="251"/>
      <c r="G23" s="251"/>
      <c r="H23" s="251"/>
      <c r="I23" s="255"/>
      <c r="J23" s="264" t="s">
        <v>1697</v>
      </c>
      <c r="K23" s="265"/>
      <c r="L23" s="266"/>
      <c r="M23" s="266"/>
      <c r="N23" s="266"/>
      <c r="O23" s="266"/>
      <c r="P23" s="267"/>
      <c r="Q23" s="257"/>
      <c r="R23" s="251"/>
      <c r="S23" s="251"/>
      <c r="T23" s="251"/>
      <c r="U23" s="251"/>
      <c r="V23" s="251"/>
      <c r="W23" s="251"/>
      <c r="X23" s="251"/>
      <c r="Y23" s="251"/>
      <c r="Z23" s="251"/>
      <c r="AA23" s="251"/>
      <c r="AB23" s="251"/>
      <c r="AC23" s="251"/>
      <c r="AD23" s="251"/>
      <c r="AE23" s="251"/>
    </row>
    <row r="24" spans="1:31" ht="15.75" customHeight="1">
      <c r="A24" s="251"/>
      <c r="B24" s="367"/>
      <c r="C24" s="367"/>
      <c r="D24" s="251"/>
      <c r="E24" s="251"/>
      <c r="F24" s="251"/>
      <c r="G24" s="251"/>
      <c r="H24" s="251"/>
      <c r="I24" s="255"/>
      <c r="J24" s="264"/>
      <c r="K24" s="265"/>
      <c r="L24" s="266"/>
      <c r="M24" s="266"/>
      <c r="N24" s="266"/>
      <c r="O24" s="266"/>
      <c r="P24" s="267"/>
      <c r="Q24" s="257"/>
      <c r="R24" s="251"/>
      <c r="S24" s="251"/>
      <c r="T24" s="251"/>
      <c r="U24" s="251"/>
      <c r="V24" s="251"/>
      <c r="W24" s="251"/>
      <c r="X24" s="251"/>
      <c r="Y24" s="251"/>
      <c r="Z24" s="251"/>
      <c r="AA24" s="251"/>
      <c r="AB24" s="251"/>
      <c r="AC24" s="251"/>
      <c r="AD24" s="251"/>
      <c r="AE24" s="251"/>
    </row>
    <row r="25" spans="1:31" ht="15.75" customHeight="1">
      <c r="A25" s="251"/>
      <c r="B25" s="367"/>
      <c r="C25" s="367"/>
      <c r="D25" s="251"/>
      <c r="E25" s="251"/>
      <c r="F25" s="251"/>
      <c r="G25" s="251"/>
      <c r="H25" s="251"/>
      <c r="I25" s="255"/>
      <c r="J25" s="264" t="s">
        <v>32</v>
      </c>
      <c r="K25" s="265"/>
      <c r="L25" s="266"/>
      <c r="M25" s="266"/>
      <c r="N25" s="266"/>
      <c r="O25" s="266"/>
      <c r="P25" s="267"/>
      <c r="Q25" s="257"/>
      <c r="R25" s="251"/>
      <c r="S25" s="251"/>
      <c r="T25" s="251"/>
      <c r="U25" s="251"/>
      <c r="V25" s="251"/>
      <c r="W25" s="251"/>
      <c r="X25" s="251"/>
      <c r="Y25" s="251"/>
      <c r="Z25" s="251"/>
      <c r="AA25" s="251"/>
      <c r="AB25" s="251"/>
      <c r="AC25" s="251"/>
      <c r="AD25" s="251"/>
      <c r="AE25" s="251"/>
    </row>
    <row r="26" spans="1:31" ht="15.75" customHeight="1">
      <c r="A26" s="251"/>
      <c r="B26" s="367"/>
      <c r="C26" s="367"/>
      <c r="D26" s="251"/>
      <c r="E26" s="251"/>
      <c r="F26" s="251"/>
      <c r="G26" s="251"/>
      <c r="H26" s="251"/>
      <c r="I26" s="255"/>
      <c r="J26" s="264"/>
      <c r="K26" s="265"/>
      <c r="L26" s="266"/>
      <c r="M26" s="266"/>
      <c r="N26" s="266"/>
      <c r="O26" s="266"/>
      <c r="P26" s="267"/>
      <c r="Q26" s="257"/>
      <c r="R26" s="251"/>
      <c r="S26" s="251"/>
      <c r="T26" s="251"/>
      <c r="U26" s="251"/>
      <c r="V26" s="251"/>
      <c r="W26" s="251"/>
      <c r="X26" s="251"/>
      <c r="Y26" s="251"/>
      <c r="Z26" s="251"/>
      <c r="AA26" s="251"/>
      <c r="AB26" s="251"/>
      <c r="AC26" s="251"/>
      <c r="AD26" s="251"/>
      <c r="AE26" s="251"/>
    </row>
    <row r="27" spans="1:31" ht="15.75" customHeight="1">
      <c r="A27" s="251"/>
      <c r="B27" s="367"/>
      <c r="C27" s="367"/>
      <c r="D27" s="251"/>
      <c r="E27" s="251"/>
      <c r="F27" s="251"/>
      <c r="G27" s="251"/>
      <c r="H27" s="251"/>
      <c r="I27" s="255"/>
      <c r="J27" s="264" t="s">
        <v>1698</v>
      </c>
      <c r="K27" s="375"/>
      <c r="L27" s="266"/>
      <c r="M27" s="266"/>
      <c r="N27" s="266"/>
      <c r="O27" s="266"/>
      <c r="P27" s="267"/>
      <c r="Q27" s="257"/>
      <c r="R27" s="251"/>
      <c r="S27" s="251"/>
      <c r="T27" s="251"/>
      <c r="U27" s="251"/>
      <c r="V27" s="251"/>
      <c r="W27" s="251"/>
      <c r="X27" s="251"/>
      <c r="Y27" s="251"/>
      <c r="Z27" s="251"/>
      <c r="AA27" s="251"/>
      <c r="AB27" s="251"/>
      <c r="AC27" s="251"/>
      <c r="AD27" s="251"/>
      <c r="AE27" s="251"/>
    </row>
    <row r="28" spans="1:31" ht="15.75" customHeight="1">
      <c r="A28" s="251"/>
      <c r="B28" s="367"/>
      <c r="C28" s="367"/>
      <c r="D28" s="251"/>
      <c r="E28" s="251"/>
      <c r="F28" s="251"/>
      <c r="G28" s="251"/>
      <c r="H28" s="251"/>
      <c r="I28" s="255"/>
      <c r="J28" s="264" t="s">
        <v>1699</v>
      </c>
      <c r="K28" s="265"/>
      <c r="L28" s="266"/>
      <c r="M28" s="266"/>
      <c r="N28" s="266"/>
      <c r="O28" s="266"/>
      <c r="P28" s="267"/>
      <c r="Q28" s="257"/>
      <c r="R28" s="251"/>
      <c r="S28" s="251"/>
      <c r="T28" s="251"/>
      <c r="U28" s="251"/>
      <c r="V28" s="251"/>
      <c r="W28" s="251"/>
      <c r="X28" s="251"/>
      <c r="Y28" s="251"/>
      <c r="Z28" s="251"/>
      <c r="AA28" s="251"/>
      <c r="AB28" s="251"/>
      <c r="AC28" s="251"/>
      <c r="AD28" s="251"/>
      <c r="AE28" s="251"/>
    </row>
    <row r="29" spans="1:31" ht="15.75" customHeight="1">
      <c r="A29" s="251"/>
      <c r="B29" s="367"/>
      <c r="C29" s="367"/>
      <c r="D29" s="251"/>
      <c r="E29" s="251"/>
      <c r="F29" s="251"/>
      <c r="G29" s="251"/>
      <c r="H29" s="251"/>
      <c r="I29" s="255"/>
      <c r="J29" s="264"/>
      <c r="K29" s="265"/>
      <c r="L29" s="266"/>
      <c r="M29" s="266"/>
      <c r="N29" s="266"/>
      <c r="O29" s="266"/>
      <c r="P29" s="267"/>
      <c r="Q29" s="257"/>
      <c r="R29" s="251"/>
      <c r="S29" s="251"/>
      <c r="T29" s="251"/>
      <c r="U29" s="251"/>
      <c r="V29" s="251"/>
      <c r="W29" s="251"/>
      <c r="X29" s="251"/>
      <c r="Y29" s="251"/>
      <c r="Z29" s="251"/>
      <c r="AA29" s="251"/>
      <c r="AB29" s="251"/>
      <c r="AC29" s="251"/>
      <c r="AD29" s="251"/>
      <c r="AE29" s="251"/>
    </row>
    <row r="30" spans="1:31" ht="15.75" customHeight="1">
      <c r="A30" s="251"/>
      <c r="B30" s="367"/>
      <c r="C30" s="367"/>
      <c r="D30" s="251"/>
      <c r="E30" s="251"/>
      <c r="F30" s="251"/>
      <c r="G30" s="251"/>
      <c r="H30" s="251"/>
      <c r="I30" s="255"/>
      <c r="J30" s="264" t="s">
        <v>1700</v>
      </c>
      <c r="K30" s="365"/>
      <c r="L30" s="266"/>
      <c r="M30" s="266"/>
      <c r="N30" s="266"/>
      <c r="O30" s="266"/>
      <c r="P30" s="267"/>
      <c r="Q30" s="257"/>
      <c r="R30" s="251"/>
      <c r="S30" s="251"/>
      <c r="T30" s="251"/>
      <c r="U30" s="251"/>
      <c r="V30" s="251"/>
      <c r="W30" s="251"/>
      <c r="X30" s="251"/>
      <c r="Y30" s="251"/>
      <c r="Z30" s="251"/>
      <c r="AA30" s="251"/>
      <c r="AB30" s="251"/>
      <c r="AC30" s="251"/>
      <c r="AD30" s="251"/>
      <c r="AE30" s="251"/>
    </row>
    <row r="31" spans="1:31" ht="15.75" customHeight="1">
      <c r="A31" s="251"/>
      <c r="B31" s="367"/>
      <c r="C31" s="367"/>
      <c r="D31" s="251"/>
      <c r="E31" s="251"/>
      <c r="F31" s="251"/>
      <c r="G31" s="251"/>
      <c r="H31" s="251"/>
      <c r="I31" s="255"/>
      <c r="J31" s="264" t="s">
        <v>1701</v>
      </c>
      <c r="K31" s="265"/>
      <c r="L31" s="266"/>
      <c r="M31" s="266"/>
      <c r="N31" s="266"/>
      <c r="O31" s="266"/>
      <c r="P31" s="267"/>
      <c r="Q31" s="257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</row>
    <row r="32" spans="1:31" ht="15.75" customHeight="1" thickBot="1">
      <c r="A32" s="251"/>
      <c r="B32" s="367"/>
      <c r="C32" s="367"/>
      <c r="D32" s="251"/>
      <c r="E32" s="251"/>
      <c r="F32" s="251"/>
      <c r="G32" s="251"/>
      <c r="H32" s="251"/>
      <c r="I32" s="255"/>
      <c r="J32" s="271" t="s">
        <v>1702</v>
      </c>
      <c r="K32" s="272"/>
      <c r="L32" s="273"/>
      <c r="M32" s="273"/>
      <c r="N32" s="273"/>
      <c r="O32" s="273"/>
      <c r="P32" s="274"/>
      <c r="Q32" s="257"/>
      <c r="R32" s="251"/>
      <c r="S32" s="251"/>
      <c r="T32" s="251"/>
      <c r="U32" s="251"/>
      <c r="V32" s="251"/>
      <c r="W32" s="251"/>
      <c r="X32" s="251"/>
      <c r="Y32" s="251"/>
      <c r="Z32" s="251"/>
      <c r="AA32" s="251"/>
      <c r="AB32" s="251"/>
      <c r="AC32" s="251"/>
      <c r="AD32" s="251"/>
      <c r="AE32" s="251"/>
    </row>
    <row r="33" spans="1:31" ht="15.75" customHeight="1">
      <c r="A33" s="251"/>
      <c r="B33" s="367"/>
      <c r="C33" s="367"/>
      <c r="D33" s="251"/>
      <c r="E33" s="251"/>
      <c r="F33" s="251"/>
      <c r="G33" s="251"/>
      <c r="H33" s="251"/>
      <c r="I33" s="255"/>
      <c r="J33" s="256"/>
      <c r="K33" s="256"/>
      <c r="L33" s="256"/>
      <c r="M33" s="256"/>
      <c r="N33" s="256"/>
      <c r="O33" s="256"/>
      <c r="P33" s="256"/>
      <c r="Q33" s="257"/>
      <c r="R33" s="251"/>
      <c r="S33" s="251"/>
      <c r="T33" s="251"/>
      <c r="U33" s="251"/>
      <c r="V33" s="251"/>
      <c r="W33" s="251"/>
      <c r="X33" s="251"/>
      <c r="Y33" s="251"/>
      <c r="Z33" s="251"/>
      <c r="AA33" s="251"/>
      <c r="AB33" s="251"/>
      <c r="AC33" s="251"/>
      <c r="AD33" s="251"/>
      <c r="AE33" s="251"/>
    </row>
    <row r="34" spans="1:31" ht="15.75" customHeight="1" thickBot="1">
      <c r="A34" s="251"/>
      <c r="B34" s="367"/>
      <c r="C34" s="367"/>
      <c r="D34" s="251"/>
      <c r="E34" s="251"/>
      <c r="F34" s="251"/>
      <c r="G34" s="251"/>
      <c r="H34" s="251"/>
      <c r="I34" s="275"/>
      <c r="J34" s="276"/>
      <c r="K34" s="276"/>
      <c r="L34" s="276"/>
      <c r="M34" s="276"/>
      <c r="N34" s="276"/>
      <c r="O34" s="276"/>
      <c r="P34" s="276"/>
      <c r="Q34" s="277"/>
      <c r="R34" s="251"/>
      <c r="S34" s="251"/>
      <c r="T34" s="251"/>
      <c r="U34" s="251"/>
      <c r="V34" s="251"/>
      <c r="W34" s="251"/>
      <c r="X34" s="251"/>
      <c r="Y34" s="251"/>
      <c r="Z34" s="251"/>
      <c r="AA34" s="251"/>
      <c r="AB34" s="251"/>
      <c r="AC34" s="251"/>
      <c r="AD34" s="251"/>
      <c r="AE34" s="251"/>
    </row>
    <row r="35" spans="1:31" ht="15.75" customHeight="1">
      <c r="A35" s="251"/>
      <c r="B35" s="367"/>
      <c r="C35" s="367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51"/>
      <c r="P35" s="251"/>
      <c r="Q35" s="251"/>
      <c r="R35" s="251"/>
      <c r="S35" s="251"/>
      <c r="T35" s="251"/>
      <c r="U35" s="251"/>
      <c r="V35" s="251"/>
      <c r="W35" s="251"/>
      <c r="X35" s="251"/>
      <c r="Y35" s="251"/>
      <c r="Z35" s="251"/>
      <c r="AA35" s="251"/>
      <c r="AB35" s="251"/>
      <c r="AC35" s="251"/>
      <c r="AD35" s="251"/>
      <c r="AE35" s="251"/>
    </row>
    <row r="36" spans="1:31" ht="15.75" customHeight="1">
      <c r="A36" s="251"/>
      <c r="B36" s="367"/>
      <c r="C36" s="367"/>
      <c r="D36" s="251"/>
      <c r="E36" s="251"/>
      <c r="F36" s="251"/>
      <c r="G36" s="251"/>
      <c r="H36" s="251"/>
      <c r="I36" s="251"/>
      <c r="J36" s="251"/>
      <c r="K36" s="251"/>
      <c r="L36" s="251"/>
      <c r="M36" s="251"/>
      <c r="N36" s="251"/>
      <c r="O36" s="251"/>
      <c r="P36" s="251"/>
      <c r="Q36" s="251"/>
      <c r="R36" s="251"/>
      <c r="S36" s="251"/>
      <c r="T36" s="251"/>
      <c r="U36" s="251"/>
      <c r="V36" s="251"/>
      <c r="W36" s="251"/>
      <c r="X36" s="251"/>
      <c r="Y36" s="251"/>
      <c r="Z36" s="251"/>
      <c r="AA36" s="251"/>
      <c r="AB36" s="251"/>
      <c r="AC36" s="251"/>
      <c r="AD36" s="251"/>
      <c r="AE36" s="251"/>
    </row>
    <row r="37" spans="1:31" ht="15.75" customHeight="1">
      <c r="A37" s="251"/>
      <c r="B37" s="367"/>
      <c r="C37" s="367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  <c r="AA37" s="251"/>
      <c r="AB37" s="251"/>
      <c r="AC37" s="251"/>
      <c r="AD37" s="251"/>
      <c r="AE37" s="251"/>
    </row>
    <row r="38" spans="1:31" ht="15.75" customHeight="1">
      <c r="A38" s="251"/>
      <c r="B38" s="367"/>
      <c r="C38" s="367"/>
      <c r="D38" s="251"/>
      <c r="E38" s="251"/>
      <c r="F38" s="251"/>
      <c r="G38" s="251"/>
      <c r="H38" s="251"/>
      <c r="I38" s="251"/>
      <c r="J38" s="251"/>
      <c r="K38" s="251"/>
      <c r="L38" s="251"/>
      <c r="M38" s="251"/>
      <c r="N38" s="251"/>
      <c r="O38" s="251"/>
      <c r="P38" s="251"/>
      <c r="Q38" s="251"/>
      <c r="R38" s="251"/>
      <c r="S38" s="251"/>
      <c r="T38" s="251"/>
      <c r="U38" s="251"/>
      <c r="V38" s="251"/>
      <c r="W38" s="251"/>
      <c r="X38" s="251"/>
      <c r="Y38" s="251"/>
      <c r="Z38" s="251"/>
      <c r="AA38" s="251"/>
      <c r="AB38" s="251"/>
      <c r="AC38" s="251"/>
      <c r="AD38" s="251"/>
      <c r="AE38" s="251"/>
    </row>
    <row r="39" spans="1:31" ht="15.75" customHeight="1">
      <c r="A39" s="251"/>
      <c r="B39" s="367"/>
      <c r="C39" s="367"/>
      <c r="D39" s="251"/>
      <c r="E39" s="251"/>
      <c r="F39" s="251"/>
      <c r="G39" s="251"/>
      <c r="H39" s="251"/>
      <c r="I39" s="251"/>
      <c r="J39" s="251"/>
      <c r="K39" s="251"/>
      <c r="L39" s="251"/>
      <c r="M39" s="251"/>
      <c r="N39" s="251"/>
      <c r="O39" s="251"/>
      <c r="P39" s="251"/>
      <c r="Q39" s="251"/>
      <c r="R39" s="251"/>
      <c r="S39" s="251"/>
      <c r="T39" s="251"/>
      <c r="U39" s="251"/>
      <c r="V39" s="251"/>
      <c r="W39" s="251"/>
      <c r="X39" s="251"/>
      <c r="Y39" s="251"/>
      <c r="Z39" s="251"/>
      <c r="AA39" s="251"/>
      <c r="AB39" s="251"/>
      <c r="AC39" s="251"/>
      <c r="AD39" s="251"/>
      <c r="AE39" s="251"/>
    </row>
    <row r="40" spans="1:31" ht="15.75" customHeight="1">
      <c r="A40" s="251"/>
      <c r="B40" s="367"/>
      <c r="C40" s="367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  <c r="P40" s="251"/>
      <c r="Q40" s="251"/>
      <c r="R40" s="251"/>
      <c r="S40" s="251"/>
      <c r="T40" s="251"/>
      <c r="U40" s="251"/>
      <c r="V40" s="251"/>
      <c r="W40" s="251"/>
      <c r="X40" s="251"/>
      <c r="Y40" s="251"/>
      <c r="Z40" s="251"/>
      <c r="AA40" s="251"/>
      <c r="AB40" s="251"/>
      <c r="AC40" s="251"/>
      <c r="AD40" s="251"/>
      <c r="AE40" s="251"/>
    </row>
    <row r="41" spans="1:31" ht="15.75" customHeight="1">
      <c r="A41" s="251"/>
      <c r="B41" s="367"/>
      <c r="C41" s="367"/>
      <c r="D41" s="251"/>
      <c r="E41" s="251"/>
      <c r="F41" s="251"/>
      <c r="G41" s="251"/>
      <c r="H41" s="251"/>
      <c r="I41" s="251"/>
      <c r="J41" s="251"/>
      <c r="K41" s="251"/>
      <c r="L41" s="251"/>
      <c r="M41" s="251"/>
      <c r="N41" s="251"/>
      <c r="O41" s="251"/>
      <c r="P41" s="251"/>
      <c r="Q41" s="251"/>
      <c r="R41" s="251"/>
      <c r="S41" s="251"/>
      <c r="T41" s="251"/>
      <c r="U41" s="251"/>
      <c r="V41" s="251"/>
      <c r="W41" s="251"/>
      <c r="X41" s="251"/>
      <c r="Y41" s="251"/>
      <c r="Z41" s="251"/>
      <c r="AA41" s="251"/>
      <c r="AB41" s="251"/>
      <c r="AC41" s="251"/>
      <c r="AD41" s="251"/>
      <c r="AE41" s="251"/>
    </row>
    <row r="42" spans="1:31" ht="15.75" customHeight="1">
      <c r="A42" s="251"/>
      <c r="B42" s="367"/>
      <c r="C42" s="367"/>
      <c r="D42" s="251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251"/>
      <c r="P42" s="251"/>
      <c r="Q42" s="251"/>
      <c r="R42" s="251"/>
      <c r="S42" s="251"/>
      <c r="T42" s="251"/>
      <c r="U42" s="251"/>
      <c r="V42" s="251"/>
      <c r="W42" s="251"/>
      <c r="X42" s="251"/>
      <c r="Y42" s="251"/>
      <c r="Z42" s="251"/>
      <c r="AA42" s="251"/>
      <c r="AB42" s="251"/>
      <c r="AC42" s="251"/>
      <c r="AD42" s="251"/>
      <c r="AE42" s="251"/>
    </row>
    <row r="43" spans="1:31" ht="15.75" customHeight="1">
      <c r="A43" s="251"/>
      <c r="B43" s="367"/>
      <c r="C43" s="367"/>
      <c r="D43" s="251"/>
      <c r="E43" s="251"/>
      <c r="F43" s="251"/>
      <c r="G43" s="251"/>
      <c r="H43" s="251"/>
      <c r="I43" s="251"/>
      <c r="J43" s="251"/>
      <c r="K43" s="251"/>
      <c r="L43" s="251"/>
      <c r="M43" s="251"/>
      <c r="N43" s="251"/>
      <c r="O43" s="251"/>
      <c r="P43" s="251"/>
      <c r="Q43" s="251"/>
      <c r="R43" s="251"/>
      <c r="S43" s="251"/>
      <c r="T43" s="251"/>
      <c r="U43" s="251"/>
      <c r="V43" s="251"/>
      <c r="W43" s="251"/>
      <c r="X43" s="251"/>
      <c r="Y43" s="251"/>
      <c r="Z43" s="251"/>
      <c r="AA43" s="251"/>
      <c r="AB43" s="251"/>
      <c r="AC43" s="251"/>
      <c r="AD43" s="251"/>
      <c r="AE43" s="251"/>
    </row>
    <row r="44" spans="1:31" ht="15.75" customHeight="1">
      <c r="A44" s="251"/>
      <c r="B44" s="367"/>
      <c r="C44" s="367"/>
      <c r="D44" s="251"/>
      <c r="E44" s="251"/>
      <c r="F44" s="251"/>
      <c r="G44" s="251"/>
      <c r="H44" s="251"/>
      <c r="I44" s="251"/>
      <c r="J44" s="251"/>
      <c r="K44" s="251"/>
      <c r="L44" s="251"/>
      <c r="M44" s="251"/>
      <c r="N44" s="251"/>
      <c r="O44" s="251"/>
      <c r="P44" s="251"/>
      <c r="Q44" s="251"/>
      <c r="R44" s="251"/>
      <c r="S44" s="251"/>
      <c r="T44" s="251"/>
      <c r="U44" s="251"/>
      <c r="V44" s="251"/>
      <c r="W44" s="251"/>
      <c r="X44" s="251"/>
      <c r="Y44" s="251"/>
      <c r="Z44" s="251"/>
      <c r="AA44" s="251"/>
      <c r="AB44" s="251"/>
      <c r="AC44" s="251"/>
      <c r="AD44" s="251"/>
      <c r="AE44" s="251"/>
    </row>
    <row r="45" spans="1:31" ht="15.75" customHeight="1">
      <c r="A45" s="251"/>
      <c r="B45" s="367"/>
      <c r="C45" s="367"/>
      <c r="D45" s="251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251"/>
      <c r="X45" s="251"/>
      <c r="Y45" s="251"/>
      <c r="Z45" s="251"/>
      <c r="AA45" s="251"/>
      <c r="AB45" s="251"/>
      <c r="AC45" s="251"/>
      <c r="AD45" s="251"/>
      <c r="AE45" s="251"/>
    </row>
    <row r="46" spans="1:31" ht="15.75" customHeight="1">
      <c r="A46" s="251"/>
      <c r="B46" s="367"/>
      <c r="C46" s="367"/>
      <c r="D46" s="251"/>
      <c r="E46" s="251"/>
      <c r="F46" s="251"/>
      <c r="G46" s="251"/>
      <c r="H46" s="251"/>
      <c r="I46" s="251"/>
      <c r="J46" s="251"/>
      <c r="K46" s="251"/>
      <c r="L46" s="251"/>
      <c r="M46" s="251"/>
      <c r="N46" s="251"/>
      <c r="O46" s="251"/>
      <c r="P46" s="251"/>
      <c r="Q46" s="251"/>
      <c r="R46" s="251"/>
      <c r="S46" s="251"/>
      <c r="T46" s="251"/>
      <c r="U46" s="251"/>
      <c r="V46" s="251"/>
      <c r="W46" s="251"/>
      <c r="X46" s="251"/>
      <c r="Y46" s="251"/>
      <c r="Z46" s="251"/>
      <c r="AA46" s="251"/>
      <c r="AB46" s="251"/>
      <c r="AC46" s="251"/>
      <c r="AD46" s="251"/>
      <c r="AE46" s="251"/>
    </row>
    <row r="47" spans="1:31" ht="15.75" customHeight="1">
      <c r="A47" s="251"/>
      <c r="B47" s="367"/>
      <c r="C47" s="367"/>
      <c r="D47" s="251"/>
      <c r="E47" s="251"/>
      <c r="F47" s="251"/>
      <c r="G47" s="251"/>
      <c r="H47" s="251"/>
      <c r="I47" s="251"/>
      <c r="J47" s="251"/>
      <c r="K47" s="251"/>
      <c r="L47" s="251"/>
      <c r="M47" s="251"/>
      <c r="N47" s="251"/>
      <c r="O47" s="251"/>
      <c r="P47" s="251"/>
      <c r="Q47" s="251"/>
      <c r="R47" s="251"/>
      <c r="S47" s="251"/>
      <c r="T47" s="251"/>
      <c r="U47" s="251"/>
      <c r="V47" s="251"/>
      <c r="W47" s="251"/>
      <c r="X47" s="251"/>
      <c r="Y47" s="251"/>
      <c r="Z47" s="251"/>
      <c r="AA47" s="251"/>
      <c r="AB47" s="251"/>
      <c r="AC47" s="251"/>
      <c r="AD47" s="251"/>
      <c r="AE47" s="251"/>
    </row>
    <row r="48" spans="1:31" ht="15.75" customHeight="1">
      <c r="A48" s="251"/>
      <c r="B48" s="367"/>
      <c r="C48" s="367"/>
      <c r="D48" s="251"/>
      <c r="E48" s="251"/>
      <c r="F48" s="251"/>
      <c r="G48" s="251"/>
      <c r="H48" s="251"/>
      <c r="I48" s="251"/>
      <c r="J48" s="251"/>
      <c r="K48" s="251"/>
      <c r="L48" s="251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51"/>
      <c r="X48" s="251"/>
      <c r="Y48" s="251"/>
      <c r="Z48" s="251"/>
      <c r="AA48" s="251"/>
      <c r="AB48" s="251"/>
      <c r="AC48" s="251"/>
      <c r="AD48" s="251"/>
      <c r="AE48" s="251"/>
    </row>
    <row r="49" spans="1:31" ht="15.75" customHeight="1">
      <c r="A49" s="251"/>
      <c r="B49" s="367"/>
      <c r="C49" s="367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51"/>
      <c r="P49" s="251"/>
      <c r="Q49" s="251"/>
      <c r="R49" s="251"/>
      <c r="S49" s="251"/>
      <c r="T49" s="251"/>
      <c r="U49" s="251"/>
      <c r="V49" s="251"/>
      <c r="W49" s="251"/>
      <c r="X49" s="251"/>
      <c r="Y49" s="251"/>
      <c r="Z49" s="251"/>
      <c r="AA49" s="251"/>
      <c r="AB49" s="251"/>
      <c r="AC49" s="251"/>
      <c r="AD49" s="251"/>
      <c r="AE49" s="251"/>
    </row>
    <row r="50" spans="1:31" ht="15.75" customHeight="1">
      <c r="A50" s="251"/>
      <c r="B50" s="367"/>
      <c r="C50" s="367"/>
      <c r="D50" s="251"/>
      <c r="E50" s="251"/>
      <c r="F50" s="251"/>
      <c r="G50" s="251"/>
      <c r="H50" s="251"/>
      <c r="I50" s="251"/>
      <c r="J50" s="251"/>
      <c r="K50" s="251"/>
      <c r="L50" s="251"/>
      <c r="M50" s="251"/>
      <c r="N50" s="251"/>
      <c r="O50" s="251"/>
      <c r="P50" s="251"/>
      <c r="Q50" s="251"/>
      <c r="R50" s="251"/>
      <c r="S50" s="251"/>
      <c r="T50" s="251"/>
      <c r="U50" s="251"/>
      <c r="V50" s="251"/>
      <c r="W50" s="251"/>
      <c r="X50" s="251"/>
      <c r="Y50" s="251"/>
      <c r="Z50" s="251"/>
      <c r="AA50" s="251"/>
      <c r="AB50" s="251"/>
      <c r="AC50" s="251"/>
      <c r="AD50" s="251"/>
      <c r="AE50" s="251"/>
    </row>
    <row r="51" spans="1:31" ht="15.75" customHeight="1">
      <c r="A51" s="251"/>
      <c r="B51" s="367"/>
      <c r="C51" s="367"/>
      <c r="D51" s="251"/>
      <c r="E51" s="251"/>
      <c r="F51" s="251"/>
      <c r="G51" s="251"/>
      <c r="H51" s="251"/>
      <c r="I51" s="251"/>
      <c r="J51" s="251"/>
      <c r="K51" s="251"/>
      <c r="L51" s="251"/>
      <c r="M51" s="251"/>
      <c r="N51" s="251"/>
      <c r="O51" s="251"/>
      <c r="P51" s="251"/>
      <c r="Q51" s="251"/>
      <c r="R51" s="251"/>
      <c r="S51" s="251"/>
      <c r="T51" s="251"/>
      <c r="U51" s="251"/>
      <c r="V51" s="251"/>
      <c r="W51" s="251"/>
      <c r="X51" s="251"/>
      <c r="Y51" s="251"/>
      <c r="Z51" s="251"/>
      <c r="AA51" s="251"/>
      <c r="AB51" s="251"/>
      <c r="AC51" s="251"/>
      <c r="AD51" s="251"/>
      <c r="AE51" s="251"/>
    </row>
    <row r="52" spans="1:31" ht="15.75" customHeight="1">
      <c r="A52" s="251"/>
      <c r="B52" s="367"/>
      <c r="C52" s="367"/>
      <c r="D52" s="251"/>
      <c r="E52" s="251"/>
      <c r="F52" s="251"/>
      <c r="G52" s="251"/>
      <c r="H52" s="251"/>
      <c r="I52" s="251"/>
      <c r="J52" s="251"/>
      <c r="K52" s="251"/>
      <c r="L52" s="251"/>
      <c r="M52" s="251"/>
      <c r="N52" s="251"/>
      <c r="O52" s="251"/>
      <c r="P52" s="251"/>
      <c r="Q52" s="251"/>
      <c r="R52" s="251"/>
      <c r="S52" s="251"/>
      <c r="T52" s="251"/>
      <c r="U52" s="251"/>
      <c r="V52" s="251"/>
      <c r="W52" s="251"/>
      <c r="X52" s="251"/>
      <c r="Y52" s="251"/>
      <c r="Z52" s="251"/>
      <c r="AA52" s="251"/>
      <c r="AB52" s="251"/>
      <c r="AC52" s="251"/>
      <c r="AD52" s="251"/>
      <c r="AE52" s="251"/>
    </row>
    <row r="53" spans="1:31" ht="15.75" customHeight="1">
      <c r="A53" s="251"/>
      <c r="B53" s="367"/>
      <c r="C53" s="367"/>
      <c r="D53" s="251"/>
      <c r="E53" s="251"/>
      <c r="F53" s="251"/>
      <c r="G53" s="251"/>
      <c r="H53" s="251"/>
      <c r="I53" s="251"/>
      <c r="J53" s="251"/>
      <c r="K53" s="251"/>
      <c r="L53" s="251"/>
      <c r="M53" s="251"/>
      <c r="N53" s="251"/>
      <c r="O53" s="251"/>
      <c r="P53" s="251"/>
      <c r="Q53" s="251"/>
      <c r="R53" s="251"/>
      <c r="S53" s="251"/>
      <c r="T53" s="251"/>
      <c r="U53" s="251"/>
      <c r="V53" s="251"/>
      <c r="W53" s="251"/>
      <c r="X53" s="251"/>
      <c r="Y53" s="251"/>
      <c r="Z53" s="251"/>
      <c r="AA53" s="251"/>
      <c r="AB53" s="251"/>
      <c r="AC53" s="251"/>
      <c r="AD53" s="251"/>
      <c r="AE53" s="251"/>
    </row>
    <row r="54" spans="1:31" ht="15.75" customHeight="1">
      <c r="A54" s="251"/>
      <c r="B54" s="367"/>
      <c r="C54" s="367"/>
      <c r="D54" s="251"/>
      <c r="E54" s="251"/>
      <c r="F54" s="251"/>
      <c r="G54" s="251"/>
      <c r="H54" s="251"/>
      <c r="I54" s="251"/>
      <c r="J54" s="251"/>
      <c r="K54" s="251"/>
      <c r="L54" s="251"/>
      <c r="M54" s="251"/>
      <c r="N54" s="251"/>
      <c r="O54" s="251"/>
      <c r="P54" s="251"/>
      <c r="Q54" s="251"/>
      <c r="R54" s="251"/>
      <c r="S54" s="251"/>
      <c r="T54" s="251"/>
      <c r="U54" s="251"/>
      <c r="V54" s="251"/>
      <c r="W54" s="251"/>
      <c r="X54" s="251"/>
      <c r="Y54" s="251"/>
      <c r="Z54" s="251"/>
      <c r="AA54" s="251"/>
      <c r="AB54" s="251"/>
      <c r="AC54" s="251"/>
      <c r="AD54" s="251"/>
      <c r="AE54" s="251"/>
    </row>
    <row r="55" spans="1:31" ht="15.75" customHeight="1">
      <c r="A55" s="251"/>
      <c r="B55" s="367"/>
      <c r="C55" s="367"/>
      <c r="D55" s="251"/>
      <c r="E55" s="251"/>
      <c r="F55" s="251"/>
      <c r="G55" s="251"/>
      <c r="H55" s="251"/>
      <c r="I55" s="251"/>
      <c r="J55" s="251"/>
      <c r="K55" s="251"/>
      <c r="L55" s="251"/>
      <c r="M55" s="251"/>
      <c r="N55" s="251"/>
      <c r="O55" s="251"/>
      <c r="P55" s="251"/>
      <c r="Q55" s="251"/>
      <c r="R55" s="251"/>
      <c r="S55" s="251"/>
      <c r="T55" s="251"/>
      <c r="U55" s="251"/>
      <c r="V55" s="251"/>
      <c r="W55" s="251"/>
      <c r="X55" s="251"/>
      <c r="Y55" s="251"/>
      <c r="Z55" s="251"/>
      <c r="AA55" s="251"/>
      <c r="AB55" s="251"/>
      <c r="AC55" s="251"/>
      <c r="AD55" s="251"/>
      <c r="AE55" s="251"/>
    </row>
    <row r="56" spans="1:31" ht="15.75" customHeight="1">
      <c r="A56" s="251"/>
      <c r="B56" s="367"/>
      <c r="C56" s="367"/>
      <c r="D56" s="251"/>
      <c r="E56" s="251"/>
      <c r="F56" s="251"/>
      <c r="G56" s="251"/>
      <c r="H56" s="251"/>
      <c r="I56" s="251"/>
      <c r="J56" s="251"/>
      <c r="K56" s="251"/>
      <c r="L56" s="251"/>
      <c r="M56" s="251"/>
      <c r="N56" s="251"/>
      <c r="O56" s="251"/>
      <c r="P56" s="251"/>
      <c r="Q56" s="251"/>
      <c r="R56" s="251"/>
      <c r="S56" s="251"/>
      <c r="T56" s="251"/>
      <c r="U56" s="251"/>
      <c r="V56" s="251"/>
      <c r="W56" s="251"/>
      <c r="X56" s="251"/>
      <c r="Y56" s="251"/>
      <c r="Z56" s="251"/>
      <c r="AA56" s="251"/>
      <c r="AB56" s="251"/>
      <c r="AC56" s="251"/>
      <c r="AD56" s="251"/>
      <c r="AE56" s="251"/>
    </row>
    <row r="57" spans="1:31" ht="15.75" customHeight="1">
      <c r="A57" s="251"/>
      <c r="B57" s="367"/>
      <c r="C57" s="367"/>
      <c r="D57" s="251"/>
      <c r="E57" s="251"/>
      <c r="F57" s="251"/>
      <c r="G57" s="251"/>
      <c r="H57" s="251"/>
      <c r="I57" s="251"/>
      <c r="J57" s="251"/>
      <c r="K57" s="251"/>
      <c r="L57" s="251"/>
      <c r="M57" s="251"/>
      <c r="N57" s="251"/>
      <c r="O57" s="251"/>
      <c r="P57" s="251"/>
      <c r="Q57" s="251"/>
      <c r="R57" s="251"/>
      <c r="S57" s="251"/>
      <c r="T57" s="251"/>
      <c r="U57" s="251"/>
      <c r="V57" s="251"/>
      <c r="W57" s="251"/>
      <c r="X57" s="251"/>
      <c r="Y57" s="251"/>
      <c r="Z57" s="251"/>
      <c r="AA57" s="251"/>
      <c r="AB57" s="251"/>
      <c r="AC57" s="251"/>
      <c r="AD57" s="251"/>
      <c r="AE57" s="251"/>
    </row>
    <row r="58" spans="1:31" ht="15.75" customHeight="1">
      <c r="A58" s="251"/>
      <c r="B58" s="367"/>
      <c r="C58" s="367"/>
      <c r="D58" s="251"/>
      <c r="E58" s="251"/>
      <c r="F58" s="251"/>
      <c r="G58" s="251"/>
      <c r="H58" s="251"/>
      <c r="I58" s="251"/>
      <c r="J58" s="251"/>
      <c r="K58" s="251"/>
      <c r="L58" s="251"/>
      <c r="M58" s="251"/>
      <c r="N58" s="251"/>
      <c r="O58" s="251"/>
      <c r="P58" s="251"/>
      <c r="Q58" s="251"/>
      <c r="R58" s="251"/>
      <c r="S58" s="251"/>
      <c r="T58" s="251"/>
      <c r="U58" s="251"/>
      <c r="V58" s="251"/>
      <c r="W58" s="251"/>
      <c r="X58" s="251"/>
      <c r="Y58" s="251"/>
      <c r="Z58" s="251"/>
      <c r="AA58" s="251"/>
      <c r="AB58" s="251"/>
      <c r="AC58" s="251"/>
      <c r="AD58" s="251"/>
      <c r="AE58" s="251"/>
    </row>
    <row r="59" spans="1:31" ht="15.75" customHeight="1">
      <c r="A59" s="251"/>
      <c r="B59" s="367"/>
      <c r="C59" s="367"/>
      <c r="D59" s="251"/>
      <c r="E59" s="251"/>
      <c r="F59" s="251"/>
      <c r="G59" s="251"/>
      <c r="H59" s="251"/>
      <c r="I59" s="251"/>
      <c r="J59" s="251"/>
      <c r="K59" s="251"/>
      <c r="L59" s="251"/>
      <c r="M59" s="251"/>
      <c r="N59" s="251"/>
      <c r="O59" s="251"/>
      <c r="P59" s="251"/>
      <c r="Q59" s="251"/>
      <c r="R59" s="251"/>
      <c r="S59" s="251"/>
      <c r="T59" s="251"/>
      <c r="U59" s="251"/>
      <c r="V59" s="251"/>
      <c r="W59" s="251"/>
      <c r="X59" s="251"/>
      <c r="Y59" s="251"/>
      <c r="Z59" s="251"/>
      <c r="AA59" s="251"/>
      <c r="AB59" s="251"/>
      <c r="AC59" s="251"/>
      <c r="AD59" s="251"/>
      <c r="AE59" s="251"/>
    </row>
    <row r="60" spans="1:31" ht="15.75" customHeight="1"/>
    <row r="61" spans="1:31" ht="15.75" customHeight="1"/>
    <row r="62" spans="1:31" ht="15.75" customHeight="1"/>
    <row r="63" spans="1:31" ht="15.75" customHeight="1"/>
    <row r="64" spans="1:31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I1:L1"/>
    <mergeCell ref="K3:O3"/>
  </mergeCells>
  <pageMargins left="0.7" right="0.7" top="0.75" bottom="0.75" header="0" footer="0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5"/>
  <dimension ref="A1:AM499"/>
  <sheetViews>
    <sheetView tabSelected="1" zoomScale="85" zoomScaleNormal="85" workbookViewId="0">
      <pane xSplit="3" topLeftCell="R1" activePane="topRight" state="frozen"/>
      <selection pane="topRight" activeCell="AC8" sqref="AC8"/>
    </sheetView>
  </sheetViews>
  <sheetFormatPr defaultColWidth="14.44140625" defaultRowHeight="14.4"/>
  <cols>
    <col min="1" max="1" width="5.6640625" bestFit="1" customWidth="1"/>
    <col min="2" max="2" width="14.5546875" bestFit="1" customWidth="1"/>
    <col min="3" max="3" width="18.5546875" bestFit="1" customWidth="1"/>
    <col min="4" max="4" width="22" bestFit="1" customWidth="1"/>
    <col min="5" max="5" width="16.88671875" customWidth="1"/>
    <col min="6" max="6" width="22.6640625" bestFit="1" customWidth="1"/>
    <col min="7" max="7" width="25.5546875" bestFit="1" customWidth="1"/>
    <col min="8" max="8" width="25" bestFit="1" customWidth="1"/>
    <col min="9" max="9" width="24.6640625" bestFit="1" customWidth="1"/>
    <col min="10" max="10" width="30.88671875" customWidth="1"/>
    <col min="11" max="11" width="28.5546875" bestFit="1" customWidth="1"/>
    <col min="12" max="12" width="15" hidden="1" customWidth="1"/>
    <col min="13" max="13" width="6.6640625" hidden="1" customWidth="1"/>
    <col min="14" max="14" width="9.33203125" hidden="1" customWidth="1"/>
    <col min="15" max="15" width="36.44140625" bestFit="1" customWidth="1"/>
    <col min="16" max="16" width="8.44140625" customWidth="1"/>
    <col min="17" max="17" width="17.5546875" bestFit="1" customWidth="1"/>
    <col min="18" max="18" width="11.44140625" bestFit="1" customWidth="1"/>
    <col min="19" max="19" width="25.6640625" bestFit="1" customWidth="1"/>
    <col min="20" max="20" width="46" bestFit="1" customWidth="1"/>
    <col min="21" max="21" width="17.5546875" bestFit="1" customWidth="1"/>
    <col min="22" max="22" width="18.33203125" bestFit="1" customWidth="1"/>
    <col min="23" max="35" width="7.88671875" bestFit="1" customWidth="1"/>
    <col min="36" max="36" width="8.6640625" customWidth="1"/>
  </cols>
  <sheetData>
    <row r="1" spans="1:39">
      <c r="A1" s="363" t="s">
        <v>1703</v>
      </c>
      <c r="B1" s="342" t="s">
        <v>1</v>
      </c>
      <c r="C1" s="342" t="s">
        <v>2</v>
      </c>
      <c r="D1" s="343" t="s">
        <v>573</v>
      </c>
      <c r="E1" s="343" t="s">
        <v>1762</v>
      </c>
      <c r="F1" s="343" t="s">
        <v>1704</v>
      </c>
      <c r="G1" s="343" t="s">
        <v>1705</v>
      </c>
      <c r="H1" s="343" t="s">
        <v>1706</v>
      </c>
      <c r="I1" s="344" t="s">
        <v>5</v>
      </c>
      <c r="J1" s="345" t="s">
        <v>6</v>
      </c>
      <c r="K1" s="345" t="s">
        <v>574</v>
      </c>
      <c r="L1" s="345" t="s">
        <v>7</v>
      </c>
      <c r="M1" s="345" t="s">
        <v>1707</v>
      </c>
      <c r="N1" s="345" t="s">
        <v>8</v>
      </c>
      <c r="O1" s="345" t="s">
        <v>9</v>
      </c>
      <c r="P1" s="345" t="s">
        <v>10</v>
      </c>
      <c r="Q1" s="344" t="s">
        <v>11</v>
      </c>
      <c r="R1" s="346" t="s">
        <v>12</v>
      </c>
      <c r="S1" s="345" t="s">
        <v>740</v>
      </c>
      <c r="T1" s="345" t="s">
        <v>741</v>
      </c>
      <c r="U1" s="347" t="s">
        <v>3</v>
      </c>
      <c r="V1" s="347" t="s">
        <v>199</v>
      </c>
      <c r="W1" s="347" t="s">
        <v>1708</v>
      </c>
      <c r="X1" s="347" t="s">
        <v>1709</v>
      </c>
      <c r="Y1" s="347" t="s">
        <v>1710</v>
      </c>
      <c r="Z1" s="347" t="s">
        <v>1711</v>
      </c>
      <c r="AA1" s="347" t="s">
        <v>1712</v>
      </c>
      <c r="AB1" s="347" t="s">
        <v>1713</v>
      </c>
      <c r="AC1" s="347" t="s">
        <v>1714</v>
      </c>
      <c r="AD1" s="347" t="s">
        <v>1715</v>
      </c>
      <c r="AE1" s="347" t="s">
        <v>1716</v>
      </c>
      <c r="AF1" s="347" t="s">
        <v>1717</v>
      </c>
      <c r="AG1" s="347" t="s">
        <v>1718</v>
      </c>
      <c r="AH1" s="347" t="s">
        <v>1719</v>
      </c>
      <c r="AI1" s="348" t="s">
        <v>1720</v>
      </c>
      <c r="AJ1" s="370" t="s">
        <v>1765</v>
      </c>
      <c r="AK1" s="373" t="s">
        <v>1775</v>
      </c>
      <c r="AL1" s="347" t="s">
        <v>1776</v>
      </c>
      <c r="AM1" s="374" t="s">
        <v>1780</v>
      </c>
    </row>
    <row r="2" spans="1:39">
      <c r="A2" s="349">
        <v>26</v>
      </c>
      <c r="B2" s="357" t="s">
        <v>1396</v>
      </c>
      <c r="C2" s="357" t="s">
        <v>1019</v>
      </c>
      <c r="D2" s="359">
        <v>45831</v>
      </c>
      <c r="E2" s="360">
        <f t="shared" ref="E2" ca="1" si="0">TODAY()-D2</f>
        <v>472</v>
      </c>
      <c r="F2" s="361">
        <f ca="1">('Dane Członków'!$D2+365)-(TODAY())</f>
        <v>-107</v>
      </c>
      <c r="G2" s="359">
        <v>45069</v>
      </c>
      <c r="H2" s="351" t="s">
        <v>1779</v>
      </c>
      <c r="I2" s="350" t="s">
        <v>170</v>
      </c>
      <c r="J2" s="356" t="s">
        <v>1782</v>
      </c>
      <c r="K2" s="356" t="s">
        <v>1781</v>
      </c>
      <c r="L2" s="362">
        <v>600294958</v>
      </c>
      <c r="M2" s="362"/>
      <c r="N2" s="354"/>
      <c r="O2" s="382" t="s">
        <v>1783</v>
      </c>
      <c r="P2" s="353"/>
      <c r="Q2" s="353">
        <v>254</v>
      </c>
      <c r="R2" s="355" t="s">
        <v>412</v>
      </c>
      <c r="S2" s="353"/>
      <c r="T2" s="353"/>
      <c r="U2" s="359">
        <v>42429</v>
      </c>
      <c r="V2" s="359">
        <v>42429</v>
      </c>
      <c r="W2" s="358"/>
      <c r="X2" s="358"/>
      <c r="Y2" s="358"/>
      <c r="Z2" s="358"/>
      <c r="AA2" s="358"/>
      <c r="AB2" s="358"/>
      <c r="AC2" s="352">
        <v>50</v>
      </c>
      <c r="AD2" s="352">
        <v>50</v>
      </c>
      <c r="AE2" s="352">
        <v>50</v>
      </c>
      <c r="AF2" s="352"/>
      <c r="AG2" s="352">
        <v>50</v>
      </c>
      <c r="AH2" s="355">
        <v>50</v>
      </c>
      <c r="AI2" s="364">
        <v>50</v>
      </c>
      <c r="AJ2" s="372">
        <v>50</v>
      </c>
      <c r="AK2" s="369"/>
      <c r="AL2" s="372">
        <v>50</v>
      </c>
      <c r="AM2" s="369"/>
    </row>
    <row r="3" spans="1:39">
      <c r="J3" s="84"/>
      <c r="N3" s="278"/>
    </row>
    <row r="4" spans="1:39">
      <c r="J4" s="84"/>
      <c r="N4" s="278"/>
    </row>
    <row r="5" spans="1:39">
      <c r="J5" s="84"/>
      <c r="N5" s="278"/>
    </row>
    <row r="6" spans="1:39">
      <c r="J6" s="84"/>
      <c r="N6" s="278"/>
    </row>
    <row r="7" spans="1:39">
      <c r="J7" s="84"/>
      <c r="N7" s="278"/>
    </row>
    <row r="8" spans="1:39">
      <c r="J8" s="84"/>
      <c r="N8" s="278"/>
    </row>
    <row r="9" spans="1:39">
      <c r="J9" s="84"/>
      <c r="N9" s="278"/>
    </row>
    <row r="10" spans="1:39">
      <c r="J10" s="84"/>
      <c r="N10" s="278"/>
    </row>
    <row r="11" spans="1:39">
      <c r="J11" s="84"/>
      <c r="N11" s="278"/>
    </row>
    <row r="12" spans="1:39">
      <c r="J12" s="84"/>
      <c r="N12" s="278"/>
    </row>
    <row r="13" spans="1:39">
      <c r="J13" s="84"/>
      <c r="N13" s="278"/>
    </row>
    <row r="14" spans="1:39">
      <c r="J14" s="84"/>
      <c r="N14" s="278"/>
    </row>
    <row r="15" spans="1:39">
      <c r="J15" s="84"/>
      <c r="N15" s="278"/>
    </row>
    <row r="16" spans="1:39">
      <c r="J16" s="84"/>
      <c r="N16" s="278"/>
    </row>
    <row r="17" spans="10:14">
      <c r="J17" s="84"/>
      <c r="N17" s="278"/>
    </row>
    <row r="18" spans="10:14">
      <c r="J18" s="84"/>
      <c r="N18" s="278"/>
    </row>
    <row r="19" spans="10:14">
      <c r="J19" s="84"/>
      <c r="N19" s="278"/>
    </row>
    <row r="20" spans="10:14">
      <c r="J20" s="84"/>
      <c r="N20" s="278"/>
    </row>
    <row r="21" spans="10:14">
      <c r="J21" s="84"/>
      <c r="N21" s="278"/>
    </row>
    <row r="22" spans="10:14">
      <c r="J22" s="84"/>
      <c r="N22" s="278"/>
    </row>
    <row r="23" spans="10:14">
      <c r="J23" s="84"/>
      <c r="N23" s="278"/>
    </row>
    <row r="24" spans="10:14">
      <c r="J24" s="84"/>
      <c r="N24" s="278"/>
    </row>
    <row r="25" spans="10:14">
      <c r="J25" s="84"/>
      <c r="N25" s="278"/>
    </row>
    <row r="26" spans="10:14">
      <c r="J26" s="84"/>
      <c r="N26" s="278"/>
    </row>
    <row r="27" spans="10:14">
      <c r="J27" s="84"/>
      <c r="N27" s="278"/>
    </row>
    <row r="28" spans="10:14">
      <c r="J28" s="84"/>
      <c r="N28" s="278"/>
    </row>
    <row r="29" spans="10:14">
      <c r="J29" s="84"/>
      <c r="N29" s="278"/>
    </row>
    <row r="30" spans="10:14">
      <c r="J30" s="84"/>
      <c r="N30" s="278"/>
    </row>
    <row r="31" spans="10:14">
      <c r="J31" s="84"/>
      <c r="N31" s="278"/>
    </row>
    <row r="32" spans="10:14">
      <c r="J32" s="84"/>
      <c r="N32" s="278"/>
    </row>
    <row r="33" spans="10:14">
      <c r="J33" s="84"/>
      <c r="N33" s="278"/>
    </row>
    <row r="34" spans="10:14">
      <c r="J34" s="84"/>
      <c r="N34" s="278"/>
    </row>
    <row r="35" spans="10:14">
      <c r="J35" s="84"/>
      <c r="N35" s="278"/>
    </row>
    <row r="36" spans="10:14">
      <c r="J36" s="84"/>
      <c r="N36" s="278"/>
    </row>
    <row r="37" spans="10:14">
      <c r="J37" s="84"/>
      <c r="N37" s="278"/>
    </row>
    <row r="38" spans="10:14">
      <c r="J38" s="84"/>
      <c r="N38" s="278"/>
    </row>
    <row r="39" spans="10:14">
      <c r="J39" s="84"/>
      <c r="N39" s="278"/>
    </row>
    <row r="40" spans="10:14">
      <c r="J40" s="84"/>
      <c r="N40" s="278"/>
    </row>
    <row r="41" spans="10:14">
      <c r="J41" s="84"/>
      <c r="N41" s="278"/>
    </row>
    <row r="42" spans="10:14">
      <c r="J42" s="84"/>
      <c r="N42" s="278"/>
    </row>
    <row r="43" spans="10:14">
      <c r="J43" s="84"/>
      <c r="N43" s="278"/>
    </row>
    <row r="44" spans="10:14">
      <c r="J44" s="84"/>
      <c r="N44" s="278"/>
    </row>
    <row r="45" spans="10:14">
      <c r="J45" s="84"/>
      <c r="N45" s="278"/>
    </row>
    <row r="46" spans="10:14">
      <c r="J46" s="84"/>
      <c r="N46" s="278"/>
    </row>
    <row r="47" spans="10:14">
      <c r="J47" s="84"/>
      <c r="N47" s="278"/>
    </row>
    <row r="48" spans="10:14">
      <c r="J48" s="84"/>
      <c r="N48" s="278"/>
    </row>
    <row r="49" spans="10:14">
      <c r="J49" s="84"/>
      <c r="N49" s="278"/>
    </row>
    <row r="50" spans="10:14">
      <c r="J50" s="84"/>
      <c r="N50" s="278"/>
    </row>
    <row r="51" spans="10:14">
      <c r="J51" s="84"/>
      <c r="N51" s="278"/>
    </row>
    <row r="52" spans="10:14">
      <c r="J52" s="84"/>
      <c r="N52" s="278"/>
    </row>
    <row r="53" spans="10:14">
      <c r="J53" s="84"/>
      <c r="N53" s="278"/>
    </row>
    <row r="54" spans="10:14">
      <c r="J54" s="84"/>
      <c r="N54" s="278"/>
    </row>
    <row r="55" spans="10:14">
      <c r="J55" s="84"/>
      <c r="N55" s="278"/>
    </row>
    <row r="56" spans="10:14">
      <c r="J56" s="84"/>
      <c r="N56" s="278"/>
    </row>
    <row r="57" spans="10:14">
      <c r="J57" s="84"/>
      <c r="N57" s="278"/>
    </row>
    <row r="58" spans="10:14">
      <c r="J58" s="84"/>
      <c r="N58" s="278"/>
    </row>
    <row r="59" spans="10:14">
      <c r="J59" s="84"/>
      <c r="N59" s="278"/>
    </row>
    <row r="60" spans="10:14">
      <c r="J60" s="84"/>
      <c r="N60" s="278"/>
    </row>
    <row r="61" spans="10:14">
      <c r="J61" s="84"/>
      <c r="N61" s="278"/>
    </row>
    <row r="62" spans="10:14">
      <c r="J62" s="84"/>
      <c r="N62" s="278"/>
    </row>
    <row r="63" spans="10:14">
      <c r="J63" s="84"/>
      <c r="N63" s="278"/>
    </row>
    <row r="64" spans="10:14">
      <c r="J64" s="84"/>
      <c r="N64" s="278"/>
    </row>
    <row r="65" spans="10:14">
      <c r="J65" s="84"/>
      <c r="N65" s="278"/>
    </row>
    <row r="66" spans="10:14">
      <c r="J66" s="84"/>
      <c r="N66" s="278"/>
    </row>
    <row r="67" spans="10:14">
      <c r="J67" s="84"/>
      <c r="N67" s="278"/>
    </row>
    <row r="68" spans="10:14">
      <c r="J68" s="84"/>
      <c r="N68" s="278"/>
    </row>
    <row r="69" spans="10:14">
      <c r="J69" s="84"/>
      <c r="N69" s="278"/>
    </row>
    <row r="70" spans="10:14">
      <c r="J70" s="84"/>
      <c r="N70" s="278"/>
    </row>
    <row r="71" spans="10:14">
      <c r="J71" s="84"/>
      <c r="N71" s="278"/>
    </row>
    <row r="72" spans="10:14">
      <c r="J72" s="84"/>
      <c r="N72" s="278"/>
    </row>
    <row r="73" spans="10:14">
      <c r="J73" s="84"/>
      <c r="N73" s="278"/>
    </row>
    <row r="74" spans="10:14">
      <c r="J74" s="84"/>
      <c r="N74" s="278"/>
    </row>
    <row r="75" spans="10:14">
      <c r="J75" s="84"/>
      <c r="N75" s="278"/>
    </row>
    <row r="76" spans="10:14">
      <c r="J76" s="84"/>
      <c r="N76" s="278"/>
    </row>
    <row r="77" spans="10:14">
      <c r="J77" s="84"/>
      <c r="N77" s="278"/>
    </row>
    <row r="78" spans="10:14">
      <c r="J78" s="84"/>
      <c r="N78" s="278"/>
    </row>
    <row r="79" spans="10:14">
      <c r="J79" s="84"/>
      <c r="N79" s="278"/>
    </row>
    <row r="80" spans="10:14">
      <c r="J80" s="84"/>
      <c r="N80" s="278"/>
    </row>
    <row r="81" spans="10:14">
      <c r="J81" s="84"/>
      <c r="N81" s="278"/>
    </row>
    <row r="82" spans="10:14">
      <c r="J82" s="84"/>
      <c r="N82" s="278"/>
    </row>
    <row r="83" spans="10:14">
      <c r="J83" s="84"/>
      <c r="N83" s="278"/>
    </row>
    <row r="84" spans="10:14">
      <c r="J84" s="84"/>
      <c r="N84" s="278"/>
    </row>
    <row r="85" spans="10:14">
      <c r="J85" s="84"/>
      <c r="N85" s="278"/>
    </row>
    <row r="86" spans="10:14">
      <c r="J86" s="84"/>
      <c r="N86" s="278"/>
    </row>
    <row r="87" spans="10:14">
      <c r="J87" s="84"/>
      <c r="N87" s="278"/>
    </row>
    <row r="88" spans="10:14">
      <c r="J88" s="84"/>
      <c r="N88" s="278"/>
    </row>
    <row r="89" spans="10:14">
      <c r="J89" s="84"/>
      <c r="N89" s="278"/>
    </row>
    <row r="90" spans="10:14">
      <c r="J90" s="84"/>
      <c r="N90" s="278"/>
    </row>
    <row r="91" spans="10:14">
      <c r="J91" s="84"/>
      <c r="N91" s="278"/>
    </row>
    <row r="92" spans="10:14">
      <c r="J92" s="84"/>
      <c r="N92" s="278"/>
    </row>
    <row r="93" spans="10:14">
      <c r="J93" s="84"/>
      <c r="N93" s="278"/>
    </row>
    <row r="94" spans="10:14">
      <c r="J94" s="84"/>
      <c r="N94" s="278"/>
    </row>
    <row r="95" spans="10:14">
      <c r="J95" s="84"/>
      <c r="N95" s="278"/>
    </row>
    <row r="96" spans="10:14">
      <c r="J96" s="84"/>
      <c r="N96" s="278"/>
    </row>
    <row r="97" spans="10:14">
      <c r="J97" s="84"/>
      <c r="N97" s="278"/>
    </row>
    <row r="98" spans="10:14">
      <c r="J98" s="84"/>
      <c r="N98" s="278"/>
    </row>
    <row r="99" spans="10:14">
      <c r="J99" s="84"/>
      <c r="N99" s="278"/>
    </row>
    <row r="100" spans="10:14">
      <c r="J100" s="84"/>
      <c r="N100" s="278"/>
    </row>
    <row r="101" spans="10:14">
      <c r="J101" s="84"/>
      <c r="N101" s="278"/>
    </row>
    <row r="102" spans="10:14">
      <c r="J102" s="84"/>
      <c r="N102" s="278"/>
    </row>
    <row r="103" spans="10:14">
      <c r="J103" s="84"/>
      <c r="N103" s="278"/>
    </row>
    <row r="104" spans="10:14">
      <c r="J104" s="84"/>
      <c r="N104" s="278"/>
    </row>
    <row r="105" spans="10:14">
      <c r="J105" s="84"/>
      <c r="N105" s="278"/>
    </row>
    <row r="106" spans="10:14">
      <c r="J106" s="84"/>
      <c r="N106" s="278"/>
    </row>
    <row r="107" spans="10:14">
      <c r="J107" s="84"/>
      <c r="N107" s="278"/>
    </row>
    <row r="108" spans="10:14">
      <c r="J108" s="84"/>
      <c r="N108" s="278"/>
    </row>
    <row r="109" spans="10:14">
      <c r="J109" s="84"/>
      <c r="N109" s="278"/>
    </row>
    <row r="110" spans="10:14">
      <c r="J110" s="84"/>
      <c r="N110" s="278"/>
    </row>
    <row r="111" spans="10:14">
      <c r="J111" s="84"/>
      <c r="N111" s="278"/>
    </row>
    <row r="112" spans="10:14">
      <c r="J112" s="84"/>
      <c r="N112" s="278"/>
    </row>
    <row r="113" spans="10:14">
      <c r="J113" s="84"/>
      <c r="N113" s="278"/>
    </row>
    <row r="114" spans="10:14">
      <c r="J114" s="84"/>
      <c r="N114" s="278"/>
    </row>
    <row r="115" spans="10:14">
      <c r="J115" s="84"/>
      <c r="N115" s="278"/>
    </row>
    <row r="116" spans="10:14">
      <c r="J116" s="84"/>
      <c r="N116" s="278"/>
    </row>
    <row r="117" spans="10:14">
      <c r="J117" s="84"/>
      <c r="N117" s="278"/>
    </row>
    <row r="118" spans="10:14">
      <c r="J118" s="84"/>
      <c r="N118" s="278"/>
    </row>
    <row r="119" spans="10:14">
      <c r="J119" s="84"/>
      <c r="N119" s="278"/>
    </row>
    <row r="120" spans="10:14">
      <c r="J120" s="84"/>
      <c r="N120" s="278"/>
    </row>
    <row r="121" spans="10:14">
      <c r="J121" s="84"/>
      <c r="N121" s="278"/>
    </row>
    <row r="122" spans="10:14">
      <c r="J122" s="84"/>
      <c r="N122" s="278"/>
    </row>
    <row r="123" spans="10:14">
      <c r="J123" s="84"/>
      <c r="N123" s="278"/>
    </row>
    <row r="124" spans="10:14">
      <c r="J124" s="84"/>
      <c r="N124" s="278"/>
    </row>
    <row r="125" spans="10:14">
      <c r="J125" s="84"/>
      <c r="N125" s="278"/>
    </row>
    <row r="126" spans="10:14">
      <c r="J126" s="84"/>
      <c r="N126" s="278"/>
    </row>
    <row r="127" spans="10:14">
      <c r="J127" s="84"/>
      <c r="N127" s="278"/>
    </row>
    <row r="128" spans="10:14">
      <c r="J128" s="84"/>
      <c r="N128" s="278"/>
    </row>
    <row r="129" spans="10:14">
      <c r="J129" s="84"/>
      <c r="N129" s="278"/>
    </row>
    <row r="130" spans="10:14">
      <c r="J130" s="84"/>
      <c r="N130" s="278"/>
    </row>
    <row r="131" spans="10:14">
      <c r="J131" s="84"/>
      <c r="N131" s="278"/>
    </row>
    <row r="132" spans="10:14">
      <c r="J132" s="84"/>
      <c r="N132" s="278"/>
    </row>
    <row r="133" spans="10:14">
      <c r="J133" s="84"/>
      <c r="N133" s="278"/>
    </row>
    <row r="134" spans="10:14">
      <c r="J134" s="84"/>
      <c r="N134" s="278"/>
    </row>
    <row r="135" spans="10:14">
      <c r="J135" s="84"/>
      <c r="N135" s="278"/>
    </row>
    <row r="136" spans="10:14">
      <c r="J136" s="84"/>
      <c r="N136" s="278"/>
    </row>
    <row r="137" spans="10:14">
      <c r="J137" s="84"/>
      <c r="N137" s="278"/>
    </row>
    <row r="138" spans="10:14">
      <c r="J138" s="84"/>
      <c r="N138" s="278"/>
    </row>
    <row r="139" spans="10:14">
      <c r="J139" s="84"/>
      <c r="N139" s="278"/>
    </row>
    <row r="140" spans="10:14">
      <c r="J140" s="84"/>
      <c r="N140" s="278"/>
    </row>
    <row r="141" spans="10:14">
      <c r="J141" s="84"/>
      <c r="N141" s="278"/>
    </row>
    <row r="142" spans="10:14">
      <c r="J142" s="84"/>
      <c r="N142" s="278"/>
    </row>
    <row r="143" spans="10:14">
      <c r="J143" s="84"/>
      <c r="N143" s="278"/>
    </row>
    <row r="144" spans="10:14">
      <c r="J144" s="84"/>
      <c r="N144" s="278"/>
    </row>
    <row r="145" spans="10:14">
      <c r="J145" s="84"/>
      <c r="N145" s="278"/>
    </row>
    <row r="146" spans="10:14">
      <c r="J146" s="84"/>
      <c r="N146" s="278"/>
    </row>
    <row r="147" spans="10:14">
      <c r="J147" s="84"/>
      <c r="N147" s="278"/>
    </row>
    <row r="148" spans="10:14">
      <c r="J148" s="84"/>
      <c r="N148" s="278"/>
    </row>
    <row r="149" spans="10:14">
      <c r="J149" s="84"/>
      <c r="N149" s="278"/>
    </row>
    <row r="150" spans="10:14">
      <c r="J150" s="84"/>
      <c r="N150" s="278"/>
    </row>
    <row r="151" spans="10:14">
      <c r="J151" s="84"/>
      <c r="N151" s="278"/>
    </row>
    <row r="152" spans="10:14">
      <c r="J152" s="84"/>
      <c r="N152" s="278"/>
    </row>
    <row r="153" spans="10:14">
      <c r="J153" s="84"/>
      <c r="N153" s="278"/>
    </row>
    <row r="154" spans="10:14">
      <c r="J154" s="84"/>
      <c r="N154" s="278"/>
    </row>
    <row r="155" spans="10:14">
      <c r="J155" s="84"/>
      <c r="N155" s="278"/>
    </row>
    <row r="156" spans="10:14">
      <c r="J156" s="84"/>
      <c r="N156" s="278"/>
    </row>
    <row r="157" spans="10:14">
      <c r="J157" s="84"/>
      <c r="N157" s="278"/>
    </row>
    <row r="158" spans="10:14">
      <c r="J158" s="84"/>
      <c r="N158" s="278"/>
    </row>
    <row r="159" spans="10:14">
      <c r="J159" s="84"/>
      <c r="N159" s="278"/>
    </row>
    <row r="160" spans="10:14">
      <c r="J160" s="84"/>
      <c r="N160" s="278"/>
    </row>
    <row r="161" spans="10:14">
      <c r="J161" s="84"/>
      <c r="N161" s="278"/>
    </row>
    <row r="162" spans="10:14">
      <c r="J162" s="84"/>
      <c r="N162" s="278"/>
    </row>
    <row r="163" spans="10:14">
      <c r="J163" s="84"/>
      <c r="N163" s="278"/>
    </row>
    <row r="164" spans="10:14">
      <c r="J164" s="84"/>
      <c r="N164" s="278"/>
    </row>
    <row r="165" spans="10:14">
      <c r="J165" s="84"/>
      <c r="N165" s="278"/>
    </row>
    <row r="166" spans="10:14">
      <c r="J166" s="84"/>
      <c r="N166" s="278"/>
    </row>
    <row r="167" spans="10:14">
      <c r="J167" s="84"/>
      <c r="N167" s="278"/>
    </row>
    <row r="168" spans="10:14">
      <c r="J168" s="84"/>
      <c r="N168" s="278"/>
    </row>
    <row r="169" spans="10:14">
      <c r="J169" s="84"/>
      <c r="N169" s="278"/>
    </row>
    <row r="170" spans="10:14">
      <c r="J170" s="84"/>
      <c r="N170" s="278"/>
    </row>
    <row r="171" spans="10:14">
      <c r="J171" s="84"/>
      <c r="N171" s="278"/>
    </row>
    <row r="172" spans="10:14">
      <c r="J172" s="84"/>
      <c r="N172" s="278"/>
    </row>
    <row r="173" spans="10:14">
      <c r="J173" s="84"/>
      <c r="N173" s="278"/>
    </row>
    <row r="174" spans="10:14">
      <c r="J174" s="84"/>
      <c r="N174" s="278"/>
    </row>
    <row r="175" spans="10:14">
      <c r="J175" s="84"/>
      <c r="N175" s="278"/>
    </row>
    <row r="176" spans="10:14">
      <c r="J176" s="84"/>
      <c r="N176" s="278"/>
    </row>
    <row r="177" spans="10:14">
      <c r="J177" s="84"/>
      <c r="N177" s="278"/>
    </row>
    <row r="178" spans="10:14">
      <c r="J178" s="84"/>
      <c r="N178" s="278"/>
    </row>
    <row r="179" spans="10:14">
      <c r="J179" s="84"/>
      <c r="N179" s="278"/>
    </row>
    <row r="180" spans="10:14">
      <c r="J180" s="84"/>
      <c r="N180" s="278"/>
    </row>
    <row r="181" spans="10:14">
      <c r="J181" s="84"/>
      <c r="N181" s="278"/>
    </row>
    <row r="182" spans="10:14">
      <c r="J182" s="84"/>
      <c r="N182" s="278"/>
    </row>
    <row r="183" spans="10:14">
      <c r="J183" s="84"/>
      <c r="N183" s="278"/>
    </row>
    <row r="184" spans="10:14">
      <c r="J184" s="84"/>
      <c r="N184" s="278"/>
    </row>
    <row r="185" spans="10:14">
      <c r="J185" s="84"/>
      <c r="N185" s="278"/>
    </row>
    <row r="186" spans="10:14">
      <c r="J186" s="84"/>
      <c r="N186" s="278"/>
    </row>
    <row r="187" spans="10:14">
      <c r="J187" s="84"/>
      <c r="N187" s="278"/>
    </row>
    <row r="188" spans="10:14">
      <c r="J188" s="84"/>
      <c r="N188" s="278"/>
    </row>
    <row r="189" spans="10:14">
      <c r="J189" s="84"/>
      <c r="N189" s="278"/>
    </row>
    <row r="190" spans="10:14">
      <c r="J190" s="84"/>
      <c r="N190" s="278"/>
    </row>
    <row r="191" spans="10:14">
      <c r="J191" s="84"/>
      <c r="N191" s="278"/>
    </row>
    <row r="192" spans="10:14">
      <c r="J192" s="84"/>
      <c r="N192" s="278"/>
    </row>
    <row r="193" spans="10:14">
      <c r="J193" s="84"/>
      <c r="N193" s="278"/>
    </row>
    <row r="194" spans="10:14">
      <c r="J194" s="84"/>
      <c r="N194" s="278"/>
    </row>
    <row r="195" spans="10:14">
      <c r="J195" s="84"/>
      <c r="N195" s="278"/>
    </row>
    <row r="196" spans="10:14">
      <c r="J196" s="84"/>
      <c r="N196" s="278"/>
    </row>
    <row r="197" spans="10:14">
      <c r="J197" s="84"/>
      <c r="N197" s="278"/>
    </row>
    <row r="198" spans="10:14">
      <c r="J198" s="84"/>
      <c r="N198" s="278"/>
    </row>
    <row r="199" spans="10:14">
      <c r="J199" s="84"/>
      <c r="N199" s="278"/>
    </row>
    <row r="200" spans="10:14">
      <c r="J200" s="84"/>
      <c r="N200" s="278"/>
    </row>
    <row r="201" spans="10:14">
      <c r="J201" s="84"/>
      <c r="N201" s="278"/>
    </row>
    <row r="202" spans="10:14">
      <c r="J202" s="84"/>
      <c r="N202" s="278"/>
    </row>
    <row r="203" spans="10:14">
      <c r="J203" s="84"/>
      <c r="N203" s="278"/>
    </row>
    <row r="204" spans="10:14">
      <c r="J204" s="84"/>
      <c r="N204" s="278"/>
    </row>
    <row r="205" spans="10:14">
      <c r="J205" s="84"/>
      <c r="N205" s="278"/>
    </row>
    <row r="206" spans="10:14">
      <c r="J206" s="84"/>
      <c r="N206" s="278"/>
    </row>
    <row r="207" spans="10:14">
      <c r="J207" s="84"/>
      <c r="N207" s="278"/>
    </row>
    <row r="208" spans="10:14">
      <c r="J208" s="84"/>
      <c r="N208" s="278"/>
    </row>
    <row r="209" spans="10:14">
      <c r="J209" s="84"/>
      <c r="N209" s="278"/>
    </row>
    <row r="210" spans="10:14">
      <c r="J210" s="84"/>
      <c r="N210" s="278"/>
    </row>
    <row r="211" spans="10:14">
      <c r="J211" s="84"/>
      <c r="N211" s="278"/>
    </row>
    <row r="212" spans="10:14">
      <c r="J212" s="84"/>
      <c r="N212" s="278"/>
    </row>
    <row r="213" spans="10:14">
      <c r="J213" s="84"/>
      <c r="N213" s="278"/>
    </row>
    <row r="214" spans="10:14">
      <c r="J214" s="84"/>
      <c r="N214" s="278"/>
    </row>
    <row r="215" spans="10:14">
      <c r="J215" s="84"/>
      <c r="N215" s="278"/>
    </row>
    <row r="216" spans="10:14">
      <c r="J216" s="84"/>
      <c r="N216" s="278"/>
    </row>
    <row r="217" spans="10:14">
      <c r="J217" s="84"/>
      <c r="N217" s="278"/>
    </row>
    <row r="218" spans="10:14">
      <c r="J218" s="84"/>
      <c r="N218" s="278"/>
    </row>
    <row r="219" spans="10:14">
      <c r="J219" s="84"/>
      <c r="N219" s="278"/>
    </row>
    <row r="220" spans="10:14">
      <c r="J220" s="84"/>
      <c r="N220" s="278"/>
    </row>
    <row r="221" spans="10:14">
      <c r="J221" s="84"/>
      <c r="N221" s="278"/>
    </row>
    <row r="222" spans="10:14">
      <c r="J222" s="84"/>
      <c r="N222" s="278"/>
    </row>
    <row r="223" spans="10:14">
      <c r="J223" s="84"/>
      <c r="N223" s="278"/>
    </row>
    <row r="224" spans="10:14">
      <c r="J224" s="84"/>
      <c r="N224" s="278"/>
    </row>
    <row r="225" spans="10:14">
      <c r="J225" s="84"/>
      <c r="N225" s="278"/>
    </row>
    <row r="226" spans="10:14">
      <c r="J226" s="84"/>
      <c r="N226" s="278"/>
    </row>
    <row r="227" spans="10:14">
      <c r="J227" s="84"/>
      <c r="N227" s="278"/>
    </row>
    <row r="228" spans="10:14">
      <c r="J228" s="84"/>
      <c r="N228" s="278"/>
    </row>
    <row r="229" spans="10:14">
      <c r="J229" s="84"/>
      <c r="N229" s="278"/>
    </row>
    <row r="230" spans="10:14">
      <c r="J230" s="84"/>
      <c r="N230" s="278"/>
    </row>
    <row r="231" spans="10:14">
      <c r="J231" s="84"/>
      <c r="N231" s="278"/>
    </row>
    <row r="232" spans="10:14">
      <c r="J232" s="84"/>
      <c r="N232" s="278"/>
    </row>
    <row r="233" spans="10:14">
      <c r="J233" s="84"/>
      <c r="N233" s="278"/>
    </row>
    <row r="234" spans="10:14">
      <c r="J234" s="84"/>
      <c r="N234" s="278"/>
    </row>
    <row r="235" spans="10:14">
      <c r="J235" s="84"/>
      <c r="N235" s="278"/>
    </row>
    <row r="236" spans="10:14">
      <c r="J236" s="84"/>
      <c r="N236" s="278"/>
    </row>
    <row r="237" spans="10:14">
      <c r="J237" s="84"/>
      <c r="N237" s="278"/>
    </row>
    <row r="238" spans="10:14">
      <c r="J238" s="84"/>
      <c r="N238" s="278"/>
    </row>
    <row r="239" spans="10:14">
      <c r="J239" s="84"/>
      <c r="N239" s="278"/>
    </row>
    <row r="240" spans="10:14">
      <c r="J240" s="84"/>
      <c r="N240" s="278"/>
    </row>
    <row r="241" spans="10:14">
      <c r="J241" s="84"/>
      <c r="N241" s="278"/>
    </row>
    <row r="242" spans="10:14">
      <c r="J242" s="84"/>
      <c r="N242" s="278"/>
    </row>
    <row r="243" spans="10:14">
      <c r="J243" s="84"/>
      <c r="N243" s="278"/>
    </row>
    <row r="244" spans="10:14">
      <c r="J244" s="84"/>
      <c r="N244" s="278"/>
    </row>
    <row r="245" spans="10:14">
      <c r="J245" s="84"/>
      <c r="N245" s="278"/>
    </row>
    <row r="246" spans="10:14">
      <c r="J246" s="84"/>
      <c r="N246" s="278"/>
    </row>
    <row r="247" spans="10:14">
      <c r="J247" s="84"/>
      <c r="N247" s="278"/>
    </row>
    <row r="248" spans="10:14">
      <c r="J248" s="84"/>
      <c r="N248" s="278"/>
    </row>
    <row r="249" spans="10:14">
      <c r="J249" s="84"/>
      <c r="N249" s="278"/>
    </row>
    <row r="250" spans="10:14">
      <c r="J250" s="84"/>
      <c r="N250" s="278"/>
    </row>
    <row r="251" spans="10:14">
      <c r="J251" s="84"/>
      <c r="N251" s="278"/>
    </row>
    <row r="252" spans="10:14">
      <c r="J252" s="84"/>
      <c r="N252" s="278"/>
    </row>
    <row r="253" spans="10:14">
      <c r="J253" s="84"/>
      <c r="N253" s="278"/>
    </row>
    <row r="254" spans="10:14">
      <c r="J254" s="84"/>
      <c r="N254" s="278"/>
    </row>
    <row r="255" spans="10:14">
      <c r="J255" s="84"/>
      <c r="N255" s="278"/>
    </row>
    <row r="256" spans="10:14">
      <c r="J256" s="84"/>
      <c r="N256" s="278"/>
    </row>
    <row r="257" spans="10:14">
      <c r="J257" s="84"/>
      <c r="N257" s="278"/>
    </row>
    <row r="258" spans="10:14">
      <c r="J258" s="84"/>
      <c r="N258" s="278"/>
    </row>
    <row r="259" spans="10:14">
      <c r="J259" s="84"/>
      <c r="N259" s="278"/>
    </row>
    <row r="260" spans="10:14">
      <c r="J260" s="84"/>
      <c r="N260" s="278"/>
    </row>
    <row r="261" spans="10:14">
      <c r="J261" s="84"/>
      <c r="N261" s="278"/>
    </row>
    <row r="262" spans="10:14">
      <c r="J262" s="84"/>
      <c r="N262" s="278"/>
    </row>
    <row r="263" spans="10:14">
      <c r="J263" s="84"/>
      <c r="N263" s="278"/>
    </row>
    <row r="264" spans="10:14">
      <c r="J264" s="84"/>
      <c r="N264" s="278"/>
    </row>
    <row r="265" spans="10:14">
      <c r="J265" s="84"/>
      <c r="N265" s="278"/>
    </row>
    <row r="266" spans="10:14">
      <c r="J266" s="84"/>
      <c r="N266" s="278"/>
    </row>
    <row r="267" spans="10:14">
      <c r="J267" s="84"/>
      <c r="N267" s="278"/>
    </row>
    <row r="268" spans="10:14">
      <c r="J268" s="84"/>
      <c r="N268" s="278"/>
    </row>
    <row r="269" spans="10:14">
      <c r="J269" s="84"/>
      <c r="N269" s="278"/>
    </row>
    <row r="270" spans="10:14">
      <c r="J270" s="84"/>
      <c r="N270" s="278"/>
    </row>
    <row r="271" spans="10:14">
      <c r="J271" s="84"/>
      <c r="N271" s="278"/>
    </row>
    <row r="272" spans="10:14">
      <c r="J272" s="84"/>
      <c r="N272" s="278"/>
    </row>
    <row r="273" spans="10:14">
      <c r="J273" s="84"/>
      <c r="N273" s="278"/>
    </row>
    <row r="274" spans="10:14">
      <c r="J274" s="84"/>
      <c r="N274" s="278"/>
    </row>
    <row r="275" spans="10:14">
      <c r="J275" s="84"/>
      <c r="N275" s="278"/>
    </row>
    <row r="276" spans="10:14">
      <c r="J276" s="84"/>
      <c r="N276" s="278"/>
    </row>
    <row r="277" spans="10:14">
      <c r="J277" s="84"/>
      <c r="N277" s="278"/>
    </row>
    <row r="278" spans="10:14">
      <c r="J278" s="84"/>
      <c r="N278" s="278"/>
    </row>
    <row r="279" spans="10:14">
      <c r="J279" s="84"/>
      <c r="N279" s="278"/>
    </row>
    <row r="280" spans="10:14">
      <c r="J280" s="84"/>
      <c r="N280" s="278"/>
    </row>
    <row r="281" spans="10:14">
      <c r="J281" s="84"/>
      <c r="N281" s="278"/>
    </row>
    <row r="282" spans="10:14">
      <c r="J282" s="84"/>
      <c r="N282" s="278"/>
    </row>
    <row r="283" spans="10:14">
      <c r="J283" s="84"/>
      <c r="N283" s="278"/>
    </row>
    <row r="284" spans="10:14">
      <c r="J284" s="84"/>
      <c r="N284" s="278"/>
    </row>
    <row r="285" spans="10:14">
      <c r="J285" s="84"/>
      <c r="N285" s="278"/>
    </row>
    <row r="286" spans="10:14">
      <c r="J286" s="84"/>
      <c r="N286" s="278"/>
    </row>
    <row r="287" spans="10:14">
      <c r="J287" s="84"/>
      <c r="N287" s="278"/>
    </row>
    <row r="288" spans="10:14">
      <c r="J288" s="84"/>
      <c r="N288" s="278"/>
    </row>
    <row r="289" spans="10:14">
      <c r="J289" s="84"/>
      <c r="N289" s="278"/>
    </row>
    <row r="290" spans="10:14">
      <c r="J290" s="84"/>
      <c r="N290" s="278"/>
    </row>
    <row r="291" spans="10:14">
      <c r="J291" s="84"/>
      <c r="N291" s="278"/>
    </row>
    <row r="292" spans="10:14">
      <c r="J292" s="84"/>
      <c r="N292" s="278"/>
    </row>
    <row r="293" spans="10:14">
      <c r="J293" s="84"/>
      <c r="N293" s="278"/>
    </row>
    <row r="294" spans="10:14">
      <c r="J294" s="84"/>
      <c r="N294" s="278"/>
    </row>
    <row r="295" spans="10:14">
      <c r="J295" s="84"/>
      <c r="N295" s="278"/>
    </row>
    <row r="296" spans="10:14">
      <c r="J296" s="84"/>
      <c r="N296" s="278"/>
    </row>
    <row r="297" spans="10:14">
      <c r="J297" s="84"/>
      <c r="N297" s="278"/>
    </row>
    <row r="298" spans="10:14">
      <c r="J298" s="84"/>
      <c r="N298" s="278"/>
    </row>
    <row r="299" spans="10:14">
      <c r="J299" s="84"/>
      <c r="N299" s="278"/>
    </row>
    <row r="300" spans="10:14">
      <c r="J300" s="84"/>
      <c r="N300" s="278"/>
    </row>
    <row r="301" spans="10:14">
      <c r="J301" s="84"/>
      <c r="N301" s="278"/>
    </row>
    <row r="302" spans="10:14">
      <c r="J302" s="84"/>
      <c r="N302" s="278"/>
    </row>
    <row r="303" spans="10:14">
      <c r="J303" s="84"/>
      <c r="N303" s="278"/>
    </row>
    <row r="304" spans="10:14">
      <c r="J304" s="84"/>
      <c r="N304" s="278"/>
    </row>
    <row r="305" spans="10:14">
      <c r="J305" s="84"/>
      <c r="N305" s="278"/>
    </row>
    <row r="306" spans="10:14">
      <c r="J306" s="84"/>
      <c r="N306" s="278"/>
    </row>
    <row r="307" spans="10:14">
      <c r="J307" s="84"/>
      <c r="N307" s="278"/>
    </row>
    <row r="308" spans="10:14">
      <c r="J308" s="84"/>
      <c r="N308" s="278"/>
    </row>
    <row r="309" spans="10:14">
      <c r="J309" s="84"/>
      <c r="N309" s="278"/>
    </row>
    <row r="310" spans="10:14">
      <c r="J310" s="84"/>
      <c r="N310" s="278"/>
    </row>
    <row r="311" spans="10:14">
      <c r="J311" s="84"/>
      <c r="N311" s="278"/>
    </row>
    <row r="312" spans="10:14">
      <c r="J312" s="84"/>
      <c r="N312" s="278"/>
    </row>
    <row r="313" spans="10:14">
      <c r="J313" s="84"/>
      <c r="N313" s="278"/>
    </row>
    <row r="314" spans="10:14">
      <c r="J314" s="84"/>
      <c r="N314" s="278"/>
    </row>
    <row r="315" spans="10:14">
      <c r="J315" s="84"/>
      <c r="N315" s="278"/>
    </row>
    <row r="316" spans="10:14">
      <c r="J316" s="84"/>
      <c r="N316" s="278"/>
    </row>
    <row r="317" spans="10:14">
      <c r="J317" s="84"/>
      <c r="N317" s="278"/>
    </row>
    <row r="318" spans="10:14">
      <c r="J318" s="84"/>
      <c r="N318" s="278"/>
    </row>
    <row r="319" spans="10:14">
      <c r="J319" s="84"/>
      <c r="N319" s="278"/>
    </row>
    <row r="320" spans="10:14">
      <c r="J320" s="84"/>
      <c r="N320" s="278"/>
    </row>
    <row r="321" spans="10:14">
      <c r="J321" s="84"/>
      <c r="N321" s="278"/>
    </row>
    <row r="322" spans="10:14">
      <c r="J322" s="84"/>
      <c r="N322" s="278"/>
    </row>
    <row r="323" spans="10:14">
      <c r="J323" s="84"/>
      <c r="N323" s="278"/>
    </row>
    <row r="324" spans="10:14">
      <c r="J324" s="84"/>
      <c r="N324" s="278"/>
    </row>
    <row r="325" spans="10:14">
      <c r="J325" s="84"/>
      <c r="N325" s="278"/>
    </row>
    <row r="326" spans="10:14">
      <c r="J326" s="84"/>
      <c r="N326" s="278"/>
    </row>
    <row r="327" spans="10:14">
      <c r="J327" s="84"/>
      <c r="N327" s="278"/>
    </row>
    <row r="328" spans="10:14">
      <c r="J328" s="84"/>
      <c r="N328" s="278"/>
    </row>
    <row r="329" spans="10:14">
      <c r="J329" s="84"/>
      <c r="N329" s="278"/>
    </row>
    <row r="330" spans="10:14">
      <c r="J330" s="84"/>
      <c r="N330" s="278"/>
    </row>
    <row r="331" spans="10:14">
      <c r="J331" s="84"/>
      <c r="N331" s="278"/>
    </row>
    <row r="332" spans="10:14">
      <c r="J332" s="84"/>
      <c r="N332" s="278"/>
    </row>
    <row r="333" spans="10:14">
      <c r="J333" s="84"/>
      <c r="N333" s="278"/>
    </row>
    <row r="334" spans="10:14">
      <c r="J334" s="84"/>
      <c r="N334" s="278"/>
    </row>
    <row r="335" spans="10:14">
      <c r="J335" s="84"/>
      <c r="N335" s="278"/>
    </row>
    <row r="336" spans="10:14">
      <c r="J336" s="84"/>
      <c r="N336" s="278"/>
    </row>
    <row r="337" spans="10:14">
      <c r="J337" s="84"/>
      <c r="N337" s="278"/>
    </row>
    <row r="338" spans="10:14">
      <c r="J338" s="84"/>
      <c r="N338" s="278"/>
    </row>
    <row r="339" spans="10:14">
      <c r="J339" s="84"/>
      <c r="N339" s="278"/>
    </row>
    <row r="340" spans="10:14">
      <c r="J340" s="84"/>
      <c r="N340" s="278"/>
    </row>
    <row r="341" spans="10:14">
      <c r="J341" s="84"/>
      <c r="N341" s="278"/>
    </row>
    <row r="342" spans="10:14">
      <c r="J342" s="84"/>
      <c r="N342" s="278"/>
    </row>
    <row r="343" spans="10:14">
      <c r="J343" s="84"/>
      <c r="N343" s="278"/>
    </row>
    <row r="344" spans="10:14">
      <c r="J344" s="84"/>
      <c r="N344" s="278"/>
    </row>
    <row r="345" spans="10:14">
      <c r="J345" s="84"/>
      <c r="N345" s="278"/>
    </row>
    <row r="346" spans="10:14">
      <c r="J346" s="84"/>
      <c r="N346" s="278"/>
    </row>
    <row r="347" spans="10:14">
      <c r="J347" s="84"/>
      <c r="N347" s="278"/>
    </row>
    <row r="348" spans="10:14">
      <c r="J348" s="84"/>
      <c r="N348" s="278"/>
    </row>
    <row r="349" spans="10:14">
      <c r="J349" s="84"/>
      <c r="N349" s="278"/>
    </row>
    <row r="350" spans="10:14">
      <c r="J350" s="84"/>
      <c r="N350" s="278"/>
    </row>
    <row r="351" spans="10:14">
      <c r="J351" s="84"/>
      <c r="N351" s="278"/>
    </row>
    <row r="352" spans="10:14">
      <c r="J352" s="84"/>
      <c r="N352" s="278"/>
    </row>
    <row r="353" spans="10:14">
      <c r="J353" s="84"/>
      <c r="N353" s="278"/>
    </row>
    <row r="354" spans="10:14">
      <c r="J354" s="84"/>
      <c r="N354" s="278"/>
    </row>
    <row r="355" spans="10:14">
      <c r="J355" s="84"/>
      <c r="N355" s="278"/>
    </row>
    <row r="356" spans="10:14">
      <c r="J356" s="84"/>
      <c r="N356" s="278"/>
    </row>
    <row r="357" spans="10:14">
      <c r="J357" s="84"/>
      <c r="N357" s="278"/>
    </row>
    <row r="358" spans="10:14">
      <c r="J358" s="84"/>
      <c r="N358" s="278"/>
    </row>
    <row r="359" spans="10:14">
      <c r="J359" s="84"/>
      <c r="N359" s="278"/>
    </row>
    <row r="360" spans="10:14">
      <c r="J360" s="84"/>
      <c r="N360" s="278"/>
    </row>
    <row r="361" spans="10:14">
      <c r="J361" s="84"/>
      <c r="N361" s="278"/>
    </row>
    <row r="362" spans="10:14">
      <c r="J362" s="84"/>
      <c r="N362" s="278"/>
    </row>
    <row r="363" spans="10:14">
      <c r="J363" s="84"/>
      <c r="N363" s="278"/>
    </row>
    <row r="364" spans="10:14">
      <c r="J364" s="84"/>
      <c r="N364" s="278"/>
    </row>
    <row r="365" spans="10:14">
      <c r="J365" s="84"/>
      <c r="N365" s="278"/>
    </row>
    <row r="366" spans="10:14">
      <c r="J366" s="84"/>
      <c r="N366" s="278"/>
    </row>
    <row r="367" spans="10:14">
      <c r="J367" s="84"/>
      <c r="N367" s="278"/>
    </row>
    <row r="368" spans="10:14">
      <c r="J368" s="84"/>
      <c r="N368" s="278"/>
    </row>
    <row r="369" spans="10:14">
      <c r="J369" s="84"/>
      <c r="N369" s="278"/>
    </row>
    <row r="370" spans="10:14">
      <c r="J370" s="84"/>
      <c r="N370" s="278"/>
    </row>
    <row r="371" spans="10:14">
      <c r="J371" s="84"/>
      <c r="N371" s="278"/>
    </row>
    <row r="372" spans="10:14">
      <c r="J372" s="84"/>
      <c r="N372" s="278"/>
    </row>
    <row r="373" spans="10:14">
      <c r="J373" s="84"/>
      <c r="N373" s="278"/>
    </row>
    <row r="374" spans="10:14">
      <c r="J374" s="84"/>
      <c r="N374" s="278"/>
    </row>
    <row r="375" spans="10:14">
      <c r="J375" s="84"/>
      <c r="N375" s="278"/>
    </row>
    <row r="376" spans="10:14">
      <c r="J376" s="84"/>
      <c r="N376" s="278"/>
    </row>
    <row r="377" spans="10:14">
      <c r="J377" s="84"/>
      <c r="N377" s="278"/>
    </row>
    <row r="378" spans="10:14">
      <c r="J378" s="84"/>
      <c r="N378" s="278"/>
    </row>
    <row r="379" spans="10:14">
      <c r="J379" s="84"/>
      <c r="N379" s="278"/>
    </row>
    <row r="380" spans="10:14">
      <c r="J380" s="84"/>
      <c r="N380" s="278"/>
    </row>
    <row r="381" spans="10:14">
      <c r="J381" s="84"/>
      <c r="N381" s="278"/>
    </row>
    <row r="382" spans="10:14">
      <c r="J382" s="84"/>
      <c r="N382" s="278"/>
    </row>
    <row r="383" spans="10:14">
      <c r="J383" s="84"/>
      <c r="N383" s="278"/>
    </row>
    <row r="384" spans="10:14">
      <c r="J384" s="84"/>
      <c r="N384" s="278"/>
    </row>
    <row r="385" spans="10:14">
      <c r="J385" s="84"/>
      <c r="N385" s="278"/>
    </row>
    <row r="386" spans="10:14">
      <c r="J386" s="84"/>
      <c r="N386" s="278"/>
    </row>
    <row r="387" spans="10:14">
      <c r="J387" s="84"/>
      <c r="N387" s="278"/>
    </row>
    <row r="388" spans="10:14">
      <c r="J388" s="84"/>
      <c r="N388" s="278"/>
    </row>
    <row r="389" spans="10:14">
      <c r="J389" s="84"/>
      <c r="N389" s="278"/>
    </row>
    <row r="390" spans="10:14">
      <c r="J390" s="84"/>
      <c r="N390" s="278"/>
    </row>
    <row r="391" spans="10:14">
      <c r="J391" s="84"/>
      <c r="N391" s="278"/>
    </row>
    <row r="392" spans="10:14">
      <c r="J392" s="84"/>
      <c r="N392" s="278"/>
    </row>
    <row r="393" spans="10:14">
      <c r="J393" s="84"/>
      <c r="N393" s="278"/>
    </row>
    <row r="394" spans="10:14">
      <c r="J394" s="84"/>
      <c r="N394" s="278"/>
    </row>
    <row r="395" spans="10:14">
      <c r="J395" s="84"/>
      <c r="N395" s="278"/>
    </row>
    <row r="396" spans="10:14">
      <c r="J396" s="84"/>
      <c r="N396" s="278"/>
    </row>
    <row r="397" spans="10:14">
      <c r="J397" s="84"/>
      <c r="N397" s="278"/>
    </row>
    <row r="398" spans="10:14">
      <c r="J398" s="84"/>
      <c r="N398" s="278"/>
    </row>
    <row r="399" spans="10:14">
      <c r="J399" s="84"/>
      <c r="N399" s="278"/>
    </row>
    <row r="400" spans="10:14">
      <c r="J400" s="84"/>
      <c r="N400" s="278"/>
    </row>
    <row r="401" spans="10:14">
      <c r="J401" s="84"/>
      <c r="N401" s="278"/>
    </row>
    <row r="402" spans="10:14">
      <c r="J402" s="84"/>
      <c r="N402" s="278"/>
    </row>
    <row r="403" spans="10:14">
      <c r="J403" s="84"/>
      <c r="N403" s="278"/>
    </row>
    <row r="404" spans="10:14">
      <c r="J404" s="84"/>
      <c r="N404" s="278"/>
    </row>
    <row r="405" spans="10:14">
      <c r="J405" s="84"/>
      <c r="N405" s="278"/>
    </row>
    <row r="406" spans="10:14">
      <c r="J406" s="84"/>
      <c r="N406" s="278"/>
    </row>
    <row r="407" spans="10:14">
      <c r="J407" s="84"/>
      <c r="N407" s="278"/>
    </row>
    <row r="408" spans="10:14">
      <c r="J408" s="84"/>
      <c r="N408" s="278"/>
    </row>
    <row r="409" spans="10:14">
      <c r="J409" s="84"/>
      <c r="N409" s="278"/>
    </row>
    <row r="410" spans="10:14">
      <c r="J410" s="84"/>
      <c r="N410" s="278"/>
    </row>
    <row r="411" spans="10:14">
      <c r="J411" s="84"/>
      <c r="N411" s="278"/>
    </row>
    <row r="412" spans="10:14">
      <c r="J412" s="84"/>
      <c r="N412" s="278"/>
    </row>
    <row r="413" spans="10:14">
      <c r="J413" s="84"/>
      <c r="N413" s="278"/>
    </row>
    <row r="414" spans="10:14">
      <c r="J414" s="84"/>
      <c r="N414" s="278"/>
    </row>
    <row r="415" spans="10:14">
      <c r="J415" s="84"/>
      <c r="N415" s="278"/>
    </row>
    <row r="416" spans="10:14">
      <c r="J416" s="84"/>
      <c r="N416" s="278"/>
    </row>
    <row r="417" spans="10:14">
      <c r="J417" s="84"/>
      <c r="N417" s="278"/>
    </row>
    <row r="418" spans="10:14">
      <c r="J418" s="84"/>
      <c r="N418" s="278"/>
    </row>
    <row r="419" spans="10:14">
      <c r="J419" s="84"/>
      <c r="N419" s="278"/>
    </row>
    <row r="420" spans="10:14">
      <c r="J420" s="84"/>
      <c r="N420" s="278"/>
    </row>
    <row r="421" spans="10:14">
      <c r="J421" s="84"/>
      <c r="N421" s="278"/>
    </row>
    <row r="422" spans="10:14">
      <c r="J422" s="84"/>
      <c r="N422" s="278"/>
    </row>
    <row r="423" spans="10:14">
      <c r="J423" s="84"/>
      <c r="N423" s="278"/>
    </row>
    <row r="424" spans="10:14">
      <c r="J424" s="84"/>
      <c r="N424" s="278"/>
    </row>
    <row r="425" spans="10:14">
      <c r="J425" s="84"/>
      <c r="N425" s="278"/>
    </row>
    <row r="426" spans="10:14">
      <c r="J426" s="84"/>
      <c r="N426" s="278"/>
    </row>
    <row r="427" spans="10:14">
      <c r="J427" s="84"/>
      <c r="N427" s="278"/>
    </row>
    <row r="428" spans="10:14">
      <c r="J428" s="84"/>
      <c r="N428" s="278"/>
    </row>
    <row r="429" spans="10:14">
      <c r="J429" s="84"/>
      <c r="N429" s="278"/>
    </row>
    <row r="430" spans="10:14">
      <c r="J430" s="84"/>
      <c r="N430" s="278"/>
    </row>
    <row r="431" spans="10:14">
      <c r="J431" s="84"/>
      <c r="N431" s="278"/>
    </row>
    <row r="432" spans="10:14">
      <c r="J432" s="84"/>
      <c r="N432" s="278"/>
    </row>
    <row r="433" spans="10:14">
      <c r="J433" s="84"/>
      <c r="N433" s="278"/>
    </row>
    <row r="434" spans="10:14">
      <c r="J434" s="84"/>
      <c r="N434" s="278"/>
    </row>
    <row r="435" spans="10:14">
      <c r="J435" s="84"/>
      <c r="N435" s="278"/>
    </row>
    <row r="436" spans="10:14">
      <c r="J436" s="84"/>
      <c r="N436" s="278"/>
    </row>
    <row r="437" spans="10:14">
      <c r="J437" s="84"/>
      <c r="N437" s="278"/>
    </row>
    <row r="438" spans="10:14">
      <c r="J438" s="84"/>
      <c r="N438" s="278"/>
    </row>
    <row r="439" spans="10:14">
      <c r="J439" s="84"/>
      <c r="N439" s="278"/>
    </row>
    <row r="440" spans="10:14">
      <c r="J440" s="84"/>
      <c r="N440" s="278"/>
    </row>
    <row r="441" spans="10:14">
      <c r="J441" s="84"/>
      <c r="N441" s="278"/>
    </row>
    <row r="442" spans="10:14">
      <c r="J442" s="84"/>
      <c r="N442" s="278"/>
    </row>
    <row r="443" spans="10:14">
      <c r="J443" s="84"/>
      <c r="N443" s="278"/>
    </row>
    <row r="444" spans="10:14">
      <c r="J444" s="84"/>
      <c r="N444" s="278"/>
    </row>
    <row r="445" spans="10:14">
      <c r="J445" s="84"/>
      <c r="N445" s="278"/>
    </row>
    <row r="446" spans="10:14">
      <c r="J446" s="84"/>
      <c r="N446" s="278"/>
    </row>
    <row r="447" spans="10:14">
      <c r="J447" s="84"/>
      <c r="N447" s="278"/>
    </row>
    <row r="448" spans="10:14">
      <c r="J448" s="84"/>
      <c r="N448" s="278"/>
    </row>
    <row r="449" spans="10:14">
      <c r="J449" s="84"/>
      <c r="N449" s="278"/>
    </row>
    <row r="450" spans="10:14">
      <c r="J450" s="84"/>
      <c r="N450" s="278"/>
    </row>
    <row r="451" spans="10:14">
      <c r="J451" s="84"/>
      <c r="N451" s="278"/>
    </row>
    <row r="452" spans="10:14">
      <c r="J452" s="84"/>
      <c r="N452" s="278"/>
    </row>
    <row r="453" spans="10:14">
      <c r="J453" s="84"/>
      <c r="N453" s="278"/>
    </row>
    <row r="454" spans="10:14">
      <c r="J454" s="84"/>
      <c r="N454" s="278"/>
    </row>
    <row r="455" spans="10:14">
      <c r="J455" s="84"/>
      <c r="N455" s="278"/>
    </row>
    <row r="456" spans="10:14">
      <c r="J456" s="84"/>
      <c r="N456" s="278"/>
    </row>
    <row r="457" spans="10:14">
      <c r="J457" s="84"/>
      <c r="N457" s="278"/>
    </row>
    <row r="458" spans="10:14">
      <c r="J458" s="84"/>
      <c r="N458" s="278"/>
    </row>
    <row r="459" spans="10:14">
      <c r="J459" s="84"/>
      <c r="N459" s="278"/>
    </row>
    <row r="460" spans="10:14">
      <c r="J460" s="84"/>
      <c r="N460" s="278"/>
    </row>
    <row r="461" spans="10:14">
      <c r="J461" s="84"/>
      <c r="N461" s="278"/>
    </row>
    <row r="462" spans="10:14">
      <c r="J462" s="84"/>
      <c r="N462" s="278"/>
    </row>
    <row r="463" spans="10:14">
      <c r="J463" s="84"/>
      <c r="N463" s="278"/>
    </row>
    <row r="464" spans="10:14">
      <c r="J464" s="84"/>
      <c r="N464" s="278"/>
    </row>
    <row r="465" spans="10:14">
      <c r="J465" s="84"/>
      <c r="N465" s="278"/>
    </row>
    <row r="466" spans="10:14">
      <c r="J466" s="84"/>
      <c r="N466" s="278"/>
    </row>
    <row r="467" spans="10:14">
      <c r="J467" s="84"/>
      <c r="N467" s="278"/>
    </row>
    <row r="468" spans="10:14">
      <c r="J468" s="84"/>
      <c r="N468" s="278"/>
    </row>
    <row r="469" spans="10:14">
      <c r="J469" s="84"/>
      <c r="N469" s="278"/>
    </row>
    <row r="470" spans="10:14">
      <c r="J470" s="84"/>
      <c r="N470" s="278"/>
    </row>
    <row r="471" spans="10:14">
      <c r="J471" s="84"/>
      <c r="N471" s="278"/>
    </row>
    <row r="472" spans="10:14">
      <c r="J472" s="84"/>
      <c r="N472" s="278"/>
    </row>
    <row r="473" spans="10:14">
      <c r="J473" s="84"/>
      <c r="N473" s="278"/>
    </row>
    <row r="474" spans="10:14">
      <c r="J474" s="84"/>
      <c r="N474" s="278"/>
    </row>
    <row r="475" spans="10:14">
      <c r="J475" s="84"/>
      <c r="N475" s="278"/>
    </row>
    <row r="476" spans="10:14">
      <c r="J476" s="84"/>
      <c r="N476" s="278"/>
    </row>
    <row r="477" spans="10:14">
      <c r="J477" s="84"/>
      <c r="N477" s="278"/>
    </row>
    <row r="478" spans="10:14">
      <c r="J478" s="84"/>
      <c r="N478" s="278"/>
    </row>
    <row r="479" spans="10:14">
      <c r="J479" s="84"/>
      <c r="N479" s="278"/>
    </row>
    <row r="480" spans="10:14">
      <c r="J480" s="84"/>
      <c r="N480" s="278"/>
    </row>
    <row r="481" spans="10:14">
      <c r="J481" s="84"/>
      <c r="N481" s="278"/>
    </row>
    <row r="482" spans="10:14">
      <c r="J482" s="84"/>
      <c r="N482" s="278"/>
    </row>
    <row r="483" spans="10:14">
      <c r="J483" s="84"/>
      <c r="N483" s="278"/>
    </row>
    <row r="484" spans="10:14">
      <c r="J484" s="84"/>
      <c r="N484" s="278"/>
    </row>
    <row r="485" spans="10:14">
      <c r="J485" s="84"/>
      <c r="N485" s="278"/>
    </row>
    <row r="486" spans="10:14">
      <c r="J486" s="84"/>
      <c r="N486" s="278"/>
    </row>
    <row r="487" spans="10:14">
      <c r="J487" s="84"/>
      <c r="N487" s="278"/>
    </row>
    <row r="488" spans="10:14">
      <c r="J488" s="84"/>
      <c r="N488" s="278"/>
    </row>
    <row r="489" spans="10:14">
      <c r="J489" s="84"/>
      <c r="N489" s="278"/>
    </row>
    <row r="490" spans="10:14">
      <c r="J490" s="84"/>
      <c r="N490" s="278"/>
    </row>
    <row r="491" spans="10:14">
      <c r="J491" s="84"/>
      <c r="N491" s="278"/>
    </row>
    <row r="492" spans="10:14">
      <c r="J492" s="84"/>
      <c r="N492" s="278"/>
    </row>
    <row r="493" spans="10:14">
      <c r="J493" s="84"/>
      <c r="N493" s="278"/>
    </row>
    <row r="494" spans="10:14">
      <c r="J494" s="84"/>
      <c r="N494" s="278"/>
    </row>
    <row r="495" spans="10:14">
      <c r="J495" s="84"/>
      <c r="N495" s="278"/>
    </row>
    <row r="496" spans="10:14">
      <c r="J496" s="84"/>
      <c r="N496" s="278"/>
    </row>
    <row r="497" spans="10:14">
      <c r="J497" s="84"/>
      <c r="N497" s="278"/>
    </row>
    <row r="498" spans="10:14">
      <c r="J498" s="84"/>
      <c r="N498" s="278"/>
    </row>
    <row r="499" spans="10:14">
      <c r="J499" s="84"/>
      <c r="N499" s="278"/>
    </row>
  </sheetData>
  <phoneticPr fontId="35" type="noConversion"/>
  <conditionalFormatting sqref="E2">
    <cfRule type="cellIs" dxfId="62" priority="57" stopIfTrue="1" operator="greaterThanOrEqual">
      <formula>366</formula>
    </cfRule>
  </conditionalFormatting>
  <conditionalFormatting sqref="E2">
    <cfRule type="cellIs" dxfId="61" priority="58" stopIfTrue="1" operator="lessThanOrEqual">
      <formula>365</formula>
    </cfRule>
  </conditionalFormatting>
  <conditionalFormatting sqref="F2">
    <cfRule type="cellIs" dxfId="60" priority="59" operator="between">
      <formula>-40</formula>
      <formula>28</formula>
    </cfRule>
  </conditionalFormatting>
  <conditionalFormatting sqref="D2 U2:V2">
    <cfRule type="containsText" dxfId="59" priority="60" operator="containsText" text="uzupełnić">
      <formula>NOT(ISERROR(SEARCH(("uzupełnić"),(D2))))</formula>
    </cfRule>
  </conditionalFormatting>
  <conditionalFormatting sqref="R2">
    <cfRule type="notContainsBlanks" dxfId="58" priority="62">
      <formula>LEN(TRIM(R2))&gt;0</formula>
    </cfRule>
  </conditionalFormatting>
  <hyperlinks>
    <hyperlink ref="O2" r:id="rId1" xr:uid="{25F0559B-390C-4A59-9AE6-8A131CA01318}"/>
  </hyperlinks>
  <pageMargins left="0.7" right="0.7" top="0.75" bottom="0.75" header="0" footer="0"/>
  <pageSetup paperSize="9" orientation="portrait"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16"/>
  <dimension ref="A1:I1000"/>
  <sheetViews>
    <sheetView topLeftCell="A13" workbookViewId="0">
      <selection activeCell="A23" sqref="A3:B23"/>
    </sheetView>
  </sheetViews>
  <sheetFormatPr defaultColWidth="14.44140625" defaultRowHeight="15" customHeight="1"/>
  <cols>
    <col min="1" max="1" width="23.88671875" customWidth="1"/>
    <col min="2" max="2" width="72.5546875" customWidth="1"/>
    <col min="3" max="26" width="8.6640625" customWidth="1"/>
  </cols>
  <sheetData>
    <row r="1" spans="1:9" ht="14.4">
      <c r="A1" s="265" t="s">
        <v>1728</v>
      </c>
      <c r="B1" s="365" t="s">
        <v>1097</v>
      </c>
      <c r="C1" s="279"/>
      <c r="D1" s="280"/>
      <c r="E1" s="87"/>
    </row>
    <row r="2" spans="1:9" ht="14.4">
      <c r="A2" s="265" t="s">
        <v>1729</v>
      </c>
      <c r="B2" s="281" t="s">
        <v>1730</v>
      </c>
    </row>
    <row r="3" spans="1:9" ht="15.6">
      <c r="A3" s="282" t="s">
        <v>1731</v>
      </c>
      <c r="B3" s="282"/>
      <c r="C3" s="283"/>
      <c r="D3" s="283"/>
      <c r="E3" s="283"/>
      <c r="F3" s="283"/>
      <c r="G3" s="283"/>
      <c r="H3" s="283"/>
      <c r="I3" s="283"/>
    </row>
    <row r="4" spans="1:9" ht="15.6">
      <c r="A4" s="282" t="s">
        <v>1732</v>
      </c>
      <c r="B4" s="282"/>
      <c r="C4" s="283"/>
      <c r="D4" s="283"/>
      <c r="E4" s="283"/>
      <c r="F4" s="283"/>
      <c r="G4" s="283"/>
      <c r="H4" s="283"/>
      <c r="I4" s="283"/>
    </row>
    <row r="5" spans="1:9" ht="15.6">
      <c r="A5" s="282"/>
      <c r="B5" s="282"/>
      <c r="C5" s="283"/>
      <c r="D5" s="283"/>
      <c r="E5" s="283"/>
      <c r="F5" s="283"/>
      <c r="G5" s="283"/>
      <c r="H5" s="283"/>
      <c r="I5" s="283"/>
    </row>
    <row r="6" spans="1:9" ht="15.6">
      <c r="A6" s="282" t="s">
        <v>1778</v>
      </c>
      <c r="B6" s="282"/>
      <c r="C6" s="283"/>
      <c r="D6" s="283"/>
      <c r="E6" s="283"/>
      <c r="F6" s="283"/>
      <c r="G6" s="283"/>
      <c r="H6" s="283"/>
      <c r="I6" s="283"/>
    </row>
    <row r="7" spans="1:9" ht="15.6">
      <c r="A7" s="282"/>
      <c r="B7" s="282"/>
      <c r="C7" s="283"/>
      <c r="D7" s="283"/>
      <c r="E7" s="283"/>
      <c r="F7" s="283"/>
      <c r="G7" s="283"/>
      <c r="H7" s="283"/>
      <c r="I7" s="283"/>
    </row>
    <row r="8" spans="1:9" ht="15.6">
      <c r="A8" s="282" t="s">
        <v>1733</v>
      </c>
      <c r="B8" s="282"/>
      <c r="C8" s="283"/>
      <c r="D8" s="283"/>
      <c r="E8" s="283"/>
      <c r="F8" s="283"/>
      <c r="G8" s="283"/>
      <c r="H8" s="283"/>
      <c r="I8" s="283"/>
    </row>
    <row r="9" spans="1:9" ht="15.6">
      <c r="A9" s="282"/>
      <c r="B9" s="282"/>
      <c r="C9" s="283"/>
      <c r="D9" s="283"/>
      <c r="E9" s="283"/>
      <c r="F9" s="283"/>
      <c r="G9" s="283"/>
      <c r="H9" s="283"/>
      <c r="I9" s="283"/>
    </row>
    <row r="10" spans="1:9" ht="15.6">
      <c r="A10" s="282"/>
      <c r="B10" s="282"/>
      <c r="C10" s="283"/>
      <c r="D10" s="283"/>
      <c r="E10" s="283"/>
      <c r="F10" s="283"/>
      <c r="G10" s="283"/>
      <c r="H10" s="283"/>
      <c r="I10" s="283"/>
    </row>
    <row r="11" spans="1:9" ht="15.6">
      <c r="A11" s="282" t="s">
        <v>1734</v>
      </c>
      <c r="B11" s="284">
        <v>50</v>
      </c>
      <c r="C11" s="283"/>
      <c r="D11" s="283"/>
      <c r="E11" s="283"/>
      <c r="F11" s="283"/>
      <c r="G11" s="283"/>
      <c r="H11" s="283"/>
      <c r="I11" s="283"/>
    </row>
    <row r="12" spans="1:9" ht="15.6">
      <c r="A12" s="282" t="s">
        <v>1735</v>
      </c>
      <c r="B12" s="285" t="s">
        <v>1736</v>
      </c>
      <c r="C12" s="283"/>
      <c r="D12" s="283"/>
      <c r="E12" s="283"/>
      <c r="F12" s="283"/>
      <c r="G12" s="283"/>
      <c r="H12" s="283"/>
      <c r="I12" s="283"/>
    </row>
    <row r="13" spans="1:9" ht="15.6">
      <c r="A13" s="282" t="s">
        <v>1737</v>
      </c>
      <c r="B13" s="286" t="s">
        <v>1763</v>
      </c>
      <c r="C13" s="283"/>
      <c r="D13" s="283"/>
      <c r="E13" s="283"/>
      <c r="F13" s="283"/>
      <c r="G13" s="283"/>
      <c r="H13" s="283"/>
      <c r="I13" s="283"/>
    </row>
    <row r="14" spans="1:9" ht="15.6">
      <c r="A14" s="282" t="s">
        <v>1738</v>
      </c>
      <c r="B14" s="285" t="s">
        <v>1777</v>
      </c>
      <c r="C14" s="283"/>
      <c r="D14" s="283"/>
      <c r="E14" s="283"/>
      <c r="F14" s="283"/>
      <c r="G14" s="283"/>
      <c r="H14" s="283"/>
      <c r="I14" s="283"/>
    </row>
    <row r="15" spans="1:9" ht="15.6">
      <c r="A15" s="282"/>
      <c r="B15" s="282"/>
      <c r="C15" s="283"/>
      <c r="D15" s="283"/>
      <c r="E15" s="283"/>
      <c r="F15" s="283"/>
      <c r="G15" s="283"/>
      <c r="H15" s="283"/>
      <c r="I15" s="283"/>
    </row>
    <row r="16" spans="1:9" ht="15.6">
      <c r="A16" s="282" t="s">
        <v>1739</v>
      </c>
      <c r="B16" s="282"/>
      <c r="C16" s="283"/>
      <c r="D16" s="283"/>
      <c r="E16" s="283"/>
      <c r="F16" s="283"/>
      <c r="G16" s="283"/>
      <c r="H16" s="283"/>
      <c r="I16" s="283"/>
    </row>
    <row r="17" spans="1:9" ht="15.6">
      <c r="A17" s="287" t="s">
        <v>1740</v>
      </c>
      <c r="B17" s="282"/>
      <c r="C17" s="283"/>
      <c r="D17" s="283"/>
      <c r="E17" s="283"/>
      <c r="F17" s="283"/>
      <c r="G17" s="283"/>
      <c r="H17" s="283"/>
      <c r="I17" s="283"/>
    </row>
    <row r="18" spans="1:9" ht="15.6">
      <c r="A18" s="282"/>
      <c r="B18" s="282"/>
      <c r="C18" s="283"/>
      <c r="D18" s="283"/>
      <c r="E18" s="283"/>
      <c r="F18" s="283"/>
      <c r="G18" s="283"/>
      <c r="H18" s="283"/>
      <c r="I18" s="283"/>
    </row>
    <row r="19" spans="1:9" ht="15.6">
      <c r="A19" s="282" t="s">
        <v>1766</v>
      </c>
      <c r="B19" s="256"/>
      <c r="C19" s="283"/>
      <c r="D19" s="283"/>
      <c r="E19" s="283"/>
      <c r="F19" s="283"/>
      <c r="G19" s="283"/>
      <c r="H19" s="283"/>
      <c r="I19" s="283"/>
    </row>
    <row r="20" spans="1:9" ht="15.6">
      <c r="A20" s="256"/>
      <c r="B20" s="256"/>
      <c r="C20" s="283"/>
      <c r="D20" s="283"/>
      <c r="E20" s="283"/>
      <c r="F20" s="283"/>
      <c r="G20" s="283"/>
      <c r="H20" s="283"/>
      <c r="I20" s="283"/>
    </row>
    <row r="21" spans="1:9" ht="15.75" customHeight="1">
      <c r="A21" s="256"/>
      <c r="B21" s="256"/>
      <c r="C21" s="283"/>
      <c r="D21" s="283"/>
      <c r="E21" s="283"/>
      <c r="F21" s="283"/>
      <c r="G21" s="283"/>
      <c r="H21" s="283"/>
      <c r="I21" s="283"/>
    </row>
    <row r="22" spans="1:9" ht="15.75" customHeight="1">
      <c r="A22" s="282" t="s">
        <v>1741</v>
      </c>
      <c r="B22" s="282"/>
      <c r="C22" s="283"/>
      <c r="D22" s="283"/>
      <c r="E22" s="283"/>
      <c r="F22" s="283"/>
      <c r="G22" s="283"/>
      <c r="H22" s="283"/>
      <c r="I22" s="283"/>
    </row>
    <row r="23" spans="1:9" ht="15.75" customHeight="1">
      <c r="A23" s="285" t="s">
        <v>1736</v>
      </c>
      <c r="B23" s="282"/>
    </row>
    <row r="24" spans="1:9" ht="15.75" customHeight="1">
      <c r="A24" s="282"/>
      <c r="B24" s="282"/>
    </row>
    <row r="25" spans="1:9" ht="15.75" customHeight="1">
      <c r="A25" s="282"/>
      <c r="B25" s="282"/>
    </row>
    <row r="26" spans="1:9" ht="15.75" customHeight="1"/>
    <row r="27" spans="1:9" ht="15.75" customHeight="1"/>
    <row r="28" spans="1:9" ht="15.75" customHeight="1"/>
    <row r="29" spans="1:9" ht="15.75" customHeight="1"/>
    <row r="30" spans="1:9" ht="15.75" customHeight="1"/>
    <row r="31" spans="1:9" ht="15.75" customHeight="1"/>
    <row r="32" spans="1: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ef="A17" r:id="rId1" xr:uid="{00000000-0004-0000-0F00-000000000000}"/>
    <hyperlink ref="B1" r:id="rId2" xr:uid="{EA4A2F84-CF47-4064-8B57-F52822F89C72}"/>
  </hyperlinks>
  <pageMargins left="0.7" right="0.7" top="0.75" bottom="0.75" header="0" footer="0"/>
  <pageSetup orientation="landscape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17"/>
  <dimension ref="A2:B1000"/>
  <sheetViews>
    <sheetView topLeftCell="A13" workbookViewId="0">
      <selection activeCell="B21" sqref="B21"/>
    </sheetView>
  </sheetViews>
  <sheetFormatPr defaultColWidth="14.44140625" defaultRowHeight="15" customHeight="1"/>
  <cols>
    <col min="1" max="1" width="40.88671875" customWidth="1"/>
    <col min="2" max="2" width="78.88671875" customWidth="1"/>
    <col min="3" max="26" width="8.6640625" customWidth="1"/>
  </cols>
  <sheetData>
    <row r="2" spans="1:2" ht="14.4">
      <c r="A2" s="265" t="s">
        <v>1729</v>
      </c>
      <c r="B2" s="266" t="s">
        <v>1744</v>
      </c>
    </row>
    <row r="4" spans="1:2" ht="15.6">
      <c r="A4" s="282" t="s">
        <v>1745</v>
      </c>
      <c r="B4" s="282"/>
    </row>
    <row r="5" spans="1:2" ht="15.6">
      <c r="A5" s="282"/>
      <c r="B5" s="282"/>
    </row>
    <row r="6" spans="1:2" ht="15.6">
      <c r="A6" s="282" t="s">
        <v>1746</v>
      </c>
      <c r="B6" s="282"/>
    </row>
    <row r="7" spans="1:2" ht="15.6">
      <c r="A7" s="282"/>
      <c r="B7" s="282"/>
    </row>
    <row r="8" spans="1:2" ht="15.6">
      <c r="A8" s="282" t="s">
        <v>1747</v>
      </c>
      <c r="B8" s="282"/>
    </row>
    <row r="9" spans="1:2" ht="15.6">
      <c r="A9" s="282"/>
      <c r="B9" s="282"/>
    </row>
    <row r="10" spans="1:2" ht="15.6">
      <c r="A10" s="282" t="s">
        <v>1748</v>
      </c>
      <c r="B10" s="282"/>
    </row>
    <row r="11" spans="1:2" ht="15.6">
      <c r="A11" s="256"/>
      <c r="B11" s="282"/>
    </row>
    <row r="12" spans="1:2" ht="15.6">
      <c r="A12" s="282" t="s">
        <v>1749</v>
      </c>
      <c r="B12" s="284"/>
    </row>
    <row r="13" spans="1:2" ht="15.6">
      <c r="A13" s="282" t="s">
        <v>1739</v>
      </c>
      <c r="B13" s="282"/>
    </row>
    <row r="14" spans="1:2" ht="15.6">
      <c r="A14" s="287" t="s">
        <v>1740</v>
      </c>
      <c r="B14" s="282"/>
    </row>
    <row r="15" spans="1:2" ht="15.6">
      <c r="A15" s="282"/>
      <c r="B15" s="285"/>
    </row>
    <row r="16" spans="1:2" ht="15.6">
      <c r="A16" s="282" t="s">
        <v>1764</v>
      </c>
      <c r="B16" s="282"/>
    </row>
    <row r="17" spans="1:2" ht="15.6">
      <c r="A17" s="282" t="s">
        <v>1750</v>
      </c>
      <c r="B17" s="287" t="s">
        <v>1751</v>
      </c>
    </row>
    <row r="18" spans="1:2" ht="15.6">
      <c r="A18" s="282" t="s">
        <v>1752</v>
      </c>
      <c r="B18" s="287" t="s">
        <v>1753</v>
      </c>
    </row>
    <row r="19" spans="1:2" ht="15.6">
      <c r="A19" s="282" t="s">
        <v>1754</v>
      </c>
      <c r="B19" s="287" t="s">
        <v>1755</v>
      </c>
    </row>
    <row r="20" spans="1:2" ht="15.6">
      <c r="A20" s="282" t="s">
        <v>1756</v>
      </c>
      <c r="B20" s="287" t="s">
        <v>1757</v>
      </c>
    </row>
    <row r="21" spans="1:2" ht="15.75" customHeight="1">
      <c r="A21" s="282" t="s">
        <v>1758</v>
      </c>
      <c r="B21" s="366" t="s">
        <v>1768</v>
      </c>
    </row>
    <row r="22" spans="1:2" ht="15.75" customHeight="1">
      <c r="A22" s="256"/>
      <c r="B22" s="256"/>
    </row>
    <row r="23" spans="1:2" ht="15.75" customHeight="1">
      <c r="A23" s="282" t="s">
        <v>1759</v>
      </c>
      <c r="B23" s="282"/>
    </row>
    <row r="24" spans="1:2" ht="15.75" customHeight="1">
      <c r="A24" s="256"/>
      <c r="B24" s="282"/>
    </row>
    <row r="25" spans="1:2" ht="15.75" customHeight="1">
      <c r="A25" s="282" t="s">
        <v>1760</v>
      </c>
      <c r="B25" s="282"/>
    </row>
    <row r="26" spans="1:2" ht="15.75" customHeight="1">
      <c r="A26" s="285" t="s">
        <v>1736</v>
      </c>
      <c r="B26" s="282"/>
    </row>
    <row r="27" spans="1:2" ht="15.75" customHeight="1">
      <c r="A27" s="282" t="s">
        <v>1742</v>
      </c>
      <c r="B27" s="256"/>
    </row>
    <row r="28" spans="1:2" ht="15.75" customHeight="1">
      <c r="A28" s="282" t="s">
        <v>1743</v>
      </c>
      <c r="B28" s="256"/>
    </row>
    <row r="29" spans="1:2" ht="15.75" customHeight="1"/>
    <row r="30" spans="1:2" ht="15.75" customHeight="1"/>
    <row r="31" spans="1:2" ht="15.75" customHeight="1"/>
    <row r="32" spans="1:2" ht="15.75" customHeight="1"/>
    <row r="33" spans="1:1" ht="15.75" customHeight="1"/>
    <row r="34" spans="1:1" ht="15.75" customHeight="1"/>
    <row r="35" spans="1:1" ht="15.75" customHeight="1">
      <c r="A35" t="s">
        <v>1761</v>
      </c>
    </row>
    <row r="36" spans="1:1" ht="15.75" customHeight="1"/>
    <row r="37" spans="1:1" ht="15.75" customHeight="1"/>
    <row r="38" spans="1:1" ht="15.75" customHeight="1"/>
    <row r="39" spans="1:1" ht="15.75" customHeight="1"/>
    <row r="40" spans="1:1" ht="15.75" customHeight="1"/>
    <row r="41" spans="1:1" ht="15.75" customHeight="1"/>
    <row r="42" spans="1:1" ht="15.75" customHeight="1"/>
    <row r="43" spans="1:1" ht="15.75" customHeight="1"/>
    <row r="44" spans="1:1" ht="15.75" customHeight="1"/>
    <row r="45" spans="1:1" ht="15.75" customHeight="1"/>
    <row r="46" spans="1:1" ht="15.75" customHeight="1"/>
    <row r="47" spans="1:1" ht="15.75" customHeight="1"/>
    <row r="48" spans="1:1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ef="A14" r:id="rId1" xr:uid="{00000000-0004-0000-1000-000000000000}"/>
    <hyperlink ref="B17" r:id="rId2" xr:uid="{00000000-0004-0000-1000-000001000000}"/>
    <hyperlink ref="B18" r:id="rId3" xr:uid="{00000000-0004-0000-1000-000002000000}"/>
    <hyperlink ref="B19" r:id="rId4" xr:uid="{00000000-0004-0000-1000-000003000000}"/>
    <hyperlink ref="B20" r:id="rId5" xr:uid="{00000000-0004-0000-1000-000004000000}"/>
    <hyperlink ref="B21" r:id="rId6" xr:uid="{00000000-0004-0000-1000-000005000000}"/>
  </hyperlinks>
  <pageMargins left="0.7" right="0.7" top="0.75" bottom="0.75" header="0" footer="0"/>
  <pageSetup orientation="landscape" r:id="rId7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usz19"/>
  <dimension ref="A1:AD1000"/>
  <sheetViews>
    <sheetView workbookViewId="0"/>
  </sheetViews>
  <sheetFormatPr defaultColWidth="14.44140625" defaultRowHeight="15" customHeight="1"/>
  <cols>
    <col min="1" max="1" width="6.88671875" customWidth="1"/>
    <col min="2" max="2" width="9.5546875" customWidth="1"/>
    <col min="3" max="3" width="16" customWidth="1"/>
    <col min="4" max="4" width="18.109375" customWidth="1"/>
    <col min="5" max="5" width="30.44140625" customWidth="1"/>
    <col min="6" max="6" width="15.44140625" customWidth="1"/>
    <col min="7" max="7" width="11.33203125" customWidth="1"/>
    <col min="8" max="8" width="6.6640625" customWidth="1"/>
    <col min="9" max="9" width="6.5546875" customWidth="1"/>
    <col min="10" max="10" width="28.6640625" customWidth="1"/>
    <col min="11" max="11" width="19.109375" customWidth="1"/>
    <col min="12" max="12" width="14.88671875" customWidth="1"/>
    <col min="13" max="13" width="6" customWidth="1"/>
    <col min="14" max="14" width="6.88671875" customWidth="1"/>
    <col min="15" max="15" width="32.5546875" customWidth="1"/>
    <col min="16" max="16" width="15.33203125" customWidth="1"/>
    <col min="17" max="17" width="16" customWidth="1"/>
    <col min="18" max="30" width="5.109375" customWidth="1"/>
  </cols>
  <sheetData>
    <row r="1" spans="1:30" ht="14.4">
      <c r="A1" s="288" t="s">
        <v>1</v>
      </c>
      <c r="B1" s="288" t="s">
        <v>2</v>
      </c>
      <c r="C1" s="289" t="s">
        <v>573</v>
      </c>
      <c r="D1" s="290" t="s">
        <v>5</v>
      </c>
      <c r="E1" s="291" t="s">
        <v>6</v>
      </c>
      <c r="F1" s="291" t="s">
        <v>574</v>
      </c>
      <c r="G1" s="291" t="s">
        <v>7</v>
      </c>
      <c r="H1" s="292" t="s">
        <v>1707</v>
      </c>
      <c r="I1" s="291" t="s">
        <v>8</v>
      </c>
      <c r="J1" s="291" t="s">
        <v>9</v>
      </c>
      <c r="K1" s="291" t="s">
        <v>10</v>
      </c>
      <c r="L1" s="293" t="s">
        <v>11</v>
      </c>
      <c r="M1" s="294" t="s">
        <v>12</v>
      </c>
      <c r="N1" s="295" t="s">
        <v>740</v>
      </c>
      <c r="O1" s="296" t="s">
        <v>741</v>
      </c>
      <c r="P1" s="297" t="s">
        <v>3</v>
      </c>
      <c r="Q1" s="297" t="s">
        <v>199</v>
      </c>
      <c r="R1" s="297" t="s">
        <v>1708</v>
      </c>
      <c r="S1" s="297" t="s">
        <v>1709</v>
      </c>
      <c r="T1" s="297" t="s">
        <v>1710</v>
      </c>
      <c r="U1" s="297" t="s">
        <v>1711</v>
      </c>
      <c r="V1" s="297" t="s">
        <v>1712</v>
      </c>
      <c r="W1" s="297" t="s">
        <v>1713</v>
      </c>
      <c r="X1" s="297" t="s">
        <v>1714</v>
      </c>
      <c r="Y1" s="297" t="s">
        <v>1715</v>
      </c>
      <c r="Z1" s="297" t="s">
        <v>1716</v>
      </c>
      <c r="AA1" s="297" t="s">
        <v>1717</v>
      </c>
      <c r="AB1" s="297" t="s">
        <v>1718</v>
      </c>
      <c r="AC1" s="297" t="s">
        <v>1719</v>
      </c>
      <c r="AD1" s="298" t="s">
        <v>1720</v>
      </c>
    </row>
    <row r="2" spans="1:30" ht="14.4">
      <c r="A2" s="299" t="s">
        <v>1283</v>
      </c>
      <c r="B2" s="299" t="s">
        <v>1721</v>
      </c>
      <c r="C2" s="300">
        <v>44582</v>
      </c>
      <c r="D2" s="301" t="s">
        <v>170</v>
      </c>
      <c r="E2" s="302" t="s">
        <v>1722</v>
      </c>
      <c r="F2" s="303" t="s">
        <v>1264</v>
      </c>
      <c r="G2" s="304">
        <v>607789816</v>
      </c>
      <c r="H2" s="305"/>
      <c r="I2" s="306"/>
      <c r="J2" s="299" t="s">
        <v>1723</v>
      </c>
      <c r="K2" s="299"/>
      <c r="L2" s="299">
        <v>323</v>
      </c>
      <c r="M2" s="299"/>
      <c r="N2" s="299" t="s">
        <v>1288</v>
      </c>
      <c r="O2" s="299" t="s">
        <v>1724</v>
      </c>
      <c r="P2" s="307">
        <v>44081</v>
      </c>
      <c r="Q2" s="307">
        <v>44081</v>
      </c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09">
        <v>50</v>
      </c>
      <c r="AC2" s="310"/>
      <c r="AD2" s="311">
        <v>50</v>
      </c>
    </row>
    <row r="3" spans="1:30" ht="14.4">
      <c r="A3" s="312" t="s">
        <v>188</v>
      </c>
      <c r="B3" s="312" t="s">
        <v>1391</v>
      </c>
      <c r="C3" s="313">
        <v>44586</v>
      </c>
      <c r="D3" s="314" t="s">
        <v>170</v>
      </c>
      <c r="E3" s="315" t="s">
        <v>1725</v>
      </c>
      <c r="F3" s="316" t="s">
        <v>1726</v>
      </c>
      <c r="G3" s="317">
        <v>507008098</v>
      </c>
      <c r="H3" s="318"/>
      <c r="I3" s="319"/>
      <c r="J3" s="312" t="s">
        <v>1727</v>
      </c>
      <c r="K3" s="312"/>
      <c r="L3" s="312">
        <v>324</v>
      </c>
      <c r="M3" s="312"/>
      <c r="N3" s="312"/>
      <c r="O3" s="312"/>
      <c r="P3" s="313">
        <v>44586</v>
      </c>
      <c r="Q3" s="313">
        <v>44586</v>
      </c>
      <c r="R3" s="310"/>
      <c r="S3" s="310"/>
      <c r="T3" s="310"/>
      <c r="U3" s="310"/>
      <c r="V3" s="310"/>
      <c r="W3" s="310"/>
      <c r="X3" s="310"/>
      <c r="Y3" s="310"/>
      <c r="Z3" s="310"/>
      <c r="AA3" s="310"/>
      <c r="AB3" s="310"/>
      <c r="AC3" s="310"/>
      <c r="AD3" s="311">
        <v>50</v>
      </c>
    </row>
    <row r="4" spans="1:30" ht="14.4">
      <c r="A4" s="320" t="s">
        <v>754</v>
      </c>
      <c r="B4" s="312" t="s">
        <v>755</v>
      </c>
      <c r="C4" s="321">
        <v>44582</v>
      </c>
      <c r="D4" s="314" t="s">
        <v>170</v>
      </c>
      <c r="E4" s="315" t="s">
        <v>756</v>
      </c>
      <c r="F4" s="317" t="s">
        <v>757</v>
      </c>
      <c r="G4" s="322">
        <v>696453314</v>
      </c>
      <c r="H4" s="323"/>
      <c r="I4" s="324"/>
      <c r="J4" s="325" t="s">
        <v>996</v>
      </c>
      <c r="K4" s="312"/>
      <c r="L4" s="326">
        <v>141</v>
      </c>
      <c r="M4" s="327"/>
      <c r="N4" s="328"/>
      <c r="O4" s="327"/>
      <c r="P4" s="329">
        <v>42769</v>
      </c>
      <c r="Q4" s="329">
        <v>42769</v>
      </c>
      <c r="R4" s="308"/>
      <c r="S4" s="308"/>
      <c r="T4" s="308"/>
      <c r="U4" s="308"/>
      <c r="V4" s="308"/>
      <c r="W4" s="308"/>
      <c r="X4" s="308"/>
      <c r="Y4" s="327">
        <v>50</v>
      </c>
      <c r="Z4" s="327"/>
      <c r="AA4" s="330">
        <v>50</v>
      </c>
      <c r="AB4" s="330">
        <v>50</v>
      </c>
      <c r="AC4" s="330">
        <v>50</v>
      </c>
      <c r="AD4" s="311">
        <v>50</v>
      </c>
    </row>
    <row r="5" spans="1:30" ht="14.4">
      <c r="A5" s="331" t="s">
        <v>108</v>
      </c>
      <c r="B5" s="331" t="s">
        <v>544</v>
      </c>
      <c r="C5" s="332">
        <v>44585</v>
      </c>
      <c r="D5" s="333" t="s">
        <v>170</v>
      </c>
      <c r="E5" s="334" t="s">
        <v>1360</v>
      </c>
      <c r="F5" s="335" t="s">
        <v>1361</v>
      </c>
      <c r="G5" s="336"/>
      <c r="H5" s="337"/>
      <c r="I5" s="338"/>
      <c r="J5" s="327" t="s">
        <v>1362</v>
      </c>
      <c r="K5" s="327"/>
      <c r="L5" s="336">
        <v>119</v>
      </c>
      <c r="M5" s="327"/>
      <c r="N5" s="328"/>
      <c r="O5" s="327"/>
      <c r="P5" s="339"/>
      <c r="Q5" s="329">
        <v>42165</v>
      </c>
      <c r="R5" s="308"/>
      <c r="S5" s="308"/>
      <c r="T5" s="308"/>
      <c r="U5" s="308"/>
      <c r="V5" s="308"/>
      <c r="W5" s="335">
        <v>50</v>
      </c>
      <c r="X5" s="335">
        <v>50</v>
      </c>
      <c r="Y5" s="335">
        <v>50</v>
      </c>
      <c r="Z5" s="335">
        <v>50</v>
      </c>
      <c r="AA5" s="340">
        <v>50</v>
      </c>
      <c r="AB5" s="340">
        <v>50</v>
      </c>
      <c r="AC5" s="340">
        <v>50</v>
      </c>
      <c r="AD5" s="341">
        <v>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M5">
    <cfRule type="notContainsBlanks" dxfId="10" priority="1">
      <formula>LEN(TRIM(M5))&gt;0</formula>
    </cfRule>
  </conditionalFormatting>
  <conditionalFormatting sqref="C2:C3">
    <cfRule type="containsText" dxfId="9" priority="2" operator="containsText" text="uzupełnić">
      <formula>NOT(ISERROR(SEARCH(("uzupełnić"),(C2))))</formula>
    </cfRule>
  </conditionalFormatting>
  <conditionalFormatting sqref="M2:M3">
    <cfRule type="notContainsBlanks" dxfId="8" priority="3">
      <formula>LEN(TRIM(M2))&gt;0</formula>
    </cfRule>
  </conditionalFormatting>
  <conditionalFormatting sqref="P2:Q2">
    <cfRule type="containsText" dxfId="7" priority="4" operator="containsText" text="uzupełnić">
      <formula>NOT(ISERROR(SEARCH(("uzupełnić"),(P2))))</formula>
    </cfRule>
  </conditionalFormatting>
  <conditionalFormatting sqref="P3">
    <cfRule type="containsText" dxfId="6" priority="5" operator="containsText" text="uzupełnić">
      <formula>NOT(ISERROR(SEARCH(("uzupełnić"),(P3))))</formula>
    </cfRule>
  </conditionalFormatting>
  <conditionalFormatting sqref="Q3">
    <cfRule type="containsText" dxfId="5" priority="6" operator="containsText" text="uzupełnić">
      <formula>NOT(ISERROR(SEARCH(("uzupełnić"),(Q3))))</formula>
    </cfRule>
  </conditionalFormatting>
  <conditionalFormatting sqref="C4">
    <cfRule type="containsText" dxfId="4" priority="7" operator="containsText" text="uzupełnić">
      <formula>NOT(ISERROR(SEARCH(("uzupełnić"),(C4))))</formula>
    </cfRule>
  </conditionalFormatting>
  <conditionalFormatting sqref="P4:Q4">
    <cfRule type="containsText" dxfId="3" priority="8" operator="containsText" text="uzupełnić">
      <formula>NOT(ISERROR(SEARCH(("uzupełnić"),(P4))))</formula>
    </cfRule>
  </conditionalFormatting>
  <conditionalFormatting sqref="M4">
    <cfRule type="notContainsBlanks" dxfId="2" priority="9">
      <formula>LEN(TRIM(M4))&gt;0</formula>
    </cfRule>
  </conditionalFormatting>
  <conditionalFormatting sqref="C5">
    <cfRule type="containsText" dxfId="1" priority="10" operator="containsText" text="uzupełnić">
      <formula>NOT(ISERROR(SEARCH(("uzupełnić"),(C5))))</formula>
    </cfRule>
  </conditionalFormatting>
  <conditionalFormatting sqref="P5:Q5">
    <cfRule type="containsText" dxfId="0" priority="11" operator="containsText" text="uzupełnić">
      <formula>NOT(ISERROR(SEARCH(("uzupełnić"),(P5))))</formula>
    </cfRule>
  </conditionalFormatting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19</vt:i4>
      </vt:variant>
    </vt:vector>
  </HeadingPairs>
  <TitlesOfParts>
    <vt:vector size="19" baseType="lpstr">
      <vt:lpstr>2010</vt:lpstr>
      <vt:lpstr>2011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Arkusz2</vt:lpstr>
      <vt:lpstr>Podsumowanie</vt:lpstr>
      <vt:lpstr>Dane Członków</vt:lpstr>
      <vt:lpstr>Mail Przypominający</vt:lpstr>
      <vt:lpstr>Mail Powitalny Nowych Członków</vt:lpstr>
      <vt:lpstr>31012022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Natalia Balogh</dc:creator>
  <cp:lastModifiedBy>Bartosz BM. Moczała</cp:lastModifiedBy>
  <dcterms:created xsi:type="dcterms:W3CDTF">2006-09-16T00:00:00Z</dcterms:created>
  <dcterms:modified xsi:type="dcterms:W3CDTF">2026-10-08T08:24:33Z</dcterms:modified>
</cp:coreProperties>
</file>